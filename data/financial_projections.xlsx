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ebbi Kankondi\Documents\Admin\business_guides\molenzicht_r2o_business_plan\"/>
    </mc:Choice>
  </mc:AlternateContent>
  <xr:revisionPtr revIDLastSave="0" documentId="13_ncr:1_{03E64DF8-194C-4094-8048-93C54F518D11}" xr6:coauthVersionLast="47" xr6:coauthVersionMax="47" xr10:uidLastSave="{00000000-0000-0000-0000-000000000000}"/>
  <bookViews>
    <workbookView xWindow="-105" yWindow="0" windowWidth="14610" windowHeight="15585" firstSheet="1" activeTab="1" xr2:uid="{00000000-000D-0000-FFFF-FFFF00000000}"/>
  </bookViews>
  <sheets>
    <sheet name="Assumptions" sheetId="1" r:id="rId1"/>
    <sheet name="Fleet_Schedule" sheetId="2" r:id="rId2"/>
    <sheet name="Cash_Flow" sheetId="3" r:id="rId3"/>
    <sheet name="Income_Statement" sheetId="4" r:id="rId4"/>
    <sheet name="Balance_Sheet" sheetId="5" r:id="rId5"/>
    <sheet name="Loan_Amortisati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4" i="5" l="1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3" i="5"/>
  <c r="B27" i="1"/>
  <c r="B20" i="1" s="1"/>
  <c r="B30" i="1"/>
  <c r="B31" i="1"/>
  <c r="B33" i="1"/>
  <c r="B3" i="3"/>
  <c r="B7" i="3"/>
  <c r="A62" i="5"/>
  <c r="C62" i="5" s="1"/>
  <c r="A61" i="5"/>
  <c r="C61" i="5" s="1"/>
  <c r="A60" i="5"/>
  <c r="C60" i="5" s="1"/>
  <c r="A59" i="5"/>
  <c r="C59" i="5" s="1"/>
  <c r="A58" i="5"/>
  <c r="C58" i="5" s="1"/>
  <c r="A57" i="5"/>
  <c r="C57" i="5" s="1"/>
  <c r="A56" i="5"/>
  <c r="C56" i="5" s="1"/>
  <c r="A55" i="5"/>
  <c r="C55" i="5" s="1"/>
  <c r="A54" i="5"/>
  <c r="C54" i="5" s="1"/>
  <c r="A53" i="5"/>
  <c r="C53" i="5" s="1"/>
  <c r="A52" i="5"/>
  <c r="C52" i="5" s="1"/>
  <c r="A51" i="5"/>
  <c r="C51" i="5" s="1"/>
  <c r="A50" i="5"/>
  <c r="C50" i="5" s="1"/>
  <c r="A49" i="5"/>
  <c r="C49" i="5" s="1"/>
  <c r="A48" i="5"/>
  <c r="C48" i="5" s="1"/>
  <c r="A47" i="5"/>
  <c r="C47" i="5" s="1"/>
  <c r="A46" i="5"/>
  <c r="C46" i="5" s="1"/>
  <c r="A45" i="5"/>
  <c r="C45" i="5" s="1"/>
  <c r="A44" i="5"/>
  <c r="C44" i="5" s="1"/>
  <c r="A43" i="5"/>
  <c r="C43" i="5" s="1"/>
  <c r="A42" i="5"/>
  <c r="C42" i="5" s="1"/>
  <c r="A41" i="5"/>
  <c r="C41" i="5" s="1"/>
  <c r="A40" i="5"/>
  <c r="C40" i="5" s="1"/>
  <c r="A39" i="5"/>
  <c r="C39" i="5" s="1"/>
  <c r="A38" i="5"/>
  <c r="C38" i="5" s="1"/>
  <c r="A37" i="5"/>
  <c r="C37" i="5" s="1"/>
  <c r="A36" i="5"/>
  <c r="C36" i="5" s="1"/>
  <c r="A35" i="5"/>
  <c r="C35" i="5" s="1"/>
  <c r="A34" i="5"/>
  <c r="C34" i="5" s="1"/>
  <c r="A33" i="5"/>
  <c r="C33" i="5" s="1"/>
  <c r="A32" i="5"/>
  <c r="C32" i="5" s="1"/>
  <c r="A31" i="5"/>
  <c r="C31" i="5" s="1"/>
  <c r="A30" i="5"/>
  <c r="C30" i="5" s="1"/>
  <c r="A29" i="5"/>
  <c r="C29" i="5" s="1"/>
  <c r="A28" i="5"/>
  <c r="C28" i="5" s="1"/>
  <c r="A27" i="5"/>
  <c r="C27" i="5" s="1"/>
  <c r="A26" i="5"/>
  <c r="C26" i="5" s="1"/>
  <c r="A25" i="5"/>
  <c r="C25" i="5" s="1"/>
  <c r="A24" i="5"/>
  <c r="C24" i="5" s="1"/>
  <c r="A23" i="5"/>
  <c r="C23" i="5" s="1"/>
  <c r="A22" i="5"/>
  <c r="C22" i="5" s="1"/>
  <c r="A21" i="5"/>
  <c r="C21" i="5" s="1"/>
  <c r="A20" i="5"/>
  <c r="C20" i="5" s="1"/>
  <c r="A19" i="5"/>
  <c r="C19" i="5" s="1"/>
  <c r="A18" i="5"/>
  <c r="C18" i="5" s="1"/>
  <c r="A17" i="5"/>
  <c r="C17" i="5" s="1"/>
  <c r="A16" i="5"/>
  <c r="C16" i="5" s="1"/>
  <c r="A15" i="5"/>
  <c r="C15" i="5" s="1"/>
  <c r="A14" i="5"/>
  <c r="A13" i="5"/>
  <c r="A12" i="5"/>
  <c r="A11" i="5"/>
  <c r="A10" i="5"/>
  <c r="A9" i="5"/>
  <c r="A8" i="5"/>
  <c r="A7" i="5"/>
  <c r="A6" i="5"/>
  <c r="A5" i="5"/>
  <c r="A4" i="5"/>
  <c r="A3" i="5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3" i="4"/>
  <c r="K3" i="3" l="1"/>
  <c r="K3" i="2" l="1"/>
  <c r="C3" i="2"/>
  <c r="B3" i="2"/>
  <c r="A4" i="2"/>
  <c r="B4" i="2" s="1"/>
  <c r="B3" i="4"/>
  <c r="B14" i="1"/>
  <c r="A5" i="2" l="1"/>
  <c r="C4" i="2"/>
  <c r="B4" i="4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B3" i="5"/>
  <c r="C3" i="5" s="1"/>
  <c r="A3" i="3"/>
  <c r="B5" i="4"/>
  <c r="A4" i="3"/>
  <c r="G3" i="2"/>
  <c r="E3" i="2"/>
  <c r="I3" i="2" s="1"/>
  <c r="G3" i="5" s="1"/>
  <c r="I3" i="5" s="1"/>
  <c r="B13" i="1"/>
  <c r="H3" i="2" l="1"/>
  <c r="B4" i="3"/>
  <c r="C4" i="3"/>
  <c r="C3" i="3"/>
  <c r="D3" i="3" s="1"/>
  <c r="C5" i="2"/>
  <c r="A6" i="2"/>
  <c r="B6" i="4" s="1"/>
  <c r="B5" i="2"/>
  <c r="E3" i="3"/>
  <c r="M3" i="5" s="1"/>
  <c r="C3" i="4"/>
  <c r="F3" i="5"/>
  <c r="I3" i="3"/>
  <c r="F4" i="3"/>
  <c r="G3" i="3"/>
  <c r="F3" i="3"/>
  <c r="B5" i="5"/>
  <c r="C5" i="5" s="1"/>
  <c r="E5" i="2"/>
  <c r="A5" i="3"/>
  <c r="G4" i="3"/>
  <c r="E4" i="2"/>
  <c r="I4" i="2" s="1"/>
  <c r="B4" i="5"/>
  <c r="C4" i="5" s="1"/>
  <c r="R3" i="4" l="1"/>
  <c r="U3" i="5"/>
  <c r="D3" i="5" s="1"/>
  <c r="C5" i="3"/>
  <c r="B5" i="3"/>
  <c r="N3" i="4"/>
  <c r="O3" i="5"/>
  <c r="N4" i="4"/>
  <c r="O4" i="5"/>
  <c r="G4" i="5"/>
  <c r="I4" i="5" s="1"/>
  <c r="I5" i="2"/>
  <c r="H3" i="5"/>
  <c r="L3" i="5"/>
  <c r="A7" i="2"/>
  <c r="B7" i="4" s="1"/>
  <c r="B6" i="2"/>
  <c r="C6" i="2"/>
  <c r="F3" i="4"/>
  <c r="K3" i="4"/>
  <c r="L3" i="4" s="1"/>
  <c r="G3" i="4"/>
  <c r="H3" i="4"/>
  <c r="E3" i="4"/>
  <c r="D3" i="4"/>
  <c r="P3" i="3"/>
  <c r="E3" i="5" s="1"/>
  <c r="G5" i="3"/>
  <c r="F5" i="3"/>
  <c r="B6" i="5"/>
  <c r="C6" i="5" s="1"/>
  <c r="E6" i="2"/>
  <c r="A6" i="3"/>
  <c r="J3" i="4" l="1"/>
  <c r="J4" i="2" s="1"/>
  <c r="I3" i="4"/>
  <c r="C6" i="3"/>
  <c r="B6" i="3"/>
  <c r="N5" i="4"/>
  <c r="O5" i="5"/>
  <c r="I6" i="2"/>
  <c r="G5" i="5"/>
  <c r="I5" i="5" s="1"/>
  <c r="C7" i="2"/>
  <c r="A8" i="2"/>
  <c r="B8" i="4" s="1"/>
  <c r="B7" i="2"/>
  <c r="M3" i="4"/>
  <c r="N3" i="5" s="1"/>
  <c r="O4" i="3"/>
  <c r="P4" i="3" s="1"/>
  <c r="E4" i="5" s="1"/>
  <c r="G6" i="3"/>
  <c r="F6" i="3"/>
  <c r="B7" i="5"/>
  <c r="C7" i="5" s="1"/>
  <c r="A7" i="3"/>
  <c r="O3" i="4" l="1"/>
  <c r="P3" i="4" s="1"/>
  <c r="C7" i="3"/>
  <c r="N6" i="4"/>
  <c r="O6" i="5"/>
  <c r="G4" i="2"/>
  <c r="K4" i="2"/>
  <c r="G6" i="5"/>
  <c r="I6" i="5" s="1"/>
  <c r="C8" i="2"/>
  <c r="A9" i="2"/>
  <c r="B9" i="4" s="1"/>
  <c r="B8" i="2"/>
  <c r="O5" i="3"/>
  <c r="P5" i="3" s="1"/>
  <c r="E5" i="5" s="1"/>
  <c r="B8" i="5"/>
  <c r="C8" i="5" s="1"/>
  <c r="A8" i="3"/>
  <c r="Q3" i="5" l="1"/>
  <c r="H3" i="3"/>
  <c r="J3" i="3" s="1"/>
  <c r="L3" i="3" s="1"/>
  <c r="Q3" i="4"/>
  <c r="R3" i="5" s="1"/>
  <c r="D4" i="3"/>
  <c r="B8" i="3"/>
  <c r="C8" i="3"/>
  <c r="B9" i="2"/>
  <c r="C9" i="2"/>
  <c r="A10" i="2"/>
  <c r="B10" i="4" s="1"/>
  <c r="O6" i="3"/>
  <c r="P6" i="3" s="1"/>
  <c r="E6" i="5" s="1"/>
  <c r="B9" i="5"/>
  <c r="C9" i="5" s="1"/>
  <c r="A9" i="3"/>
  <c r="N3" i="3" l="1"/>
  <c r="W3" i="5" s="1"/>
  <c r="S3" i="4"/>
  <c r="B9" i="3"/>
  <c r="C9" i="3"/>
  <c r="C10" i="2"/>
  <c r="A11" i="2"/>
  <c r="B11" i="4" s="1"/>
  <c r="B10" i="2"/>
  <c r="O7" i="3"/>
  <c r="F7" i="3" s="1"/>
  <c r="B10" i="5"/>
  <c r="C10" i="5" s="1"/>
  <c r="A10" i="3"/>
  <c r="M4" i="3" l="1"/>
  <c r="D4" i="2"/>
  <c r="K4" i="3" s="1"/>
  <c r="B5" i="6"/>
  <c r="B10" i="3"/>
  <c r="C10" i="3"/>
  <c r="B11" i="2"/>
  <c r="C11" i="2"/>
  <c r="A12" i="2"/>
  <c r="B12" i="4" s="1"/>
  <c r="G7" i="3"/>
  <c r="P7" i="3" s="1"/>
  <c r="E7" i="5" s="1"/>
  <c r="N7" i="4"/>
  <c r="B11" i="5"/>
  <c r="C11" i="5" s="1"/>
  <c r="A11" i="3"/>
  <c r="C5" i="6"/>
  <c r="E7" i="2" l="1"/>
  <c r="I7" i="2" s="1"/>
  <c r="G7" i="5" s="1"/>
  <c r="I7" i="5" s="1"/>
  <c r="F4" i="2"/>
  <c r="H4" i="2" s="1"/>
  <c r="B11" i="3"/>
  <c r="C11" i="3"/>
  <c r="O7" i="5"/>
  <c r="D5" i="6"/>
  <c r="E5" i="6" s="1"/>
  <c r="A13" i="2"/>
  <c r="B13" i="4" s="1"/>
  <c r="B12" i="2"/>
  <c r="C12" i="2"/>
  <c r="F5" i="6"/>
  <c r="O8" i="3"/>
  <c r="B6" i="6" s="1"/>
  <c r="B12" i="5"/>
  <c r="C12" i="5" s="1"/>
  <c r="A12" i="3"/>
  <c r="B12" i="3" l="1"/>
  <c r="C12" i="3"/>
  <c r="A14" i="2"/>
  <c r="B14" i="4" s="1"/>
  <c r="B13" i="2"/>
  <c r="C13" i="2"/>
  <c r="F8" i="3"/>
  <c r="B13" i="5"/>
  <c r="C13" i="5" s="1"/>
  <c r="A13" i="3"/>
  <c r="C13" i="3" l="1"/>
  <c r="B13" i="3"/>
  <c r="A15" i="2"/>
  <c r="B15" i="4" s="1"/>
  <c r="C14" i="2"/>
  <c r="B14" i="2"/>
  <c r="G8" i="3"/>
  <c r="D6" i="6" s="1"/>
  <c r="N8" i="4"/>
  <c r="C6" i="6"/>
  <c r="B14" i="5"/>
  <c r="C14" i="5" s="1"/>
  <c r="A14" i="3"/>
  <c r="C14" i="3" l="1"/>
  <c r="B14" i="3"/>
  <c r="O8" i="5"/>
  <c r="A16" i="2"/>
  <c r="B16" i="4" s="1"/>
  <c r="C15" i="2"/>
  <c r="B15" i="2"/>
  <c r="P8" i="3"/>
  <c r="E8" i="5" s="1"/>
  <c r="E6" i="6"/>
  <c r="B15" i="5"/>
  <c r="A15" i="3"/>
  <c r="O9" i="3" l="1"/>
  <c r="F9" i="3" s="1"/>
  <c r="N9" i="4" s="1"/>
  <c r="F6" i="6"/>
  <c r="C15" i="3"/>
  <c r="B15" i="3"/>
  <c r="A17" i="2"/>
  <c r="B17" i="4" s="1"/>
  <c r="C16" i="2"/>
  <c r="B16" i="2"/>
  <c r="B16" i="5"/>
  <c r="A16" i="3"/>
  <c r="C7" i="6" l="1"/>
  <c r="B7" i="6"/>
  <c r="G9" i="3"/>
  <c r="O9" i="5" s="1"/>
  <c r="B16" i="3"/>
  <c r="C16" i="3"/>
  <c r="A18" i="2"/>
  <c r="B18" i="4" s="1"/>
  <c r="C17" i="2"/>
  <c r="B17" i="2"/>
  <c r="B17" i="5"/>
  <c r="A17" i="3"/>
  <c r="D7" i="6" l="1"/>
  <c r="E7" i="6" s="1"/>
  <c r="P9" i="3"/>
  <c r="E9" i="5" s="1"/>
  <c r="B17" i="3"/>
  <c r="C17" i="3"/>
  <c r="A19" i="2"/>
  <c r="B18" i="2"/>
  <c r="C18" i="2"/>
  <c r="B18" i="5"/>
  <c r="A18" i="3"/>
  <c r="O10" i="3" l="1"/>
  <c r="F10" i="3" s="1"/>
  <c r="B18" i="3"/>
  <c r="C18" i="3"/>
  <c r="A20" i="2"/>
  <c r="B19" i="2"/>
  <c r="C19" i="2"/>
  <c r="B19" i="4"/>
  <c r="B19" i="5"/>
  <c r="A19" i="3"/>
  <c r="B8" i="6" l="1"/>
  <c r="B19" i="3"/>
  <c r="C19" i="3"/>
  <c r="N10" i="4"/>
  <c r="A21" i="2"/>
  <c r="B20" i="2"/>
  <c r="C20" i="2"/>
  <c r="B20" i="4"/>
  <c r="G10" i="3"/>
  <c r="D8" i="6" s="1"/>
  <c r="B20" i="5"/>
  <c r="A20" i="3"/>
  <c r="B20" i="3" l="1"/>
  <c r="C20" i="3"/>
  <c r="O10" i="5"/>
  <c r="A22" i="2"/>
  <c r="B22" i="4" s="1"/>
  <c r="C21" i="2"/>
  <c r="B21" i="2"/>
  <c r="B21" i="4"/>
  <c r="P10" i="3"/>
  <c r="E10" i="5" s="1"/>
  <c r="B21" i="5"/>
  <c r="A21" i="3"/>
  <c r="C21" i="3" l="1"/>
  <c r="B21" i="3"/>
  <c r="A23" i="2"/>
  <c r="B23" i="4" s="1"/>
  <c r="C22" i="2"/>
  <c r="B22" i="2"/>
  <c r="F8" i="6"/>
  <c r="O11" i="3"/>
  <c r="F11" i="3" s="1"/>
  <c r="N11" i="4" s="1"/>
  <c r="B22" i="5"/>
  <c r="A22" i="3"/>
  <c r="C22" i="3" l="1"/>
  <c r="B22" i="3"/>
  <c r="A24" i="2"/>
  <c r="C23" i="2"/>
  <c r="B23" i="2"/>
  <c r="B23" i="5"/>
  <c r="B24" i="4"/>
  <c r="A23" i="3"/>
  <c r="G11" i="3"/>
  <c r="C23" i="3" l="1"/>
  <c r="B23" i="3"/>
  <c r="P11" i="3"/>
  <c r="E11" i="5" s="1"/>
  <c r="O11" i="5"/>
  <c r="A25" i="2"/>
  <c r="B25" i="4" s="1"/>
  <c r="B24" i="2"/>
  <c r="C24" i="2"/>
  <c r="B24" i="5"/>
  <c r="A24" i="3"/>
  <c r="C24" i="3" l="1"/>
  <c r="B24" i="3"/>
  <c r="O12" i="3"/>
  <c r="F12" i="3" s="1"/>
  <c r="A26" i="2"/>
  <c r="B26" i="4" s="1"/>
  <c r="C25" i="2"/>
  <c r="B25" i="2"/>
  <c r="B25" i="5"/>
  <c r="A25" i="3"/>
  <c r="B25" i="3" l="1"/>
  <c r="C25" i="3"/>
  <c r="A27" i="2"/>
  <c r="B27" i="4" s="1"/>
  <c r="B26" i="2"/>
  <c r="C26" i="2"/>
  <c r="G12" i="3"/>
  <c r="P12" i="3" s="1"/>
  <c r="E12" i="5" s="1"/>
  <c r="N12" i="4"/>
  <c r="B26" i="5"/>
  <c r="A26" i="3"/>
  <c r="B26" i="3" l="1"/>
  <c r="C26" i="3"/>
  <c r="O12" i="5"/>
  <c r="A28" i="2"/>
  <c r="B28" i="4" s="1"/>
  <c r="B27" i="2"/>
  <c r="C27" i="2"/>
  <c r="O13" i="3"/>
  <c r="F13" i="3" s="1"/>
  <c r="N13" i="4" s="1"/>
  <c r="B27" i="5"/>
  <c r="A27" i="3"/>
  <c r="B27" i="3" l="1"/>
  <c r="C27" i="3"/>
  <c r="A29" i="2"/>
  <c r="B29" i="4" s="1"/>
  <c r="B28" i="2"/>
  <c r="C28" i="2"/>
  <c r="B28" i="5"/>
  <c r="A28" i="3"/>
  <c r="G13" i="3"/>
  <c r="P13" i="3" s="1"/>
  <c r="E13" i="5" s="1"/>
  <c r="B28" i="3" l="1"/>
  <c r="C28" i="3"/>
  <c r="O13" i="5"/>
  <c r="A30" i="2"/>
  <c r="B29" i="2"/>
  <c r="C29" i="2"/>
  <c r="O14" i="3"/>
  <c r="B29" i="5"/>
  <c r="A29" i="3"/>
  <c r="B30" i="4"/>
  <c r="C29" i="3" l="1"/>
  <c r="B29" i="3"/>
  <c r="A31" i="2"/>
  <c r="B31" i="4" s="1"/>
  <c r="B30" i="2"/>
  <c r="C30" i="2"/>
  <c r="B30" i="5"/>
  <c r="A30" i="3"/>
  <c r="F14" i="3"/>
  <c r="N14" i="4" s="1"/>
  <c r="C30" i="3" l="1"/>
  <c r="B30" i="3"/>
  <c r="A32" i="2"/>
  <c r="C31" i="2"/>
  <c r="B31" i="2"/>
  <c r="B31" i="5"/>
  <c r="B32" i="4"/>
  <c r="A31" i="3"/>
  <c r="G14" i="3"/>
  <c r="P14" i="3" s="1"/>
  <c r="E14" i="5" s="1"/>
  <c r="C31" i="3" l="1"/>
  <c r="B31" i="3"/>
  <c r="O14" i="5"/>
  <c r="A33" i="2"/>
  <c r="C32" i="2"/>
  <c r="B32" i="2"/>
  <c r="B32" i="5"/>
  <c r="A32" i="3"/>
  <c r="O15" i="3"/>
  <c r="C32" i="3" l="1"/>
  <c r="B32" i="3"/>
  <c r="A34" i="2"/>
  <c r="B34" i="4" s="1"/>
  <c r="B33" i="2"/>
  <c r="C33" i="2"/>
  <c r="B33" i="4"/>
  <c r="B33" i="5"/>
  <c r="A33" i="3"/>
  <c r="F15" i="3"/>
  <c r="B33" i="3" l="1"/>
  <c r="C33" i="3"/>
  <c r="A35" i="2"/>
  <c r="B35" i="4" s="1"/>
  <c r="B34" i="2"/>
  <c r="C34" i="2"/>
  <c r="G15" i="3"/>
  <c r="P15" i="3" s="1"/>
  <c r="E15" i="5" s="1"/>
  <c r="N15" i="4"/>
  <c r="B34" i="5"/>
  <c r="A34" i="3"/>
  <c r="B34" i="3" l="1"/>
  <c r="C34" i="3"/>
  <c r="O15" i="5"/>
  <c r="A36" i="2"/>
  <c r="B36" i="4" s="1"/>
  <c r="B35" i="2"/>
  <c r="C35" i="2"/>
  <c r="O16" i="3"/>
  <c r="F16" i="3" s="1"/>
  <c r="N16" i="4" s="1"/>
  <c r="B35" i="5"/>
  <c r="A35" i="3"/>
  <c r="B35" i="3" l="1"/>
  <c r="C35" i="3"/>
  <c r="A37" i="2"/>
  <c r="B37" i="4" s="1"/>
  <c r="B36" i="2"/>
  <c r="C36" i="2"/>
  <c r="B36" i="5"/>
  <c r="A36" i="3"/>
  <c r="G16" i="3"/>
  <c r="P16" i="3" s="1"/>
  <c r="E16" i="5" s="1"/>
  <c r="B36" i="3" l="1"/>
  <c r="C36" i="3"/>
  <c r="O16" i="5"/>
  <c r="A38" i="2"/>
  <c r="B38" i="4" s="1"/>
  <c r="C37" i="2"/>
  <c r="B37" i="2"/>
  <c r="B37" i="5"/>
  <c r="A37" i="3"/>
  <c r="O17" i="3"/>
  <c r="C37" i="3" l="1"/>
  <c r="B37" i="3"/>
  <c r="A39" i="2"/>
  <c r="B39" i="4" s="1"/>
  <c r="C38" i="2"/>
  <c r="B38" i="2"/>
  <c r="B38" i="5"/>
  <c r="A38" i="3"/>
  <c r="F17" i="3"/>
  <c r="N17" i="4" s="1"/>
  <c r="C38" i="3" l="1"/>
  <c r="B38" i="3"/>
  <c r="A40" i="2"/>
  <c r="B40" i="4" s="1"/>
  <c r="C39" i="2"/>
  <c r="B39" i="2"/>
  <c r="B39" i="5"/>
  <c r="A39" i="3"/>
  <c r="G17" i="3"/>
  <c r="P17" i="3" s="1"/>
  <c r="E17" i="5" s="1"/>
  <c r="C39" i="3" l="1"/>
  <c r="B39" i="3"/>
  <c r="O17" i="5"/>
  <c r="A41" i="2"/>
  <c r="C40" i="2"/>
  <c r="B40" i="2"/>
  <c r="O18" i="3"/>
  <c r="B40" i="5"/>
  <c r="A40" i="3"/>
  <c r="C40" i="3" l="1"/>
  <c r="B40" i="3"/>
  <c r="A42" i="2"/>
  <c r="B41" i="2"/>
  <c r="C41" i="2"/>
  <c r="B41" i="4"/>
  <c r="F18" i="3"/>
  <c r="N18" i="4" s="1"/>
  <c r="B41" i="5"/>
  <c r="A41" i="3"/>
  <c r="B42" i="4"/>
  <c r="B41" i="3" l="1"/>
  <c r="C41" i="3"/>
  <c r="A43" i="2"/>
  <c r="C42" i="2"/>
  <c r="B42" i="2"/>
  <c r="B42" i="5"/>
  <c r="A42" i="3"/>
  <c r="B43" i="4"/>
  <c r="G18" i="3"/>
  <c r="P18" i="3" s="1"/>
  <c r="E18" i="5" s="1"/>
  <c r="B42" i="3" l="1"/>
  <c r="C42" i="3"/>
  <c r="O18" i="5"/>
  <c r="A44" i="2"/>
  <c r="B44" i="4" s="1"/>
  <c r="B43" i="2"/>
  <c r="C43" i="2"/>
  <c r="O19" i="3"/>
  <c r="B43" i="5"/>
  <c r="A43" i="3"/>
  <c r="B43" i="3" l="1"/>
  <c r="C43" i="3"/>
  <c r="A45" i="2"/>
  <c r="B45" i="4" s="1"/>
  <c r="C44" i="2"/>
  <c r="B44" i="2"/>
  <c r="B44" i="5"/>
  <c r="A44" i="3"/>
  <c r="F19" i="3"/>
  <c r="N19" i="4" s="1"/>
  <c r="C44" i="3" l="1"/>
  <c r="B44" i="3"/>
  <c r="A46" i="2"/>
  <c r="B46" i="4" s="1"/>
  <c r="B45" i="2"/>
  <c r="C45" i="2"/>
  <c r="B45" i="5"/>
  <c r="A45" i="3"/>
  <c r="G19" i="3"/>
  <c r="P19" i="3" s="1"/>
  <c r="E19" i="5" s="1"/>
  <c r="C45" i="3" l="1"/>
  <c r="B45" i="3"/>
  <c r="O19" i="5"/>
  <c r="A47" i="2"/>
  <c r="B47" i="4" s="1"/>
  <c r="B46" i="2"/>
  <c r="C46" i="2"/>
  <c r="B46" i="5"/>
  <c r="A46" i="3"/>
  <c r="O20" i="3"/>
  <c r="C46" i="3" l="1"/>
  <c r="B46" i="3"/>
  <c r="A48" i="2"/>
  <c r="B48" i="4" s="1"/>
  <c r="C47" i="2"/>
  <c r="B47" i="2"/>
  <c r="B47" i="5"/>
  <c r="A47" i="3"/>
  <c r="F20" i="3"/>
  <c r="C47" i="3" l="1"/>
  <c r="B47" i="3"/>
  <c r="A49" i="2"/>
  <c r="B49" i="4" s="1"/>
  <c r="C48" i="2"/>
  <c r="B48" i="2"/>
  <c r="G20" i="3"/>
  <c r="P20" i="3" s="1"/>
  <c r="E20" i="5" s="1"/>
  <c r="N20" i="4"/>
  <c r="B48" i="5"/>
  <c r="A48" i="3"/>
  <c r="C48" i="3" l="1"/>
  <c r="B48" i="3"/>
  <c r="O20" i="5"/>
  <c r="A50" i="2"/>
  <c r="B50" i="4" s="1"/>
  <c r="C49" i="2"/>
  <c r="B49" i="2"/>
  <c r="O21" i="3"/>
  <c r="F21" i="3" s="1"/>
  <c r="N21" i="4" s="1"/>
  <c r="B49" i="5"/>
  <c r="A49" i="3"/>
  <c r="B49" i="3" l="1"/>
  <c r="C49" i="3"/>
  <c r="A51" i="2"/>
  <c r="B51" i="4" s="1"/>
  <c r="B50" i="2"/>
  <c r="C50" i="2"/>
  <c r="G21" i="3"/>
  <c r="P21" i="3" s="1"/>
  <c r="E21" i="5" s="1"/>
  <c r="B50" i="5"/>
  <c r="A50" i="3"/>
  <c r="B50" i="3" l="1"/>
  <c r="C50" i="3"/>
  <c r="O21" i="5"/>
  <c r="A52" i="2"/>
  <c r="B52" i="4" s="1"/>
  <c r="B51" i="2"/>
  <c r="C51" i="2"/>
  <c r="O22" i="3"/>
  <c r="B51" i="5"/>
  <c r="A51" i="3"/>
  <c r="B51" i="3" l="1"/>
  <c r="C51" i="3"/>
  <c r="A53" i="2"/>
  <c r="B53" i="4" s="1"/>
  <c r="B52" i="2"/>
  <c r="C52" i="2"/>
  <c r="F22" i="3"/>
  <c r="B52" i="5"/>
  <c r="A52" i="3"/>
  <c r="B52" i="3" l="1"/>
  <c r="C52" i="3"/>
  <c r="A54" i="2"/>
  <c r="B54" i="4" s="1"/>
  <c r="B53" i="2"/>
  <c r="C53" i="2"/>
  <c r="G22" i="3"/>
  <c r="P22" i="3" s="1"/>
  <c r="E22" i="5" s="1"/>
  <c r="N22" i="4"/>
  <c r="B53" i="5"/>
  <c r="A53" i="3"/>
  <c r="C53" i="3" l="1"/>
  <c r="B53" i="3"/>
  <c r="O22" i="5"/>
  <c r="A55" i="2"/>
  <c r="B55" i="4" s="1"/>
  <c r="C54" i="2"/>
  <c r="B54" i="2"/>
  <c r="O23" i="3"/>
  <c r="F23" i="3"/>
  <c r="N23" i="4" s="1"/>
  <c r="B54" i="5"/>
  <c r="A54" i="3"/>
  <c r="C54" i="3" l="1"/>
  <c r="B54" i="3"/>
  <c r="A56" i="2"/>
  <c r="C55" i="2"/>
  <c r="B55" i="2"/>
  <c r="B55" i="5"/>
  <c r="A55" i="3"/>
  <c r="B56" i="4"/>
  <c r="G23" i="3"/>
  <c r="P23" i="3" s="1"/>
  <c r="E23" i="5" s="1"/>
  <c r="C55" i="3" l="1"/>
  <c r="B55" i="3"/>
  <c r="O23" i="5"/>
  <c r="A57" i="2"/>
  <c r="B57" i="4" s="1"/>
  <c r="B56" i="2"/>
  <c r="C56" i="2"/>
  <c r="O24" i="3"/>
  <c r="B56" i="5"/>
  <c r="A56" i="3"/>
  <c r="C56" i="3" l="1"/>
  <c r="B56" i="3"/>
  <c r="A58" i="2"/>
  <c r="C57" i="2"/>
  <c r="B57" i="2"/>
  <c r="B57" i="5"/>
  <c r="A57" i="3"/>
  <c r="B58" i="4"/>
  <c r="F24" i="3"/>
  <c r="N24" i="4" s="1"/>
  <c r="B57" i="3" l="1"/>
  <c r="C57" i="3"/>
  <c r="A59" i="2"/>
  <c r="B58" i="2"/>
  <c r="C58" i="2"/>
  <c r="B58" i="5"/>
  <c r="A58" i="3"/>
  <c r="B59" i="4"/>
  <c r="G24" i="3"/>
  <c r="P24" i="3" s="1"/>
  <c r="E24" i="5" s="1"/>
  <c r="B58" i="3" l="1"/>
  <c r="C58" i="3"/>
  <c r="O24" i="5"/>
  <c r="A60" i="2"/>
  <c r="B60" i="4" s="1"/>
  <c r="B59" i="2"/>
  <c r="C59" i="2"/>
  <c r="B59" i="5"/>
  <c r="A59" i="3"/>
  <c r="O25" i="3"/>
  <c r="B59" i="3" l="1"/>
  <c r="C59" i="3"/>
  <c r="A61" i="2"/>
  <c r="B60" i="2"/>
  <c r="C60" i="2"/>
  <c r="B60" i="5"/>
  <c r="A60" i="3"/>
  <c r="F25" i="3"/>
  <c r="B60" i="3" l="1"/>
  <c r="C60" i="3"/>
  <c r="A62" i="2"/>
  <c r="B62" i="4" s="1"/>
  <c r="C61" i="2"/>
  <c r="B61" i="2"/>
  <c r="B61" i="4"/>
  <c r="G25" i="3"/>
  <c r="P25" i="3" s="1"/>
  <c r="E25" i="5" s="1"/>
  <c r="N25" i="4"/>
  <c r="B61" i="5"/>
  <c r="A61" i="3"/>
  <c r="C61" i="3" l="1"/>
  <c r="B61" i="3"/>
  <c r="O25" i="5"/>
  <c r="O26" i="3"/>
  <c r="F26" i="3" s="1"/>
  <c r="N26" i="4" s="1"/>
  <c r="C62" i="2"/>
  <c r="B62" i="2"/>
  <c r="B62" i="5"/>
  <c r="A62" i="3"/>
  <c r="G61" i="3"/>
  <c r="F61" i="3"/>
  <c r="C62" i="3" l="1"/>
  <c r="B62" i="3"/>
  <c r="N61" i="4"/>
  <c r="O61" i="5"/>
  <c r="G62" i="3"/>
  <c r="D9" i="6" s="1"/>
  <c r="F62" i="3"/>
  <c r="C22" i="6"/>
  <c r="F21" i="6"/>
  <c r="C14" i="6"/>
  <c r="C16" i="6"/>
  <c r="F16" i="6"/>
  <c r="C12" i="6"/>
  <c r="F12" i="6"/>
  <c r="B11" i="6"/>
  <c r="C19" i="6"/>
  <c r="F22" i="6"/>
  <c r="D13" i="6"/>
  <c r="B15" i="6"/>
  <c r="D11" i="6"/>
  <c r="C20" i="6"/>
  <c r="C24" i="6"/>
  <c r="C10" i="6"/>
  <c r="C21" i="6"/>
  <c r="B16" i="6"/>
  <c r="B14" i="6"/>
  <c r="F15" i="6"/>
  <c r="D22" i="6"/>
  <c r="F18" i="6"/>
  <c r="F20" i="6"/>
  <c r="F10" i="6"/>
  <c r="B22" i="6"/>
  <c r="C13" i="6"/>
  <c r="D12" i="6"/>
  <c r="D20" i="6"/>
  <c r="C18" i="6"/>
  <c r="D16" i="6"/>
  <c r="C17" i="6"/>
  <c r="B20" i="6"/>
  <c r="B18" i="6"/>
  <c r="D18" i="6"/>
  <c r="D15" i="6"/>
  <c r="C23" i="6"/>
  <c r="B12" i="6"/>
  <c r="D23" i="6"/>
  <c r="B19" i="6"/>
  <c r="D19" i="6"/>
  <c r="B21" i="6"/>
  <c r="F17" i="6"/>
  <c r="F13" i="6"/>
  <c r="B13" i="6"/>
  <c r="F23" i="6"/>
  <c r="F14" i="6"/>
  <c r="F19" i="6"/>
  <c r="D17" i="6"/>
  <c r="B23" i="6"/>
  <c r="C15" i="6"/>
  <c r="D14" i="6"/>
  <c r="D21" i="6"/>
  <c r="D10" i="6"/>
  <c r="B24" i="6"/>
  <c r="C11" i="6"/>
  <c r="F11" i="6"/>
  <c r="B17" i="6"/>
  <c r="G26" i="3"/>
  <c r="P26" i="3" s="1"/>
  <c r="E26" i="5" s="1"/>
  <c r="N62" i="4" l="1"/>
  <c r="O62" i="5"/>
  <c r="O26" i="5"/>
  <c r="E11" i="6"/>
  <c r="E15" i="6"/>
  <c r="E10" i="6"/>
  <c r="E23" i="6"/>
  <c r="E13" i="6"/>
  <c r="E12" i="6"/>
  <c r="C8" i="6"/>
  <c r="E8" i="6" s="1"/>
  <c r="C9" i="6"/>
  <c r="E9" i="6" s="1"/>
  <c r="E20" i="6"/>
  <c r="E16" i="6"/>
  <c r="E22" i="6"/>
  <c r="E17" i="6"/>
  <c r="E18" i="6"/>
  <c r="D24" i="6"/>
  <c r="E24" i="6" s="1"/>
  <c r="E14" i="6"/>
  <c r="O27" i="3"/>
  <c r="F24" i="6"/>
  <c r="E21" i="6"/>
  <c r="E19" i="6"/>
  <c r="F27" i="3" l="1"/>
  <c r="N27" i="4" s="1"/>
  <c r="B25" i="6"/>
  <c r="C25" i="6" l="1"/>
  <c r="G27" i="3"/>
  <c r="O27" i="5" s="1"/>
  <c r="D25" i="6" l="1"/>
  <c r="E25" i="6" s="1"/>
  <c r="P27" i="3"/>
  <c r="E27" i="5" s="1"/>
  <c r="O28" i="3" l="1"/>
  <c r="F25" i="6"/>
  <c r="F28" i="3" l="1"/>
  <c r="B26" i="6"/>
  <c r="N28" i="4" l="1"/>
  <c r="C26" i="6"/>
  <c r="G28" i="3"/>
  <c r="O28" i="5" s="1"/>
  <c r="D26" i="6" l="1"/>
  <c r="E26" i="6" s="1"/>
  <c r="P28" i="3"/>
  <c r="E28" i="5" s="1"/>
  <c r="O29" i="3" l="1"/>
  <c r="F26" i="6"/>
  <c r="F29" i="3" l="1"/>
  <c r="B27" i="6"/>
  <c r="G29" i="3" l="1"/>
  <c r="D27" i="6" s="1"/>
  <c r="N29" i="4"/>
  <c r="C27" i="6"/>
  <c r="O29" i="5" l="1"/>
  <c r="P29" i="3"/>
  <c r="E29" i="5" s="1"/>
  <c r="E27" i="6"/>
  <c r="F27" i="6" l="1"/>
  <c r="O30" i="3"/>
  <c r="F30" i="3" s="1"/>
  <c r="B28" i="6" l="1"/>
  <c r="G30" i="3"/>
  <c r="D28" i="6" s="1"/>
  <c r="N30" i="4"/>
  <c r="C28" i="6"/>
  <c r="O30" i="5" l="1"/>
  <c r="E28" i="6"/>
  <c r="P30" i="3"/>
  <c r="E30" i="5" s="1"/>
  <c r="F28" i="6" l="1"/>
  <c r="O31" i="3"/>
  <c r="F31" i="3" s="1"/>
  <c r="B29" i="6" l="1"/>
  <c r="G31" i="3"/>
  <c r="D29" i="6" s="1"/>
  <c r="N31" i="4"/>
  <c r="C29" i="6"/>
  <c r="O31" i="5" l="1"/>
  <c r="E29" i="6"/>
  <c r="P31" i="3"/>
  <c r="E31" i="5" s="1"/>
  <c r="F29" i="6" l="1"/>
  <c r="O32" i="3"/>
  <c r="B30" i="6" s="1"/>
  <c r="F32" i="3" l="1"/>
  <c r="G32" i="3" s="1"/>
  <c r="D30" i="6" s="1"/>
  <c r="C30" i="6" l="1"/>
  <c r="E30" i="6" s="1"/>
  <c r="N32" i="4"/>
  <c r="O32" i="5"/>
  <c r="P32" i="3"/>
  <c r="E32" i="5" s="1"/>
  <c r="F30" i="6" l="1"/>
  <c r="O33" i="3"/>
  <c r="F33" i="3" s="1"/>
  <c r="B31" i="6" l="1"/>
  <c r="G33" i="3"/>
  <c r="D31" i="6" s="1"/>
  <c r="N33" i="4"/>
  <c r="C31" i="6"/>
  <c r="O33" i="5" l="1"/>
  <c r="P33" i="3"/>
  <c r="E33" i="5" s="1"/>
  <c r="E31" i="6"/>
  <c r="F31" i="6" l="1"/>
  <c r="O34" i="3"/>
  <c r="B32" i="6" s="1"/>
  <c r="F34" i="3" l="1"/>
  <c r="N34" i="4" s="1"/>
  <c r="G34" i="3" l="1"/>
  <c r="P34" i="3" s="1"/>
  <c r="E34" i="5" s="1"/>
  <c r="C32" i="6"/>
  <c r="D32" i="6" l="1"/>
  <c r="E32" i="6" s="1"/>
  <c r="F32" i="6"/>
  <c r="O35" i="3"/>
  <c r="F35" i="3" s="1"/>
  <c r="O34" i="5"/>
  <c r="B33" i="6" l="1"/>
  <c r="G35" i="3"/>
  <c r="D33" i="6" s="1"/>
  <c r="N35" i="4"/>
  <c r="C33" i="6"/>
  <c r="O35" i="5" l="1"/>
  <c r="E33" i="6"/>
  <c r="P35" i="3"/>
  <c r="E35" i="5" s="1"/>
  <c r="O36" i="3" l="1"/>
  <c r="F36" i="3" s="1"/>
  <c r="N36" i="4" s="1"/>
  <c r="F33" i="6"/>
  <c r="B34" i="6" l="1"/>
  <c r="C34" i="6"/>
  <c r="G36" i="3"/>
  <c r="O36" i="5" s="1"/>
  <c r="D34" i="6" l="1"/>
  <c r="E34" i="6" s="1"/>
  <c r="P36" i="3"/>
  <c r="E36" i="5" s="1"/>
  <c r="O37" i="3" l="1"/>
  <c r="F34" i="6"/>
  <c r="F37" i="3" l="1"/>
  <c r="B35" i="6"/>
  <c r="N37" i="4" l="1"/>
  <c r="C35" i="6"/>
  <c r="G37" i="3"/>
  <c r="O37" i="5" s="1"/>
  <c r="D35" i="6" l="1"/>
  <c r="E35" i="6" s="1"/>
  <c r="P37" i="3"/>
  <c r="E37" i="5" s="1"/>
  <c r="O38" i="3" l="1"/>
  <c r="F35" i="6"/>
  <c r="F38" i="3" l="1"/>
  <c r="B36" i="6"/>
  <c r="G38" i="3" l="1"/>
  <c r="D36" i="6" s="1"/>
  <c r="N38" i="4"/>
  <c r="C36" i="6"/>
  <c r="O38" i="5" l="1"/>
  <c r="E36" i="6"/>
  <c r="P38" i="3"/>
  <c r="E38" i="5" s="1"/>
  <c r="F36" i="6" l="1"/>
  <c r="O39" i="3"/>
  <c r="F39" i="3" s="1"/>
  <c r="N39" i="4" s="1"/>
  <c r="B37" i="6" l="1"/>
  <c r="C37" i="6"/>
  <c r="G39" i="3"/>
  <c r="O39" i="5" s="1"/>
  <c r="D37" i="6" l="1"/>
  <c r="E37" i="6" s="1"/>
  <c r="P39" i="3"/>
  <c r="E39" i="5" s="1"/>
  <c r="O40" i="3" l="1"/>
  <c r="F37" i="6"/>
  <c r="F40" i="3" l="1"/>
  <c r="B38" i="6"/>
  <c r="G40" i="3" l="1"/>
  <c r="D38" i="6" s="1"/>
  <c r="N40" i="4"/>
  <c r="C38" i="6"/>
  <c r="O40" i="5" l="1"/>
  <c r="P40" i="3"/>
  <c r="E40" i="5" s="1"/>
  <c r="E38" i="6"/>
  <c r="F38" i="6" l="1"/>
  <c r="O41" i="3"/>
  <c r="B39" i="6" s="1"/>
  <c r="F41" i="3" l="1"/>
  <c r="G41" i="3" s="1"/>
  <c r="D39" i="6" s="1"/>
  <c r="C39" i="6" l="1"/>
  <c r="E39" i="6" s="1"/>
  <c r="N41" i="4"/>
  <c r="P41" i="3"/>
  <c r="E41" i="5" s="1"/>
  <c r="O41" i="5"/>
  <c r="F39" i="6" l="1"/>
  <c r="O42" i="3"/>
  <c r="F42" i="3" s="1"/>
  <c r="B40" i="6" l="1"/>
  <c r="G42" i="3"/>
  <c r="D40" i="6" s="1"/>
  <c r="N42" i="4"/>
  <c r="C40" i="6"/>
  <c r="O42" i="5" l="1"/>
  <c r="P42" i="3"/>
  <c r="E42" i="5" s="1"/>
  <c r="E40" i="6"/>
  <c r="F40" i="6" l="1"/>
  <c r="O43" i="3"/>
  <c r="F43" i="3" s="1"/>
  <c r="N43" i="4" s="1"/>
  <c r="B41" i="6" l="1"/>
  <c r="C41" i="6"/>
  <c r="G43" i="3"/>
  <c r="O43" i="5" s="1"/>
  <c r="D41" i="6" l="1"/>
  <c r="E41" i="6" s="1"/>
  <c r="P43" i="3"/>
  <c r="E43" i="5" s="1"/>
  <c r="O44" i="3" l="1"/>
  <c r="F41" i="6"/>
  <c r="F44" i="3" l="1"/>
  <c r="B42" i="6"/>
  <c r="G44" i="3" l="1"/>
  <c r="D42" i="6" s="1"/>
  <c r="N44" i="4"/>
  <c r="C42" i="6"/>
  <c r="O44" i="5" l="1"/>
  <c r="P44" i="3"/>
  <c r="E44" i="5" s="1"/>
  <c r="E42" i="6"/>
  <c r="F42" i="6" l="1"/>
  <c r="O45" i="3"/>
  <c r="F45" i="3" s="1"/>
  <c r="B43" i="6" l="1"/>
  <c r="G45" i="3"/>
  <c r="D43" i="6" s="1"/>
  <c r="N45" i="4"/>
  <c r="C43" i="6"/>
  <c r="O45" i="5" l="1"/>
  <c r="P45" i="3"/>
  <c r="E45" i="5" s="1"/>
  <c r="E43" i="6"/>
  <c r="F43" i="6" l="1"/>
  <c r="O46" i="3"/>
  <c r="F46" i="3" s="1"/>
  <c r="B44" i="6" l="1"/>
  <c r="G46" i="3"/>
  <c r="D44" i="6" s="1"/>
  <c r="N46" i="4"/>
  <c r="C44" i="6"/>
  <c r="O46" i="5" l="1"/>
  <c r="P46" i="3"/>
  <c r="E46" i="5" s="1"/>
  <c r="E44" i="6"/>
  <c r="F44" i="6" l="1"/>
  <c r="O47" i="3"/>
  <c r="F47" i="3" s="1"/>
  <c r="B45" i="6" l="1"/>
  <c r="G47" i="3"/>
  <c r="D45" i="6" s="1"/>
  <c r="N47" i="4"/>
  <c r="C45" i="6"/>
  <c r="O47" i="5" l="1"/>
  <c r="P47" i="3"/>
  <c r="E47" i="5" s="1"/>
  <c r="E45" i="6"/>
  <c r="F45" i="6" l="1"/>
  <c r="O48" i="3"/>
  <c r="F48" i="3" s="1"/>
  <c r="B46" i="6" l="1"/>
  <c r="G48" i="3"/>
  <c r="D46" i="6" s="1"/>
  <c r="N48" i="4"/>
  <c r="C46" i="6"/>
  <c r="O48" i="5" l="1"/>
  <c r="E46" i="6"/>
  <c r="P48" i="3"/>
  <c r="E48" i="5" s="1"/>
  <c r="F46" i="6" l="1"/>
  <c r="O49" i="3"/>
  <c r="B47" i="6" s="1"/>
  <c r="F49" i="3" l="1"/>
  <c r="N49" i="4" s="1"/>
  <c r="C47" i="6" l="1"/>
  <c r="G49" i="3"/>
  <c r="O49" i="5" s="1"/>
  <c r="D47" i="6" l="1"/>
  <c r="E47" i="6" s="1"/>
  <c r="P49" i="3"/>
  <c r="E49" i="5" s="1"/>
  <c r="F47" i="6" l="1"/>
  <c r="O50" i="3"/>
  <c r="F50" i="3" s="1"/>
  <c r="B48" i="6" l="1"/>
  <c r="G50" i="3"/>
  <c r="D48" i="6" s="1"/>
  <c r="N50" i="4"/>
  <c r="C48" i="6"/>
  <c r="O50" i="5" l="1"/>
  <c r="P50" i="3"/>
  <c r="E50" i="5" s="1"/>
  <c r="E48" i="6"/>
  <c r="F48" i="6" l="1"/>
  <c r="O51" i="3"/>
  <c r="B49" i="6" s="1"/>
  <c r="F51" i="3" l="1"/>
  <c r="N51" i="4" s="1"/>
  <c r="G51" i="3" l="1"/>
  <c r="O51" i="5" s="1"/>
  <c r="C49" i="6"/>
  <c r="P51" i="3" l="1"/>
  <c r="E51" i="5" s="1"/>
  <c r="D49" i="6"/>
  <c r="E49" i="6" s="1"/>
  <c r="F49" i="6" l="1"/>
  <c r="O52" i="3"/>
  <c r="F52" i="3" s="1"/>
  <c r="B50" i="6" l="1"/>
  <c r="N52" i="4"/>
  <c r="C50" i="6"/>
  <c r="G52" i="3"/>
  <c r="O52" i="5" s="1"/>
  <c r="D50" i="6" l="1"/>
  <c r="E50" i="6" s="1"/>
  <c r="P52" i="3"/>
  <c r="E52" i="5" s="1"/>
  <c r="O53" i="3" l="1"/>
  <c r="F50" i="6"/>
  <c r="F53" i="3" l="1"/>
  <c r="B51" i="6"/>
  <c r="N53" i="4" l="1"/>
  <c r="C51" i="6"/>
  <c r="G53" i="3"/>
  <c r="O53" i="5" s="1"/>
  <c r="D51" i="6" l="1"/>
  <c r="E51" i="6" s="1"/>
  <c r="P53" i="3"/>
  <c r="E53" i="5" s="1"/>
  <c r="O54" i="3" l="1"/>
  <c r="F51" i="6"/>
  <c r="F54" i="3" l="1"/>
  <c r="B52" i="6"/>
  <c r="N54" i="4" l="1"/>
  <c r="C52" i="6"/>
  <c r="G54" i="3"/>
  <c r="O54" i="5" s="1"/>
  <c r="D52" i="6" l="1"/>
  <c r="E52" i="6" s="1"/>
  <c r="P54" i="3"/>
  <c r="E54" i="5" s="1"/>
  <c r="O55" i="3" l="1"/>
  <c r="F52" i="6"/>
  <c r="F55" i="3" l="1"/>
  <c r="B53" i="6"/>
  <c r="G55" i="3" l="1"/>
  <c r="D53" i="6" s="1"/>
  <c r="N55" i="4"/>
  <c r="C53" i="6"/>
  <c r="O55" i="5" l="1"/>
  <c r="P55" i="3"/>
  <c r="E55" i="5" s="1"/>
  <c r="E53" i="6"/>
  <c r="F53" i="6" l="1"/>
  <c r="O56" i="3"/>
  <c r="F56" i="3" s="1"/>
  <c r="B54" i="6" l="1"/>
  <c r="G56" i="3"/>
  <c r="D54" i="6" s="1"/>
  <c r="N56" i="4"/>
  <c r="C54" i="6"/>
  <c r="P56" i="3" l="1"/>
  <c r="E56" i="5" s="1"/>
  <c r="O56" i="5"/>
  <c r="E54" i="6"/>
  <c r="F54" i="6" l="1"/>
  <c r="O57" i="3"/>
  <c r="F57" i="3" s="1"/>
  <c r="B55" i="6" l="1"/>
  <c r="G57" i="3"/>
  <c r="D55" i="6" s="1"/>
  <c r="N57" i="4"/>
  <c r="C55" i="6"/>
  <c r="O57" i="5" l="1"/>
  <c r="P57" i="3"/>
  <c r="E57" i="5" s="1"/>
  <c r="E55" i="6"/>
  <c r="F55" i="6" l="1"/>
  <c r="O58" i="3"/>
  <c r="F58" i="3" s="1"/>
  <c r="B56" i="6" l="1"/>
  <c r="G58" i="3"/>
  <c r="P58" i="3" s="1"/>
  <c r="E58" i="5" s="1"/>
  <c r="N58" i="4"/>
  <c r="C56" i="6"/>
  <c r="O58" i="5" l="1"/>
  <c r="D56" i="6"/>
  <c r="E56" i="6" s="1"/>
  <c r="O59" i="3"/>
  <c r="F56" i="6"/>
  <c r="F59" i="3" l="1"/>
  <c r="N59" i="4" s="1"/>
  <c r="B57" i="6"/>
  <c r="C57" i="6" l="1"/>
  <c r="G59" i="3"/>
  <c r="O59" i="5" s="1"/>
  <c r="D57" i="6" l="1"/>
  <c r="E57" i="6" s="1"/>
  <c r="P59" i="3"/>
  <c r="E59" i="5" s="1"/>
  <c r="O60" i="3" l="1"/>
  <c r="F57" i="6"/>
  <c r="F60" i="3" l="1"/>
  <c r="B58" i="6"/>
  <c r="G60" i="3" l="1"/>
  <c r="D58" i="6" s="1"/>
  <c r="N60" i="4"/>
  <c r="C58" i="6"/>
  <c r="O60" i="5" l="1"/>
  <c r="P60" i="3"/>
  <c r="E60" i="5" s="1"/>
  <c r="E58" i="6"/>
  <c r="O61" i="3" l="1"/>
  <c r="P61" i="3" s="1"/>
  <c r="E61" i="5" s="1"/>
  <c r="F58" i="6"/>
  <c r="O62" i="3" l="1"/>
  <c r="P62" i="3" s="1"/>
  <c r="E62" i="5" s="1"/>
  <c r="B10" i="6"/>
  <c r="B9" i="6"/>
  <c r="F7" i="6" l="1"/>
  <c r="F9" i="6"/>
  <c r="F4" i="5"/>
  <c r="H4" i="5" l="1"/>
  <c r="L4" i="5"/>
  <c r="C4" i="4"/>
  <c r="E4" i="3"/>
  <c r="I4" i="3"/>
  <c r="M4" i="5" l="1"/>
  <c r="U4" i="5"/>
  <c r="D4" i="5" s="1"/>
  <c r="R4" i="4"/>
  <c r="H4" i="4"/>
  <c r="K4" i="4"/>
  <c r="L4" i="4" s="1"/>
  <c r="F4" i="4"/>
  <c r="G4" i="4"/>
  <c r="D4" i="4"/>
  <c r="E4" i="4"/>
  <c r="I4" i="4" l="1"/>
  <c r="J4" i="4"/>
  <c r="J5" i="2" l="1"/>
  <c r="K5" i="2" s="1"/>
  <c r="M4" i="4"/>
  <c r="O4" i="4" l="1"/>
  <c r="P4" i="4" s="1"/>
  <c r="N4" i="5"/>
  <c r="G5" i="2"/>
  <c r="D5" i="3" l="1"/>
  <c r="H4" i="3"/>
  <c r="J4" i="3" s="1"/>
  <c r="W4" i="5" s="1"/>
  <c r="F5" i="5"/>
  <c r="L5" i="5" s="1"/>
  <c r="I5" i="3"/>
  <c r="R5" i="4" s="1"/>
  <c r="Q4" i="4"/>
  <c r="Q4" i="5"/>
  <c r="C5" i="4"/>
  <c r="E5" i="3"/>
  <c r="M5" i="5" s="1"/>
  <c r="L4" i="3" l="1"/>
  <c r="H5" i="5"/>
  <c r="U5" i="5"/>
  <c r="D5" i="5" s="1"/>
  <c r="R4" i="5"/>
  <c r="S4" i="4"/>
  <c r="K5" i="4"/>
  <c r="L5" i="4" s="1"/>
  <c r="D5" i="4"/>
  <c r="E5" i="4"/>
  <c r="H5" i="4"/>
  <c r="G5" i="4"/>
  <c r="F5" i="4"/>
  <c r="I5" i="4" l="1"/>
  <c r="N4" i="3"/>
  <c r="D5" i="2" s="1"/>
  <c r="F5" i="2" s="1"/>
  <c r="H5" i="2" s="1"/>
  <c r="J5" i="4"/>
  <c r="M5" i="3" l="1"/>
  <c r="E8" i="2"/>
  <c r="I8" i="2" s="1"/>
  <c r="G8" i="5" s="1"/>
  <c r="I8" i="5" s="1"/>
  <c r="K5" i="3"/>
  <c r="J6" i="2"/>
  <c r="M5" i="4"/>
  <c r="O5" i="4" l="1"/>
  <c r="P5" i="4" s="1"/>
  <c r="N5" i="5"/>
  <c r="K6" i="2"/>
  <c r="G6" i="2"/>
  <c r="D6" i="3" l="1"/>
  <c r="Q5" i="5"/>
  <c r="H5" i="3"/>
  <c r="Q5" i="4"/>
  <c r="F6" i="5"/>
  <c r="C6" i="4"/>
  <c r="I6" i="3"/>
  <c r="E6" i="3"/>
  <c r="M6" i="5" s="1"/>
  <c r="S5" i="4" l="1"/>
  <c r="J5" i="3"/>
  <c r="W5" i="5" s="1"/>
  <c r="U6" i="5"/>
  <c r="D6" i="5" s="1"/>
  <c r="R5" i="5"/>
  <c r="R6" i="4"/>
  <c r="F6" i="4"/>
  <c r="H6" i="4"/>
  <c r="G6" i="4"/>
  <c r="E6" i="4"/>
  <c r="K6" i="4"/>
  <c r="L6" i="4" s="1"/>
  <c r="D6" i="4"/>
  <c r="H6" i="5"/>
  <c r="L6" i="5"/>
  <c r="I6" i="4" l="1"/>
  <c r="L5" i="3"/>
  <c r="J6" i="4"/>
  <c r="M6" i="4" l="1"/>
  <c r="N6" i="5" s="1"/>
  <c r="N5" i="3"/>
  <c r="M6" i="3" s="1"/>
  <c r="J7" i="2"/>
  <c r="G7" i="2" s="1"/>
  <c r="O6" i="4" l="1"/>
  <c r="P6" i="4" s="1"/>
  <c r="Q6" i="5" s="1"/>
  <c r="D6" i="2"/>
  <c r="F6" i="2" s="1"/>
  <c r="H6" i="2" s="1"/>
  <c r="D7" i="3"/>
  <c r="K7" i="2"/>
  <c r="E7" i="3"/>
  <c r="M7" i="5" s="1"/>
  <c r="C7" i="4"/>
  <c r="F7" i="5"/>
  <c r="I7" i="3"/>
  <c r="Q6" i="4" l="1"/>
  <c r="S6" i="4" s="1"/>
  <c r="H6" i="3"/>
  <c r="J6" i="3" s="1"/>
  <c r="W6" i="5" s="1"/>
  <c r="E9" i="2"/>
  <c r="I9" i="2" s="1"/>
  <c r="G9" i="5" s="1"/>
  <c r="I9" i="5" s="1"/>
  <c r="K6" i="3"/>
  <c r="L6" i="3" s="1"/>
  <c r="U7" i="5"/>
  <c r="D7" i="5" s="1"/>
  <c r="F7" i="4"/>
  <c r="D7" i="4"/>
  <c r="G7" i="4"/>
  <c r="H7" i="4"/>
  <c r="K7" i="4"/>
  <c r="L7" i="4" s="1"/>
  <c r="E7" i="4"/>
  <c r="H7" i="5"/>
  <c r="L7" i="5"/>
  <c r="R7" i="4"/>
  <c r="R6" i="5" l="1"/>
  <c r="I7" i="4"/>
  <c r="N6" i="3"/>
  <c r="M7" i="3" s="1"/>
  <c r="J7" i="4"/>
  <c r="D7" i="2" l="1"/>
  <c r="K7" i="3" s="1"/>
  <c r="J8" i="2"/>
  <c r="M7" i="4"/>
  <c r="E10" i="2" l="1"/>
  <c r="I10" i="2" s="1"/>
  <c r="G10" i="5" s="1"/>
  <c r="I10" i="5" s="1"/>
  <c r="F7" i="2"/>
  <c r="H7" i="2" s="1"/>
  <c r="O7" i="4"/>
  <c r="P7" i="4" s="1"/>
  <c r="H7" i="3" s="1"/>
  <c r="J7" i="3" s="1"/>
  <c r="W7" i="5" s="1"/>
  <c r="N7" i="5"/>
  <c r="K8" i="2"/>
  <c r="G8" i="2"/>
  <c r="L7" i="3" l="1"/>
  <c r="N7" i="3" s="1"/>
  <c r="M8" i="3" s="1"/>
  <c r="D8" i="3"/>
  <c r="Q7" i="5"/>
  <c r="C8" i="4"/>
  <c r="F8" i="5"/>
  <c r="E8" i="3"/>
  <c r="M8" i="5" s="1"/>
  <c r="I8" i="3"/>
  <c r="Q7" i="4"/>
  <c r="U8" i="5" l="1"/>
  <c r="D8" i="5" s="1"/>
  <c r="S7" i="4"/>
  <c r="R7" i="5"/>
  <c r="R8" i="4"/>
  <c r="D8" i="2"/>
  <c r="K8" i="3" s="1"/>
  <c r="H8" i="5"/>
  <c r="L8" i="5"/>
  <c r="G8" i="4"/>
  <c r="K8" i="4"/>
  <c r="L8" i="4" s="1"/>
  <c r="D8" i="4"/>
  <c r="E8" i="4"/>
  <c r="H8" i="4"/>
  <c r="F8" i="4"/>
  <c r="I8" i="4" l="1"/>
  <c r="E11" i="2"/>
  <c r="I11" i="2" s="1"/>
  <c r="G11" i="5" s="1"/>
  <c r="I11" i="5" s="1"/>
  <c r="F8" i="2"/>
  <c r="H8" i="2" s="1"/>
  <c r="J8" i="4"/>
  <c r="J9" i="2" l="1"/>
  <c r="M8" i="4"/>
  <c r="O8" i="4" l="1"/>
  <c r="P8" i="4" s="1"/>
  <c r="H8" i="3" s="1"/>
  <c r="J8" i="3" s="1"/>
  <c r="W8" i="5" s="1"/>
  <c r="N8" i="5"/>
  <c r="K9" i="2"/>
  <c r="G9" i="2"/>
  <c r="L8" i="3" l="1"/>
  <c r="N8" i="3" s="1"/>
  <c r="M9" i="3" s="1"/>
  <c r="D9" i="3"/>
  <c r="Q8" i="5"/>
  <c r="Q8" i="4"/>
  <c r="C9" i="4"/>
  <c r="F9" i="5"/>
  <c r="I9" i="3"/>
  <c r="E9" i="3"/>
  <c r="M9" i="5" s="1"/>
  <c r="U9" i="5" l="1"/>
  <c r="D9" i="5" s="1"/>
  <c r="S8" i="4"/>
  <c r="R8" i="5"/>
  <c r="F9" i="4"/>
  <c r="H9" i="4"/>
  <c r="E9" i="4"/>
  <c r="D9" i="4"/>
  <c r="G9" i="4"/>
  <c r="K9" i="4"/>
  <c r="L9" i="4" s="1"/>
  <c r="R9" i="4"/>
  <c r="H9" i="5"/>
  <c r="L9" i="5"/>
  <c r="D9" i="2"/>
  <c r="K9" i="3" s="1"/>
  <c r="I9" i="4" l="1"/>
  <c r="J9" i="4"/>
  <c r="F9" i="2"/>
  <c r="E12" i="2"/>
  <c r="I12" i="2" s="1"/>
  <c r="G12" i="5" s="1"/>
  <c r="I12" i="5" s="1"/>
  <c r="J10" i="2" l="1"/>
  <c r="G10" i="2" s="1"/>
  <c r="M9" i="4"/>
  <c r="N9" i="5" s="1"/>
  <c r="H9" i="2"/>
  <c r="K10" i="2" l="1"/>
  <c r="D10" i="3"/>
  <c r="O9" i="4"/>
  <c r="P9" i="4" s="1"/>
  <c r="Q9" i="5" s="1"/>
  <c r="E10" i="3"/>
  <c r="M10" i="5" s="1"/>
  <c r="C10" i="4"/>
  <c r="F10" i="5"/>
  <c r="I10" i="3"/>
  <c r="Q9" i="4" l="1"/>
  <c r="H9" i="3"/>
  <c r="U10" i="5"/>
  <c r="D10" i="5" s="1"/>
  <c r="R10" i="4"/>
  <c r="H10" i="4"/>
  <c r="F10" i="4"/>
  <c r="E10" i="4"/>
  <c r="K10" i="4"/>
  <c r="L10" i="4" s="1"/>
  <c r="D10" i="4"/>
  <c r="G10" i="4"/>
  <c r="H10" i="5"/>
  <c r="L10" i="5"/>
  <c r="I10" i="4" l="1"/>
  <c r="S9" i="4"/>
  <c r="J9" i="3"/>
  <c r="W9" i="5" s="1"/>
  <c r="R9" i="5"/>
  <c r="J10" i="4"/>
  <c r="L9" i="3" l="1"/>
  <c r="N9" i="3" s="1"/>
  <c r="J11" i="2"/>
  <c r="M10" i="4"/>
  <c r="D10" i="2" l="1"/>
  <c r="M10" i="3"/>
  <c r="O10" i="4"/>
  <c r="P10" i="4" s="1"/>
  <c r="N10" i="5"/>
  <c r="K11" i="2"/>
  <c r="G11" i="2"/>
  <c r="K10" i="3" l="1"/>
  <c r="F10" i="2"/>
  <c r="H10" i="2" s="1"/>
  <c r="E13" i="2"/>
  <c r="I13" i="2" s="1"/>
  <c r="G13" i="5" s="1"/>
  <c r="I13" i="5" s="1"/>
  <c r="D11" i="3"/>
  <c r="Q10" i="5"/>
  <c r="H10" i="3"/>
  <c r="Q10" i="4"/>
  <c r="S10" i="4" s="1"/>
  <c r="E11" i="3"/>
  <c r="M11" i="5" s="1"/>
  <c r="C11" i="4"/>
  <c r="F11" i="5"/>
  <c r="I11" i="3"/>
  <c r="J10" i="3" l="1"/>
  <c r="W10" i="5" s="1"/>
  <c r="R10" i="5"/>
  <c r="U11" i="5"/>
  <c r="D11" i="5" s="1"/>
  <c r="R11" i="4"/>
  <c r="H11" i="5"/>
  <c r="L11" i="5"/>
  <c r="H11" i="4"/>
  <c r="F11" i="4"/>
  <c r="G11" i="4"/>
  <c r="E11" i="4"/>
  <c r="D11" i="4"/>
  <c r="K11" i="4"/>
  <c r="L11" i="4" s="1"/>
  <c r="I11" i="4" l="1"/>
  <c r="L10" i="3"/>
  <c r="J11" i="4"/>
  <c r="M11" i="4" s="1"/>
  <c r="N10" i="3" l="1"/>
  <c r="D11" i="2" s="1"/>
  <c r="E14" i="2" s="1"/>
  <c r="I14" i="2" s="1"/>
  <c r="G14" i="5" s="1"/>
  <c r="I14" i="5" s="1"/>
  <c r="J12" i="2"/>
  <c r="K12" i="2" s="1"/>
  <c r="O11" i="4"/>
  <c r="P11" i="4" s="1"/>
  <c r="N11" i="5"/>
  <c r="M11" i="3" l="1"/>
  <c r="K11" i="3"/>
  <c r="F11" i="2"/>
  <c r="H11" i="2" s="1"/>
  <c r="Q11" i="5"/>
  <c r="H11" i="3"/>
  <c r="J11" i="3" s="1"/>
  <c r="W11" i="5" s="1"/>
  <c r="G12" i="2"/>
  <c r="I12" i="3" s="1"/>
  <c r="Q11" i="4"/>
  <c r="S11" i="4" s="1"/>
  <c r="L11" i="3" l="1"/>
  <c r="N11" i="3" s="1"/>
  <c r="R11" i="5"/>
  <c r="D12" i="3"/>
  <c r="U12" i="5"/>
  <c r="D12" i="5" s="1"/>
  <c r="E12" i="3"/>
  <c r="M12" i="5" s="1"/>
  <c r="F12" i="5"/>
  <c r="H12" i="5" s="1"/>
  <c r="C12" i="4"/>
  <c r="H12" i="4" s="1"/>
  <c r="R12" i="4"/>
  <c r="D12" i="2" l="1"/>
  <c r="K12" i="3" s="1"/>
  <c r="M12" i="3"/>
  <c r="F12" i="4"/>
  <c r="E12" i="4"/>
  <c r="K12" i="4"/>
  <c r="L12" i="4" s="1"/>
  <c r="L12" i="5"/>
  <c r="G12" i="4"/>
  <c r="D12" i="4"/>
  <c r="I12" i="4" l="1"/>
  <c r="E15" i="2"/>
  <c r="I15" i="2" s="1"/>
  <c r="G15" i="5" s="1"/>
  <c r="I15" i="5" s="1"/>
  <c r="F12" i="2"/>
  <c r="H12" i="2" s="1"/>
  <c r="J12" i="4"/>
  <c r="M12" i="4" s="1"/>
  <c r="N12" i="5" s="1"/>
  <c r="O12" i="4" l="1"/>
  <c r="P12" i="4" s="1"/>
  <c r="H12" i="3" s="1"/>
  <c r="J13" i="2"/>
  <c r="G13" i="2" s="1"/>
  <c r="C13" i="4" s="1"/>
  <c r="J12" i="3" l="1"/>
  <c r="W12" i="5" s="1"/>
  <c r="E13" i="3"/>
  <c r="M13" i="5" s="1"/>
  <c r="I13" i="3"/>
  <c r="Q12" i="5"/>
  <c r="D13" i="3"/>
  <c r="Q12" i="4"/>
  <c r="F13" i="5"/>
  <c r="H13" i="5" s="1"/>
  <c r="K13" i="2"/>
  <c r="H13" i="4"/>
  <c r="G13" i="4"/>
  <c r="E13" i="4"/>
  <c r="K13" i="4"/>
  <c r="L13" i="4" s="1"/>
  <c r="D13" i="4"/>
  <c r="F13" i="4"/>
  <c r="I13" i="4" l="1"/>
  <c r="L12" i="3"/>
  <c r="U13" i="5"/>
  <c r="D13" i="5" s="1"/>
  <c r="L13" i="5"/>
  <c r="R13" i="4"/>
  <c r="S12" i="4"/>
  <c r="R12" i="5"/>
  <c r="J13" i="4"/>
  <c r="N12" i="3" l="1"/>
  <c r="D13" i="2" s="1"/>
  <c r="F13" i="2" s="1"/>
  <c r="H13" i="2" s="1"/>
  <c r="M13" i="4"/>
  <c r="N13" i="5" s="1"/>
  <c r="J14" i="2"/>
  <c r="E16" i="2" l="1"/>
  <c r="I16" i="2" s="1"/>
  <c r="G16" i="5" s="1"/>
  <c r="I16" i="5" s="1"/>
  <c r="K13" i="3"/>
  <c r="M13" i="3"/>
  <c r="O13" i="4"/>
  <c r="P13" i="4" s="1"/>
  <c r="K14" i="2"/>
  <c r="G14" i="2"/>
  <c r="D14" i="3" l="1"/>
  <c r="Q13" i="5"/>
  <c r="H13" i="3"/>
  <c r="J13" i="3" s="1"/>
  <c r="W13" i="5" s="1"/>
  <c r="Q13" i="4"/>
  <c r="S13" i="4" s="1"/>
  <c r="I14" i="3"/>
  <c r="C14" i="4"/>
  <c r="F14" i="5"/>
  <c r="E14" i="3"/>
  <c r="M14" i="5" s="1"/>
  <c r="L13" i="3" l="1"/>
  <c r="N13" i="3" s="1"/>
  <c r="R13" i="5"/>
  <c r="U14" i="5"/>
  <c r="D14" i="5" s="1"/>
  <c r="R14" i="4"/>
  <c r="H14" i="5"/>
  <c r="L14" i="5"/>
  <c r="H14" i="4"/>
  <c r="F14" i="4"/>
  <c r="D14" i="4"/>
  <c r="K14" i="4"/>
  <c r="L14" i="4" s="1"/>
  <c r="G14" i="4"/>
  <c r="E14" i="4"/>
  <c r="I14" i="4" l="1"/>
  <c r="D14" i="2"/>
  <c r="K14" i="3" s="1"/>
  <c r="M14" i="3"/>
  <c r="J14" i="4"/>
  <c r="E17" i="2" l="1"/>
  <c r="I17" i="2" s="1"/>
  <c r="G17" i="5" s="1"/>
  <c r="I17" i="5" s="1"/>
  <c r="F14" i="2"/>
  <c r="H14" i="2" s="1"/>
  <c r="J15" i="2"/>
  <c r="M14" i="4"/>
  <c r="N14" i="5" s="1"/>
  <c r="O14" i="4" l="1"/>
  <c r="P14" i="4" s="1"/>
  <c r="K15" i="2"/>
  <c r="G15" i="2"/>
  <c r="D15" i="3" l="1"/>
  <c r="Q14" i="5"/>
  <c r="H14" i="3"/>
  <c r="Q14" i="4"/>
  <c r="I15" i="3"/>
  <c r="F15" i="5"/>
  <c r="E15" i="3"/>
  <c r="M15" i="5" s="1"/>
  <c r="C15" i="4"/>
  <c r="S14" i="4" l="1"/>
  <c r="J14" i="3"/>
  <c r="W14" i="5" s="1"/>
  <c r="U15" i="5"/>
  <c r="D15" i="5" s="1"/>
  <c r="R14" i="5"/>
  <c r="K15" i="4"/>
  <c r="L15" i="4" s="1"/>
  <c r="D15" i="4"/>
  <c r="E15" i="4"/>
  <c r="F15" i="4"/>
  <c r="H15" i="4"/>
  <c r="G15" i="4"/>
  <c r="H15" i="5"/>
  <c r="L15" i="5"/>
  <c r="R15" i="4"/>
  <c r="I15" i="4" l="1"/>
  <c r="L14" i="3"/>
  <c r="J15" i="4"/>
  <c r="N14" i="3" l="1"/>
  <c r="D15" i="2" s="1"/>
  <c r="K15" i="3" s="1"/>
  <c r="J16" i="2"/>
  <c r="M15" i="4"/>
  <c r="M15" i="3" l="1"/>
  <c r="E18" i="2"/>
  <c r="I18" i="2" s="1"/>
  <c r="G18" i="5" s="1"/>
  <c r="I18" i="5" s="1"/>
  <c r="F15" i="2"/>
  <c r="H15" i="2" s="1"/>
  <c r="O15" i="4"/>
  <c r="P15" i="4" s="1"/>
  <c r="N15" i="5"/>
  <c r="K16" i="2"/>
  <c r="G16" i="2"/>
  <c r="D16" i="3" l="1"/>
  <c r="Q15" i="4"/>
  <c r="S15" i="4" s="1"/>
  <c r="Q15" i="5"/>
  <c r="H15" i="3"/>
  <c r="E16" i="3"/>
  <c r="M16" i="5" s="1"/>
  <c r="C16" i="4"/>
  <c r="F16" i="5"/>
  <c r="I16" i="3"/>
  <c r="R15" i="5" l="1"/>
  <c r="J15" i="3"/>
  <c r="W15" i="5" s="1"/>
  <c r="U16" i="5"/>
  <c r="D16" i="5" s="1"/>
  <c r="R16" i="4"/>
  <c r="E16" i="4"/>
  <c r="H16" i="4"/>
  <c r="K16" i="4"/>
  <c r="L16" i="4" s="1"/>
  <c r="D16" i="4"/>
  <c r="G16" i="4"/>
  <c r="F16" i="4"/>
  <c r="H16" i="5"/>
  <c r="L16" i="5"/>
  <c r="I16" i="4" l="1"/>
  <c r="L15" i="3"/>
  <c r="J16" i="4"/>
  <c r="J17" i="2" s="1"/>
  <c r="N15" i="3" l="1"/>
  <c r="M16" i="3" s="1"/>
  <c r="M16" i="4"/>
  <c r="N16" i="5" s="1"/>
  <c r="K17" i="2"/>
  <c r="G17" i="2"/>
  <c r="D16" i="2" l="1"/>
  <c r="F16" i="2" s="1"/>
  <c r="H16" i="2" s="1"/>
  <c r="D17" i="3"/>
  <c r="O16" i="4"/>
  <c r="I17" i="3"/>
  <c r="E17" i="3"/>
  <c r="M17" i="5" s="1"/>
  <c r="C17" i="4"/>
  <c r="F17" i="5"/>
  <c r="K16" i="3" l="1"/>
  <c r="E19" i="2"/>
  <c r="I19" i="2" s="1"/>
  <c r="G19" i="5" s="1"/>
  <c r="I19" i="5" s="1"/>
  <c r="U17" i="5"/>
  <c r="D17" i="5" s="1"/>
  <c r="P16" i="4"/>
  <c r="H16" i="3" s="1"/>
  <c r="J16" i="3" s="1"/>
  <c r="W16" i="5" s="1"/>
  <c r="H17" i="5"/>
  <c r="L17" i="5"/>
  <c r="E17" i="4"/>
  <c r="D17" i="4"/>
  <c r="F17" i="4"/>
  <c r="G17" i="4"/>
  <c r="K17" i="4"/>
  <c r="L17" i="4" s="1"/>
  <c r="H17" i="4"/>
  <c r="R17" i="4"/>
  <c r="I17" i="4" l="1"/>
  <c r="L16" i="3"/>
  <c r="Q16" i="4"/>
  <c r="S16" i="4" s="1"/>
  <c r="Q16" i="5"/>
  <c r="J17" i="4"/>
  <c r="M17" i="4" s="1"/>
  <c r="N16" i="3" l="1"/>
  <c r="M17" i="3" s="1"/>
  <c r="J18" i="2"/>
  <c r="K18" i="2" s="1"/>
  <c r="R16" i="5"/>
  <c r="N17" i="5"/>
  <c r="O17" i="4"/>
  <c r="P17" i="4" s="1"/>
  <c r="H17" i="3" s="1"/>
  <c r="J17" i="3" s="1"/>
  <c r="W17" i="5" s="1"/>
  <c r="G18" i="2" l="1"/>
  <c r="D18" i="3" s="1"/>
  <c r="D17" i="2"/>
  <c r="K17" i="3" s="1"/>
  <c r="L17" i="3" s="1"/>
  <c r="Q17" i="5"/>
  <c r="Q17" i="4"/>
  <c r="N17" i="3" l="1"/>
  <c r="E18" i="3"/>
  <c r="M18" i="5" s="1"/>
  <c r="I18" i="3"/>
  <c r="U18" i="5" s="1"/>
  <c r="D18" i="5" s="1"/>
  <c r="F18" i="5"/>
  <c r="H18" i="5" s="1"/>
  <c r="C18" i="4"/>
  <c r="E18" i="4" s="1"/>
  <c r="F17" i="2"/>
  <c r="H17" i="2" s="1"/>
  <c r="E20" i="2"/>
  <c r="I20" i="2" s="1"/>
  <c r="G20" i="5" s="1"/>
  <c r="I20" i="5" s="1"/>
  <c r="S17" i="4"/>
  <c r="R17" i="5"/>
  <c r="G18" i="4" l="1"/>
  <c r="D18" i="4"/>
  <c r="K18" i="4"/>
  <c r="L18" i="4" s="1"/>
  <c r="H18" i="4"/>
  <c r="L18" i="5"/>
  <c r="R18" i="4"/>
  <c r="F18" i="4"/>
  <c r="D18" i="2"/>
  <c r="K18" i="3" s="1"/>
  <c r="M18" i="3"/>
  <c r="I18" i="4" l="1"/>
  <c r="J18" i="4"/>
  <c r="M18" i="4" s="1"/>
  <c r="N18" i="5" s="1"/>
  <c r="E21" i="2"/>
  <c r="I21" i="2" s="1"/>
  <c r="G21" i="5" s="1"/>
  <c r="I21" i="5" s="1"/>
  <c r="F18" i="2"/>
  <c r="H18" i="2" s="1"/>
  <c r="J19" i="2" l="1"/>
  <c r="K19" i="2" s="1"/>
  <c r="O18" i="4"/>
  <c r="P18" i="4" s="1"/>
  <c r="Q18" i="5" s="1"/>
  <c r="G19" i="2" l="1"/>
  <c r="F19" i="5" s="1"/>
  <c r="H19" i="5" s="1"/>
  <c r="Q18" i="4"/>
  <c r="H18" i="3"/>
  <c r="I19" i="3" l="1"/>
  <c r="U19" i="5" s="1"/>
  <c r="D19" i="5" s="1"/>
  <c r="S18" i="4"/>
  <c r="C19" i="4"/>
  <c r="D19" i="3"/>
  <c r="E19" i="3"/>
  <c r="M19" i="5" s="1"/>
  <c r="L19" i="5"/>
  <c r="J18" i="3"/>
  <c r="W18" i="5" s="1"/>
  <c r="R18" i="5"/>
  <c r="R19" i="4" l="1"/>
  <c r="F19" i="4"/>
  <c r="G19" i="4"/>
  <c r="K19" i="4"/>
  <c r="L19" i="4" s="1"/>
  <c r="H19" i="4"/>
  <c r="E19" i="4"/>
  <c r="D19" i="4"/>
  <c r="L18" i="3"/>
  <c r="I19" i="4" l="1"/>
  <c r="J19" i="4"/>
  <c r="N18" i="3"/>
  <c r="M19" i="3" s="1"/>
  <c r="M19" i="4" l="1"/>
  <c r="J20" i="2"/>
  <c r="D19" i="2"/>
  <c r="K19" i="3" s="1"/>
  <c r="K20" i="2" l="1"/>
  <c r="G20" i="2"/>
  <c r="O19" i="4"/>
  <c r="P19" i="4" s="1"/>
  <c r="N19" i="5"/>
  <c r="E22" i="2"/>
  <c r="I22" i="2" s="1"/>
  <c r="G22" i="5" s="1"/>
  <c r="I22" i="5" s="1"/>
  <c r="F19" i="2"/>
  <c r="H19" i="2" s="1"/>
  <c r="E20" i="3" l="1"/>
  <c r="M20" i="5" s="1"/>
  <c r="F20" i="5"/>
  <c r="D20" i="3"/>
  <c r="I20" i="3"/>
  <c r="C20" i="4"/>
  <c r="Q19" i="4"/>
  <c r="Q19" i="5"/>
  <c r="H19" i="3"/>
  <c r="J19" i="3" s="1"/>
  <c r="W19" i="5" s="1"/>
  <c r="L19" i="3" l="1"/>
  <c r="N19" i="3" s="1"/>
  <c r="M20" i="3" s="1"/>
  <c r="R20" i="4"/>
  <c r="U20" i="5"/>
  <c r="D20" i="5" s="1"/>
  <c r="S19" i="4"/>
  <c r="R19" i="5"/>
  <c r="G20" i="4"/>
  <c r="E20" i="4"/>
  <c r="D20" i="4"/>
  <c r="F20" i="4"/>
  <c r="H20" i="4"/>
  <c r="K20" i="4"/>
  <c r="L20" i="4" s="1"/>
  <c r="L20" i="5"/>
  <c r="H20" i="5"/>
  <c r="J20" i="4" l="1"/>
  <c r="M20" i="4" s="1"/>
  <c r="O20" i="4" s="1"/>
  <c r="P20" i="4" s="1"/>
  <c r="Q20" i="4" s="1"/>
  <c r="I20" i="4"/>
  <c r="D20" i="2"/>
  <c r="K20" i="3" s="1"/>
  <c r="N20" i="5" l="1"/>
  <c r="J21" i="2"/>
  <c r="K21" i="2" s="1"/>
  <c r="E23" i="2"/>
  <c r="I23" i="2" s="1"/>
  <c r="G23" i="5" s="1"/>
  <c r="I23" i="5" s="1"/>
  <c r="F20" i="2"/>
  <c r="H20" i="2" s="1"/>
  <c r="Q20" i="5"/>
  <c r="H20" i="3"/>
  <c r="S20" i="4"/>
  <c r="R20" i="5"/>
  <c r="G21" i="2" l="1"/>
  <c r="J20" i="3"/>
  <c r="W20" i="5" s="1"/>
  <c r="F21" i="5" l="1"/>
  <c r="I21" i="3"/>
  <c r="C21" i="4"/>
  <c r="D21" i="3"/>
  <c r="E21" i="3"/>
  <c r="M21" i="5" s="1"/>
  <c r="L20" i="3"/>
  <c r="G21" i="4" l="1"/>
  <c r="K21" i="4"/>
  <c r="L21" i="4" s="1"/>
  <c r="D21" i="4"/>
  <c r="H21" i="4"/>
  <c r="E21" i="4"/>
  <c r="F21" i="4"/>
  <c r="U21" i="5"/>
  <c r="D21" i="5" s="1"/>
  <c r="R21" i="4"/>
  <c r="H21" i="5"/>
  <c r="L21" i="5"/>
  <c r="N20" i="3"/>
  <c r="M21" i="3" s="1"/>
  <c r="J21" i="4" l="1"/>
  <c r="I21" i="4"/>
  <c r="D21" i="2"/>
  <c r="K21" i="3" s="1"/>
  <c r="M21" i="4" l="1"/>
  <c r="J22" i="2"/>
  <c r="F21" i="2"/>
  <c r="H21" i="2" s="1"/>
  <c r="E24" i="2"/>
  <c r="I24" i="2" s="1"/>
  <c r="G24" i="5" s="1"/>
  <c r="I24" i="5" s="1"/>
  <c r="K22" i="2" l="1"/>
  <c r="G22" i="2"/>
  <c r="N21" i="5"/>
  <c r="O21" i="4"/>
  <c r="P21" i="4" l="1"/>
  <c r="E22" i="3"/>
  <c r="M22" i="5" s="1"/>
  <c r="I22" i="3"/>
  <c r="C22" i="4"/>
  <c r="F22" i="5"/>
  <c r="D22" i="3"/>
  <c r="H22" i="5" l="1"/>
  <c r="L22" i="5"/>
  <c r="R22" i="4"/>
  <c r="U22" i="5"/>
  <c r="D22" i="5" s="1"/>
  <c r="Q21" i="5"/>
  <c r="H21" i="3"/>
  <c r="J21" i="3" s="1"/>
  <c r="E22" i="4"/>
  <c r="H22" i="4"/>
  <c r="G22" i="4"/>
  <c r="F22" i="4"/>
  <c r="D22" i="4"/>
  <c r="K22" i="4"/>
  <c r="L22" i="4" s="1"/>
  <c r="Q21" i="4"/>
  <c r="W21" i="5" l="1"/>
  <c r="L21" i="3"/>
  <c r="N21" i="3" s="1"/>
  <c r="M22" i="3" s="1"/>
  <c r="R21" i="5"/>
  <c r="S21" i="4"/>
  <c r="I22" i="4"/>
  <c r="J22" i="4"/>
  <c r="D22" i="2" l="1"/>
  <c r="E25" i="2" s="1"/>
  <c r="I25" i="2" s="1"/>
  <c r="G25" i="5" s="1"/>
  <c r="I25" i="5" s="1"/>
  <c r="M22" i="4"/>
  <c r="J23" i="2"/>
  <c r="K22" i="3" l="1"/>
  <c r="F22" i="2"/>
  <c r="H22" i="2" s="1"/>
  <c r="G23" i="2"/>
  <c r="K23" i="2"/>
  <c r="N22" i="5"/>
  <c r="O22" i="4"/>
  <c r="P22" i="4" l="1"/>
  <c r="Q22" i="4" s="1"/>
  <c r="F23" i="5"/>
  <c r="C23" i="4"/>
  <c r="D23" i="3"/>
  <c r="E23" i="3"/>
  <c r="M23" i="5" s="1"/>
  <c r="I23" i="3"/>
  <c r="S22" i="4" l="1"/>
  <c r="R22" i="5"/>
  <c r="L23" i="5"/>
  <c r="H23" i="5"/>
  <c r="U23" i="5"/>
  <c r="D23" i="5" s="1"/>
  <c r="R23" i="4"/>
  <c r="H23" i="4"/>
  <c r="F23" i="4"/>
  <c r="K23" i="4"/>
  <c r="L23" i="4" s="1"/>
  <c r="E23" i="4"/>
  <c r="D23" i="4"/>
  <c r="G23" i="4"/>
  <c r="Q22" i="5"/>
  <c r="H22" i="3"/>
  <c r="J22" i="3" s="1"/>
  <c r="W22" i="5" l="1"/>
  <c r="L22" i="3"/>
  <c r="N22" i="3" s="1"/>
  <c r="J23" i="4"/>
  <c r="I23" i="4"/>
  <c r="M23" i="4" l="1"/>
  <c r="J24" i="2"/>
  <c r="M23" i="3"/>
  <c r="D23" i="2"/>
  <c r="F23" i="2" l="1"/>
  <c r="H23" i="2" s="1"/>
  <c r="K23" i="3"/>
  <c r="E26" i="2"/>
  <c r="I26" i="2" s="1"/>
  <c r="G26" i="5" s="1"/>
  <c r="I26" i="5" s="1"/>
  <c r="G24" i="2"/>
  <c r="K24" i="2"/>
  <c r="O23" i="4"/>
  <c r="N23" i="5"/>
  <c r="E24" i="3" l="1"/>
  <c r="M24" i="5" s="1"/>
  <c r="I24" i="3"/>
  <c r="F24" i="5"/>
  <c r="C24" i="4"/>
  <c r="D24" i="3"/>
  <c r="P23" i="4"/>
  <c r="Q23" i="4" s="1"/>
  <c r="S23" i="4" l="1"/>
  <c r="R23" i="5"/>
  <c r="Q23" i="5"/>
  <c r="H23" i="3"/>
  <c r="J23" i="3" s="1"/>
  <c r="F24" i="4"/>
  <c r="G24" i="4"/>
  <c r="E24" i="4"/>
  <c r="H24" i="4"/>
  <c r="K24" i="4"/>
  <c r="L24" i="4" s="1"/>
  <c r="D24" i="4"/>
  <c r="H24" i="5"/>
  <c r="L24" i="5"/>
  <c r="R24" i="4"/>
  <c r="U24" i="5"/>
  <c r="D24" i="5" s="1"/>
  <c r="I24" i="4" l="1"/>
  <c r="W23" i="5"/>
  <c r="L23" i="3"/>
  <c r="N23" i="3" s="1"/>
  <c r="D24" i="2" s="1"/>
  <c r="K24" i="3" s="1"/>
  <c r="J24" i="4"/>
  <c r="E27" i="2" l="1"/>
  <c r="I27" i="2" s="1"/>
  <c r="G27" i="5" s="1"/>
  <c r="I27" i="5" s="1"/>
  <c r="M24" i="3"/>
  <c r="F24" i="2"/>
  <c r="H24" i="2" s="1"/>
  <c r="M24" i="4"/>
  <c r="J25" i="2"/>
  <c r="K25" i="2" l="1"/>
  <c r="G25" i="2"/>
  <c r="N24" i="5"/>
  <c r="O24" i="4"/>
  <c r="P24" i="4" l="1"/>
  <c r="Q24" i="4" s="1"/>
  <c r="E25" i="3"/>
  <c r="M25" i="5" s="1"/>
  <c r="I25" i="3"/>
  <c r="C25" i="4"/>
  <c r="F25" i="5"/>
  <c r="D25" i="3"/>
  <c r="S24" i="4" l="1"/>
  <c r="R24" i="5"/>
  <c r="L25" i="5"/>
  <c r="H25" i="5"/>
  <c r="F25" i="4"/>
  <c r="K25" i="4"/>
  <c r="L25" i="4" s="1"/>
  <c r="G25" i="4"/>
  <c r="H25" i="4"/>
  <c r="D25" i="4"/>
  <c r="E25" i="4"/>
  <c r="U25" i="5"/>
  <c r="D25" i="5" s="1"/>
  <c r="R25" i="4"/>
  <c r="H24" i="3"/>
  <c r="J24" i="3" s="1"/>
  <c r="Q24" i="5"/>
  <c r="W24" i="5" l="1"/>
  <c r="L24" i="3"/>
  <c r="N24" i="3" s="1"/>
  <c r="I25" i="4"/>
  <c r="J25" i="4"/>
  <c r="M25" i="4" l="1"/>
  <c r="J26" i="2"/>
  <c r="M25" i="3"/>
  <c r="D25" i="2"/>
  <c r="K25" i="3" l="1"/>
  <c r="F25" i="2"/>
  <c r="H25" i="2" s="1"/>
  <c r="E28" i="2"/>
  <c r="I28" i="2" s="1"/>
  <c r="G28" i="5" s="1"/>
  <c r="I28" i="5" s="1"/>
  <c r="K26" i="2"/>
  <c r="G26" i="2"/>
  <c r="N25" i="5"/>
  <c r="O25" i="4"/>
  <c r="C26" i="4" l="1"/>
  <c r="F26" i="5"/>
  <c r="E26" i="3"/>
  <c r="M26" i="5" s="1"/>
  <c r="I26" i="3"/>
  <c r="D26" i="3"/>
  <c r="P25" i="4"/>
  <c r="Q25" i="4" s="1"/>
  <c r="S25" i="4" l="1"/>
  <c r="R25" i="5"/>
  <c r="U26" i="5"/>
  <c r="D26" i="5" s="1"/>
  <c r="R26" i="4"/>
  <c r="H26" i="5"/>
  <c r="L26" i="5"/>
  <c r="H25" i="3"/>
  <c r="J25" i="3" s="1"/>
  <c r="Q25" i="5"/>
  <c r="H26" i="4"/>
  <c r="F26" i="4"/>
  <c r="E26" i="4"/>
  <c r="D26" i="4"/>
  <c r="G26" i="4"/>
  <c r="K26" i="4"/>
  <c r="L26" i="4" s="1"/>
  <c r="W25" i="5" l="1"/>
  <c r="L25" i="3"/>
  <c r="N25" i="3" s="1"/>
  <c r="J26" i="4"/>
  <c r="I26" i="4"/>
  <c r="M26" i="4" l="1"/>
  <c r="J27" i="2"/>
  <c r="M26" i="3"/>
  <c r="D26" i="2"/>
  <c r="K26" i="3" l="1"/>
  <c r="F26" i="2"/>
  <c r="H26" i="2" s="1"/>
  <c r="E29" i="2"/>
  <c r="I29" i="2" s="1"/>
  <c r="G29" i="5" s="1"/>
  <c r="I29" i="5" s="1"/>
  <c r="K27" i="2"/>
  <c r="G27" i="2"/>
  <c r="N26" i="5"/>
  <c r="O26" i="4"/>
  <c r="P26" i="4" l="1"/>
  <c r="E27" i="3"/>
  <c r="M27" i="5" s="1"/>
  <c r="D27" i="3"/>
  <c r="F27" i="5"/>
  <c r="I27" i="3"/>
  <c r="C27" i="4"/>
  <c r="Q26" i="5" l="1"/>
  <c r="H26" i="3"/>
  <c r="J26" i="3" s="1"/>
  <c r="K27" i="4"/>
  <c r="L27" i="4" s="1"/>
  <c r="H27" i="4"/>
  <c r="E27" i="4"/>
  <c r="D27" i="4"/>
  <c r="G27" i="4"/>
  <c r="F27" i="4"/>
  <c r="H27" i="5"/>
  <c r="L27" i="5"/>
  <c r="U27" i="5"/>
  <c r="D27" i="5" s="1"/>
  <c r="R27" i="4"/>
  <c r="Q26" i="4"/>
  <c r="I27" i="4" l="1"/>
  <c r="J27" i="4"/>
  <c r="W26" i="5"/>
  <c r="L26" i="3"/>
  <c r="S26" i="4"/>
  <c r="R26" i="5"/>
  <c r="N26" i="3" l="1"/>
  <c r="M27" i="4"/>
  <c r="J28" i="2"/>
  <c r="K28" i="2" l="1"/>
  <c r="G28" i="2"/>
  <c r="N27" i="5"/>
  <c r="O27" i="4"/>
  <c r="M27" i="3"/>
  <c r="D27" i="2"/>
  <c r="D28" i="3" l="1"/>
  <c r="C28" i="4"/>
  <c r="E28" i="3"/>
  <c r="M28" i="5" s="1"/>
  <c r="I28" i="3"/>
  <c r="F28" i="5"/>
  <c r="F27" i="2"/>
  <c r="H27" i="2" s="1"/>
  <c r="E30" i="2"/>
  <c r="I30" i="2" s="1"/>
  <c r="G30" i="5" s="1"/>
  <c r="I30" i="5" s="1"/>
  <c r="K27" i="3"/>
  <c r="P27" i="4"/>
  <c r="Q27" i="4" s="1"/>
  <c r="S27" i="4" l="1"/>
  <c r="R27" i="5"/>
  <c r="R28" i="4"/>
  <c r="U28" i="5"/>
  <c r="D28" i="5" s="1"/>
  <c r="H28" i="5"/>
  <c r="L28" i="5"/>
  <c r="F28" i="4"/>
  <c r="H28" i="4"/>
  <c r="K28" i="4"/>
  <c r="L28" i="4" s="1"/>
  <c r="E28" i="4"/>
  <c r="G28" i="4"/>
  <c r="D28" i="4"/>
  <c r="Q27" i="5"/>
  <c r="H27" i="3"/>
  <c r="J27" i="3" s="1"/>
  <c r="W27" i="5" l="1"/>
  <c r="L27" i="3"/>
  <c r="N27" i="3" s="1"/>
  <c r="J28" i="4"/>
  <c r="I28" i="4"/>
  <c r="J29" i="2" l="1"/>
  <c r="M28" i="4"/>
  <c r="M28" i="3"/>
  <c r="D28" i="2"/>
  <c r="K28" i="3" l="1"/>
  <c r="F28" i="2"/>
  <c r="H28" i="2" s="1"/>
  <c r="E31" i="2"/>
  <c r="I31" i="2" s="1"/>
  <c r="G31" i="5" s="1"/>
  <c r="I31" i="5" s="1"/>
  <c r="N28" i="5"/>
  <c r="O28" i="4"/>
  <c r="G29" i="2"/>
  <c r="K29" i="2"/>
  <c r="C29" i="4" l="1"/>
  <c r="F29" i="5"/>
  <c r="D29" i="3"/>
  <c r="E29" i="3"/>
  <c r="M29" i="5" s="1"/>
  <c r="I29" i="3"/>
  <c r="P28" i="4"/>
  <c r="Q28" i="4" s="1"/>
  <c r="U29" i="5" l="1"/>
  <c r="D29" i="5" s="1"/>
  <c r="R29" i="4"/>
  <c r="S28" i="4"/>
  <c r="R28" i="5"/>
  <c r="Q28" i="5"/>
  <c r="H28" i="3"/>
  <c r="J28" i="3" s="1"/>
  <c r="L29" i="5"/>
  <c r="H29" i="5"/>
  <c r="E29" i="4"/>
  <c r="K29" i="4"/>
  <c r="L29" i="4" s="1"/>
  <c r="G29" i="4"/>
  <c r="F29" i="4"/>
  <c r="H29" i="4"/>
  <c r="D29" i="4"/>
  <c r="J29" i="4" l="1"/>
  <c r="J30" i="2" s="1"/>
  <c r="I29" i="4"/>
  <c r="W28" i="5"/>
  <c r="L28" i="3"/>
  <c r="N28" i="3" s="1"/>
  <c r="M29" i="4" l="1"/>
  <c r="N29" i="5" s="1"/>
  <c r="K30" i="2"/>
  <c r="G30" i="2"/>
  <c r="D29" i="2"/>
  <c r="M29" i="3"/>
  <c r="O29" i="4" l="1"/>
  <c r="P29" i="4" s="1"/>
  <c r="E30" i="3"/>
  <c r="M30" i="5" s="1"/>
  <c r="F30" i="5"/>
  <c r="I30" i="3"/>
  <c r="C30" i="4"/>
  <c r="D30" i="3"/>
  <c r="K29" i="3"/>
  <c r="E32" i="2"/>
  <c r="I32" i="2" s="1"/>
  <c r="G32" i="5" s="1"/>
  <c r="I32" i="5" s="1"/>
  <c r="F29" i="2"/>
  <c r="H29" i="2" s="1"/>
  <c r="Q29" i="5" l="1"/>
  <c r="H29" i="3"/>
  <c r="J29" i="3" s="1"/>
  <c r="K30" i="4"/>
  <c r="L30" i="4" s="1"/>
  <c r="H30" i="4"/>
  <c r="D30" i="4"/>
  <c r="E30" i="4"/>
  <c r="F30" i="4"/>
  <c r="G30" i="4"/>
  <c r="Q29" i="4"/>
  <c r="U30" i="5"/>
  <c r="D30" i="5" s="1"/>
  <c r="R30" i="4"/>
  <c r="L30" i="5"/>
  <c r="H30" i="5"/>
  <c r="J30" i="4" l="1"/>
  <c r="S29" i="4"/>
  <c r="R29" i="5"/>
  <c r="I30" i="4"/>
  <c r="W29" i="5"/>
  <c r="L29" i="3"/>
  <c r="N29" i="3" s="1"/>
  <c r="D30" i="2" s="1"/>
  <c r="E33" i="2" s="1"/>
  <c r="I33" i="2" s="1"/>
  <c r="G33" i="5" s="1"/>
  <c r="I33" i="5" s="1"/>
  <c r="M30" i="3" l="1"/>
  <c r="K30" i="3"/>
  <c r="F30" i="2"/>
  <c r="H30" i="2" s="1"/>
  <c r="M30" i="4"/>
  <c r="J31" i="2"/>
  <c r="K31" i="2" l="1"/>
  <c r="G31" i="2"/>
  <c r="O30" i="4"/>
  <c r="P30" i="4" s="1"/>
  <c r="N30" i="5"/>
  <c r="Q30" i="4" l="1"/>
  <c r="Q30" i="5"/>
  <c r="H30" i="3"/>
  <c r="J30" i="3" s="1"/>
  <c r="W30" i="5" s="1"/>
  <c r="E31" i="3"/>
  <c r="M31" i="5" s="1"/>
  <c r="C31" i="4"/>
  <c r="D31" i="3"/>
  <c r="F31" i="5"/>
  <c r="I31" i="3"/>
  <c r="U31" i="5" l="1"/>
  <c r="D31" i="5" s="1"/>
  <c r="R31" i="4"/>
  <c r="H31" i="5"/>
  <c r="L31" i="5"/>
  <c r="S30" i="4"/>
  <c r="R30" i="5"/>
  <c r="D31" i="4"/>
  <c r="H31" i="4"/>
  <c r="E31" i="4"/>
  <c r="K31" i="4"/>
  <c r="L31" i="4" s="1"/>
  <c r="G31" i="4"/>
  <c r="F31" i="4"/>
  <c r="L30" i="3"/>
  <c r="N30" i="3"/>
  <c r="M31" i="3" s="1"/>
  <c r="I31" i="4" l="1"/>
  <c r="J31" i="4"/>
  <c r="D31" i="2"/>
  <c r="K31" i="3" s="1"/>
  <c r="M31" i="4" l="1"/>
  <c r="J32" i="2"/>
  <c r="F31" i="2"/>
  <c r="H31" i="2" s="1"/>
  <c r="E34" i="2"/>
  <c r="I34" i="2" s="1"/>
  <c r="G34" i="5" s="1"/>
  <c r="I34" i="5" s="1"/>
  <c r="O31" i="4" l="1"/>
  <c r="N31" i="5"/>
  <c r="G32" i="2"/>
  <c r="K32" i="2"/>
  <c r="I32" i="3" l="1"/>
  <c r="C32" i="4"/>
  <c r="E32" i="3"/>
  <c r="M32" i="5" s="1"/>
  <c r="F32" i="5"/>
  <c r="D32" i="3"/>
  <c r="P31" i="4"/>
  <c r="Q31" i="4" s="1"/>
  <c r="R31" i="5" l="1"/>
  <c r="S31" i="4"/>
  <c r="H31" i="3"/>
  <c r="J31" i="3" s="1"/>
  <c r="Q31" i="5"/>
  <c r="L32" i="5"/>
  <c r="H32" i="5"/>
  <c r="H32" i="4"/>
  <c r="E32" i="4"/>
  <c r="I32" i="4" s="1"/>
  <c r="K32" i="4"/>
  <c r="L32" i="4" s="1"/>
  <c r="F32" i="4"/>
  <c r="G32" i="4"/>
  <c r="D32" i="4"/>
  <c r="R32" i="4"/>
  <c r="U32" i="5"/>
  <c r="D32" i="5" s="1"/>
  <c r="W31" i="5" l="1"/>
  <c r="L31" i="3"/>
  <c r="N31" i="3" s="1"/>
  <c r="M32" i="3" s="1"/>
  <c r="J32" i="4"/>
  <c r="D32" i="2"/>
  <c r="E35" i="2" s="1"/>
  <c r="I35" i="2" s="1"/>
  <c r="G35" i="5" s="1"/>
  <c r="I35" i="5" s="1"/>
  <c r="J33" i="2" l="1"/>
  <c r="M32" i="4"/>
  <c r="F32" i="2"/>
  <c r="H32" i="2" s="1"/>
  <c r="K32" i="3"/>
  <c r="O32" i="4" l="1"/>
  <c r="P32" i="4" s="1"/>
  <c r="N32" i="5"/>
  <c r="K33" i="2"/>
  <c r="G33" i="2"/>
  <c r="Q32" i="4" l="1"/>
  <c r="Q32" i="5"/>
  <c r="H32" i="3"/>
  <c r="J32" i="3" s="1"/>
  <c r="D33" i="3"/>
  <c r="I33" i="3"/>
  <c r="E33" i="3"/>
  <c r="M33" i="5" s="1"/>
  <c r="C33" i="4"/>
  <c r="F33" i="5"/>
  <c r="E33" i="4" l="1"/>
  <c r="D33" i="4"/>
  <c r="G33" i="4"/>
  <c r="H33" i="4"/>
  <c r="F33" i="4"/>
  <c r="K33" i="4"/>
  <c r="L33" i="4" s="1"/>
  <c r="S32" i="4"/>
  <c r="R32" i="5"/>
  <c r="H33" i="5"/>
  <c r="L33" i="5"/>
  <c r="U33" i="5"/>
  <c r="D33" i="5" s="1"/>
  <c r="R33" i="4"/>
  <c r="W32" i="5"/>
  <c r="L32" i="3"/>
  <c r="N32" i="3" s="1"/>
  <c r="I33" i="4" l="1"/>
  <c r="M33" i="3"/>
  <c r="D33" i="2"/>
  <c r="J33" i="4"/>
  <c r="M33" i="4" l="1"/>
  <c r="J34" i="2"/>
  <c r="K33" i="3"/>
  <c r="F33" i="2"/>
  <c r="H33" i="2" s="1"/>
  <c r="E36" i="2"/>
  <c r="I36" i="2" s="1"/>
  <c r="G36" i="5" s="1"/>
  <c r="I36" i="5" s="1"/>
  <c r="N33" i="5" l="1"/>
  <c r="O33" i="4"/>
  <c r="K34" i="2"/>
  <c r="G34" i="2"/>
  <c r="I34" i="3" l="1"/>
  <c r="C34" i="4"/>
  <c r="D34" i="3"/>
  <c r="F34" i="5"/>
  <c r="E34" i="3"/>
  <c r="M34" i="5" s="1"/>
  <c r="P33" i="4"/>
  <c r="Q33" i="5" l="1"/>
  <c r="H33" i="3"/>
  <c r="J33" i="3" s="1"/>
  <c r="L34" i="5"/>
  <c r="H34" i="5"/>
  <c r="R34" i="4"/>
  <c r="U34" i="5"/>
  <c r="D34" i="5" s="1"/>
  <c r="Q33" i="4"/>
  <c r="H34" i="4"/>
  <c r="G34" i="4"/>
  <c r="D34" i="4"/>
  <c r="F34" i="4"/>
  <c r="E34" i="4"/>
  <c r="K34" i="4"/>
  <c r="L34" i="4" s="1"/>
  <c r="I34" i="4" l="1"/>
  <c r="S33" i="4"/>
  <c r="R33" i="5"/>
  <c r="J34" i="4"/>
  <c r="W33" i="5"/>
  <c r="L33" i="3"/>
  <c r="N33" i="3" s="1"/>
  <c r="M34" i="3" l="1"/>
  <c r="D34" i="2"/>
  <c r="J35" i="2"/>
  <c r="M34" i="4"/>
  <c r="O34" i="4" l="1"/>
  <c r="N34" i="5"/>
  <c r="K35" i="2"/>
  <c r="G35" i="2"/>
  <c r="K34" i="3"/>
  <c r="F34" i="2"/>
  <c r="H34" i="2" s="1"/>
  <c r="E37" i="2"/>
  <c r="I37" i="2" s="1"/>
  <c r="G37" i="5" s="1"/>
  <c r="I37" i="5" s="1"/>
  <c r="P34" i="4" l="1"/>
  <c r="I35" i="3"/>
  <c r="C35" i="4"/>
  <c r="F35" i="5"/>
  <c r="E35" i="3"/>
  <c r="M35" i="5" s="1"/>
  <c r="D35" i="3"/>
  <c r="H34" i="3" l="1"/>
  <c r="J34" i="3" s="1"/>
  <c r="Q34" i="5"/>
  <c r="H35" i="5"/>
  <c r="L35" i="5"/>
  <c r="U35" i="5"/>
  <c r="D35" i="5" s="1"/>
  <c r="R35" i="4"/>
  <c r="G35" i="4"/>
  <c r="F35" i="4"/>
  <c r="H35" i="4"/>
  <c r="E35" i="4"/>
  <c r="D35" i="4"/>
  <c r="K35" i="4"/>
  <c r="L35" i="4" s="1"/>
  <c r="Q34" i="4"/>
  <c r="W34" i="5" l="1"/>
  <c r="L34" i="3"/>
  <c r="N34" i="3" s="1"/>
  <c r="S34" i="4"/>
  <c r="R34" i="5"/>
  <c r="J35" i="4"/>
  <c r="I35" i="4"/>
  <c r="J36" i="2" l="1"/>
  <c r="M35" i="4"/>
  <c r="M35" i="3"/>
  <c r="D35" i="2"/>
  <c r="K35" i="3" l="1"/>
  <c r="E38" i="2"/>
  <c r="I38" i="2" s="1"/>
  <c r="G38" i="5" s="1"/>
  <c r="I38" i="5" s="1"/>
  <c r="F35" i="2"/>
  <c r="H35" i="2" s="1"/>
  <c r="N35" i="5"/>
  <c r="O35" i="4"/>
  <c r="G36" i="2"/>
  <c r="K36" i="2"/>
  <c r="D36" i="3" l="1"/>
  <c r="I36" i="3"/>
  <c r="E36" i="3"/>
  <c r="M36" i="5" s="1"/>
  <c r="C36" i="4"/>
  <c r="F36" i="5"/>
  <c r="P35" i="4"/>
  <c r="Q35" i="4" s="1"/>
  <c r="R36" i="4" l="1"/>
  <c r="U36" i="5"/>
  <c r="D36" i="5" s="1"/>
  <c r="S35" i="4"/>
  <c r="R35" i="5"/>
  <c r="H35" i="3"/>
  <c r="J35" i="3" s="1"/>
  <c r="Q35" i="5"/>
  <c r="L36" i="5"/>
  <c r="H36" i="5"/>
  <c r="K36" i="4"/>
  <c r="L36" i="4" s="1"/>
  <c r="H36" i="4"/>
  <c r="G36" i="4"/>
  <c r="E36" i="4"/>
  <c r="D36" i="4"/>
  <c r="F36" i="4"/>
  <c r="W35" i="5" l="1"/>
  <c r="L35" i="3"/>
  <c r="N35" i="3" s="1"/>
  <c r="I36" i="4"/>
  <c r="J36" i="4"/>
  <c r="M36" i="4" l="1"/>
  <c r="J37" i="2"/>
  <c r="M36" i="3"/>
  <c r="D36" i="2"/>
  <c r="F36" i="2" l="1"/>
  <c r="H36" i="2" s="1"/>
  <c r="E39" i="2"/>
  <c r="I39" i="2" s="1"/>
  <c r="G39" i="5" s="1"/>
  <c r="I39" i="5" s="1"/>
  <c r="K36" i="3"/>
  <c r="K37" i="2"/>
  <c r="G37" i="2"/>
  <c r="O36" i="4"/>
  <c r="N36" i="5"/>
  <c r="P36" i="4" l="1"/>
  <c r="Q36" i="4" s="1"/>
  <c r="D37" i="3"/>
  <c r="E37" i="3"/>
  <c r="M37" i="5" s="1"/>
  <c r="I37" i="3"/>
  <c r="F37" i="5"/>
  <c r="C37" i="4"/>
  <c r="R36" i="5" l="1"/>
  <c r="S36" i="4"/>
  <c r="U37" i="5"/>
  <c r="R37" i="4"/>
  <c r="F37" i="4"/>
  <c r="D37" i="4"/>
  <c r="H37" i="4"/>
  <c r="E37" i="4"/>
  <c r="K37" i="4"/>
  <c r="L37" i="4" s="1"/>
  <c r="G37" i="4"/>
  <c r="H37" i="5"/>
  <c r="L37" i="5"/>
  <c r="H36" i="3"/>
  <c r="J36" i="3" s="1"/>
  <c r="Q36" i="5"/>
  <c r="I37" i="4" l="1"/>
  <c r="W36" i="5"/>
  <c r="L36" i="3"/>
  <c r="N36" i="3" s="1"/>
  <c r="J37" i="4"/>
  <c r="D37" i="5"/>
  <c r="J38" i="2" l="1"/>
  <c r="M37" i="4"/>
  <c r="M37" i="3"/>
  <c r="D37" i="2"/>
  <c r="K38" i="2" l="1"/>
  <c r="G38" i="2"/>
  <c r="K37" i="3"/>
  <c r="E40" i="2"/>
  <c r="I40" i="2" s="1"/>
  <c r="G40" i="5" s="1"/>
  <c r="I40" i="5" s="1"/>
  <c r="F37" i="2"/>
  <c r="H37" i="2" s="1"/>
  <c r="N37" i="5"/>
  <c r="O37" i="4"/>
  <c r="P37" i="4" s="1"/>
  <c r="Q37" i="4" l="1"/>
  <c r="H37" i="3"/>
  <c r="J37" i="3" s="1"/>
  <c r="Q37" i="5"/>
  <c r="C38" i="4"/>
  <c r="E38" i="3"/>
  <c r="M38" i="5" s="1"/>
  <c r="I38" i="3"/>
  <c r="D38" i="3"/>
  <c r="F38" i="5"/>
  <c r="E38" i="4" l="1"/>
  <c r="G38" i="4"/>
  <c r="K38" i="4"/>
  <c r="L38" i="4" s="1"/>
  <c r="H38" i="4"/>
  <c r="F38" i="4"/>
  <c r="D38" i="4"/>
  <c r="W37" i="5"/>
  <c r="L37" i="3"/>
  <c r="R38" i="4"/>
  <c r="U38" i="5"/>
  <c r="H38" i="5"/>
  <c r="L38" i="5"/>
  <c r="S37" i="4"/>
  <c r="R37" i="5"/>
  <c r="I38" i="4" l="1"/>
  <c r="N37" i="3"/>
  <c r="J38" i="4"/>
  <c r="D38" i="5"/>
  <c r="M38" i="3" l="1"/>
  <c r="D38" i="2"/>
  <c r="J39" i="2"/>
  <c r="M38" i="4"/>
  <c r="O38" i="4" l="1"/>
  <c r="N38" i="5"/>
  <c r="K39" i="2"/>
  <c r="G39" i="2"/>
  <c r="K38" i="3"/>
  <c r="E41" i="2"/>
  <c r="I41" i="2" s="1"/>
  <c r="G41" i="5" s="1"/>
  <c r="I41" i="5" s="1"/>
  <c r="F38" i="2"/>
  <c r="D39" i="3" l="1"/>
  <c r="I39" i="3"/>
  <c r="C39" i="4"/>
  <c r="F39" i="5"/>
  <c r="E39" i="3"/>
  <c r="M39" i="5" s="1"/>
  <c r="H38" i="2"/>
  <c r="P38" i="4"/>
  <c r="Q38" i="4" s="1"/>
  <c r="H39" i="5" l="1"/>
  <c r="L39" i="5"/>
  <c r="S38" i="4"/>
  <c r="R38" i="5"/>
  <c r="F39" i="4"/>
  <c r="H39" i="4"/>
  <c r="E39" i="4"/>
  <c r="G39" i="4"/>
  <c r="D39" i="4"/>
  <c r="K39" i="4"/>
  <c r="L39" i="4" s="1"/>
  <c r="H38" i="3"/>
  <c r="J38" i="3" s="1"/>
  <c r="Q38" i="5"/>
  <c r="R39" i="4"/>
  <c r="U39" i="5"/>
  <c r="D39" i="5" s="1"/>
  <c r="J39" i="4" l="1"/>
  <c r="M39" i="4" s="1"/>
  <c r="I39" i="4"/>
  <c r="W38" i="5"/>
  <c r="L38" i="3"/>
  <c r="J40" i="2" l="1"/>
  <c r="G40" i="2" s="1"/>
  <c r="N38" i="3"/>
  <c r="O39" i="4"/>
  <c r="N39" i="5"/>
  <c r="K40" i="2" l="1"/>
  <c r="P39" i="4"/>
  <c r="Q39" i="4" s="1"/>
  <c r="M39" i="3"/>
  <c r="D39" i="2"/>
  <c r="C40" i="4"/>
  <c r="E40" i="3"/>
  <c r="M40" i="5" s="1"/>
  <c r="D40" i="3"/>
  <c r="F40" i="5"/>
  <c r="I40" i="3"/>
  <c r="K39" i="3" l="1"/>
  <c r="E42" i="2"/>
  <c r="I42" i="2" s="1"/>
  <c r="G42" i="5" s="1"/>
  <c r="I42" i="5" s="1"/>
  <c r="F39" i="2"/>
  <c r="H39" i="2" s="1"/>
  <c r="S39" i="4"/>
  <c r="R39" i="5"/>
  <c r="G40" i="4"/>
  <c r="F40" i="4"/>
  <c r="K40" i="4"/>
  <c r="L40" i="4" s="1"/>
  <c r="H40" i="4"/>
  <c r="E40" i="4"/>
  <c r="D40" i="4"/>
  <c r="U40" i="5"/>
  <c r="R40" i="4"/>
  <c r="H39" i="3"/>
  <c r="J39" i="3" s="1"/>
  <c r="Q39" i="5"/>
  <c r="H40" i="5"/>
  <c r="L40" i="5"/>
  <c r="D40" i="5" l="1"/>
  <c r="J40" i="4"/>
  <c r="I40" i="4"/>
  <c r="W39" i="5"/>
  <c r="L39" i="3"/>
  <c r="N39" i="3" s="1"/>
  <c r="M40" i="3" l="1"/>
  <c r="D40" i="2"/>
  <c r="J41" i="2"/>
  <c r="M40" i="4"/>
  <c r="O40" i="4" l="1"/>
  <c r="N40" i="5"/>
  <c r="K41" i="2"/>
  <c r="G41" i="2"/>
  <c r="F40" i="2"/>
  <c r="E43" i="2"/>
  <c r="I43" i="2" s="1"/>
  <c r="G43" i="5" s="1"/>
  <c r="I43" i="5" s="1"/>
  <c r="K40" i="3"/>
  <c r="D41" i="3" l="1"/>
  <c r="C41" i="4"/>
  <c r="E41" i="3"/>
  <c r="M41" i="5" s="1"/>
  <c r="I41" i="3"/>
  <c r="F41" i="5"/>
  <c r="H40" i="2"/>
  <c r="P40" i="4"/>
  <c r="Q40" i="4" s="1"/>
  <c r="R41" i="4" l="1"/>
  <c r="U41" i="5"/>
  <c r="H40" i="3"/>
  <c r="J40" i="3" s="1"/>
  <c r="Q40" i="5"/>
  <c r="S40" i="4"/>
  <c r="R40" i="5"/>
  <c r="G41" i="4"/>
  <c r="F41" i="4"/>
  <c r="E41" i="4"/>
  <c r="K41" i="4"/>
  <c r="L41" i="4" s="1"/>
  <c r="H41" i="4"/>
  <c r="D41" i="4"/>
  <c r="H41" i="5"/>
  <c r="L41" i="5"/>
  <c r="I41" i="4" l="1"/>
  <c r="D41" i="5"/>
  <c r="J41" i="4"/>
  <c r="W40" i="5"/>
  <c r="L40" i="3"/>
  <c r="N40" i="3" s="1"/>
  <c r="M41" i="4" l="1"/>
  <c r="J42" i="2"/>
  <c r="M41" i="3"/>
  <c r="D41" i="2"/>
  <c r="K41" i="3" l="1"/>
  <c r="E44" i="2"/>
  <c r="I44" i="2" s="1"/>
  <c r="G44" i="5" s="1"/>
  <c r="I44" i="5" s="1"/>
  <c r="F41" i="2"/>
  <c r="K42" i="2"/>
  <c r="G42" i="2"/>
  <c r="O41" i="4"/>
  <c r="N41" i="5"/>
  <c r="H41" i="2" l="1"/>
  <c r="P41" i="4"/>
  <c r="Q41" i="4" s="1"/>
  <c r="D42" i="3"/>
  <c r="I42" i="3"/>
  <c r="C42" i="4"/>
  <c r="E42" i="3"/>
  <c r="M42" i="5" s="1"/>
  <c r="F42" i="5"/>
  <c r="H42" i="5" l="1"/>
  <c r="L42" i="5"/>
  <c r="R42" i="4"/>
  <c r="U42" i="5"/>
  <c r="D42" i="5" s="1"/>
  <c r="S41" i="4"/>
  <c r="R41" i="5"/>
  <c r="G42" i="4"/>
  <c r="E42" i="4"/>
  <c r="D42" i="4"/>
  <c r="H42" i="4"/>
  <c r="K42" i="4"/>
  <c r="L42" i="4" s="1"/>
  <c r="F42" i="4"/>
  <c r="H41" i="3"/>
  <c r="J41" i="3" s="1"/>
  <c r="Q41" i="5"/>
  <c r="I42" i="4" l="1"/>
  <c r="W41" i="5"/>
  <c r="L41" i="3"/>
  <c r="N41" i="3" s="1"/>
  <c r="J42" i="4"/>
  <c r="M42" i="4" l="1"/>
  <c r="J43" i="2"/>
  <c r="M42" i="3"/>
  <c r="D42" i="2"/>
  <c r="K42" i="3" l="1"/>
  <c r="E45" i="2"/>
  <c r="I45" i="2" s="1"/>
  <c r="G45" i="5" s="1"/>
  <c r="I45" i="5" s="1"/>
  <c r="F42" i="2"/>
  <c r="K43" i="2"/>
  <c r="G43" i="2"/>
  <c r="N42" i="5"/>
  <c r="O42" i="4"/>
  <c r="P42" i="4" l="1"/>
  <c r="Q42" i="4" s="1"/>
  <c r="D43" i="3"/>
  <c r="E43" i="3"/>
  <c r="M43" i="5" s="1"/>
  <c r="C43" i="4"/>
  <c r="I43" i="3"/>
  <c r="F43" i="5"/>
  <c r="H42" i="2"/>
  <c r="S42" i="4" l="1"/>
  <c r="R42" i="5"/>
  <c r="U43" i="5"/>
  <c r="R43" i="4"/>
  <c r="H43" i="5"/>
  <c r="L43" i="5"/>
  <c r="F43" i="4"/>
  <c r="D43" i="4"/>
  <c r="G43" i="4"/>
  <c r="H43" i="4"/>
  <c r="K43" i="4"/>
  <c r="L43" i="4" s="1"/>
  <c r="E43" i="4"/>
  <c r="H42" i="3"/>
  <c r="J42" i="3" s="1"/>
  <c r="Q42" i="5"/>
  <c r="J43" i="4" l="1"/>
  <c r="W42" i="5"/>
  <c r="L42" i="3"/>
  <c r="N42" i="3" s="1"/>
  <c r="I43" i="4"/>
  <c r="D43" i="5"/>
  <c r="D43" i="2" l="1"/>
  <c r="M43" i="3"/>
  <c r="J44" i="2"/>
  <c r="M43" i="4"/>
  <c r="K43" i="3" l="1"/>
  <c r="E46" i="2"/>
  <c r="I46" i="2" s="1"/>
  <c r="G46" i="5" s="1"/>
  <c r="I46" i="5" s="1"/>
  <c r="F43" i="2"/>
  <c r="N43" i="5"/>
  <c r="O43" i="4"/>
  <c r="K44" i="2"/>
  <c r="G44" i="2"/>
  <c r="C44" i="4" l="1"/>
  <c r="D44" i="3"/>
  <c r="E44" i="3"/>
  <c r="M44" i="5" s="1"/>
  <c r="I44" i="3"/>
  <c r="F44" i="5"/>
  <c r="P43" i="4"/>
  <c r="H43" i="2"/>
  <c r="H43" i="3" l="1"/>
  <c r="J43" i="3" s="1"/>
  <c r="Q43" i="5"/>
  <c r="H44" i="5"/>
  <c r="L44" i="5"/>
  <c r="R44" i="4"/>
  <c r="U44" i="5"/>
  <c r="E44" i="4"/>
  <c r="G44" i="4"/>
  <c r="F44" i="4"/>
  <c r="D44" i="4"/>
  <c r="K44" i="4"/>
  <c r="L44" i="4" s="1"/>
  <c r="H44" i="4"/>
  <c r="Q43" i="4"/>
  <c r="W43" i="5" l="1"/>
  <c r="L43" i="3"/>
  <c r="N43" i="3" s="1"/>
  <c r="I44" i="4"/>
  <c r="D44" i="5"/>
  <c r="S43" i="4"/>
  <c r="R43" i="5"/>
  <c r="J44" i="4"/>
  <c r="M44" i="4" l="1"/>
  <c r="J45" i="2"/>
  <c r="M44" i="3"/>
  <c r="D44" i="2"/>
  <c r="O44" i="4" l="1"/>
  <c r="N44" i="5"/>
  <c r="K44" i="3"/>
  <c r="E47" i="2"/>
  <c r="I47" i="2" s="1"/>
  <c r="G47" i="5" s="1"/>
  <c r="I47" i="5" s="1"/>
  <c r="F44" i="2"/>
  <c r="K45" i="2"/>
  <c r="G45" i="2"/>
  <c r="E45" i="3" l="1"/>
  <c r="M45" i="5" s="1"/>
  <c r="D45" i="3"/>
  <c r="I45" i="3"/>
  <c r="F45" i="5"/>
  <c r="C45" i="4"/>
  <c r="H44" i="2"/>
  <c r="P44" i="4"/>
  <c r="D45" i="4" l="1"/>
  <c r="F45" i="4"/>
  <c r="K45" i="4"/>
  <c r="L45" i="4" s="1"/>
  <c r="H45" i="4"/>
  <c r="E45" i="4"/>
  <c r="G45" i="4"/>
  <c r="H45" i="5"/>
  <c r="L45" i="5"/>
  <c r="H44" i="3"/>
  <c r="J44" i="3" s="1"/>
  <c r="Q44" i="5"/>
  <c r="Q44" i="4"/>
  <c r="R45" i="4"/>
  <c r="U45" i="5"/>
  <c r="I45" i="4" l="1"/>
  <c r="J45" i="4"/>
  <c r="J46" i="2" s="1"/>
  <c r="W44" i="5"/>
  <c r="L44" i="3"/>
  <c r="N44" i="3" s="1"/>
  <c r="S44" i="4"/>
  <c r="R44" i="5"/>
  <c r="D45" i="5"/>
  <c r="M45" i="4" l="1"/>
  <c r="N45" i="5" s="1"/>
  <c r="M45" i="3"/>
  <c r="D45" i="2"/>
  <c r="K46" i="2"/>
  <c r="G46" i="2"/>
  <c r="O45" i="4" l="1"/>
  <c r="P45" i="4"/>
  <c r="K45" i="3"/>
  <c r="E48" i="2"/>
  <c r="I48" i="2" s="1"/>
  <c r="G48" i="5" s="1"/>
  <c r="I48" i="5" s="1"/>
  <c r="F45" i="2"/>
  <c r="I46" i="3"/>
  <c r="D46" i="3"/>
  <c r="E46" i="3"/>
  <c r="M46" i="5" s="1"/>
  <c r="F46" i="5"/>
  <c r="C46" i="4"/>
  <c r="H45" i="3" l="1"/>
  <c r="J45" i="3" s="1"/>
  <c r="Q45" i="5"/>
  <c r="R46" i="4"/>
  <c r="U46" i="5"/>
  <c r="H45" i="2"/>
  <c r="H46" i="4"/>
  <c r="D46" i="4"/>
  <c r="F46" i="4"/>
  <c r="G46" i="4"/>
  <c r="K46" i="4"/>
  <c r="L46" i="4" s="1"/>
  <c r="E46" i="4"/>
  <c r="H46" i="5"/>
  <c r="L46" i="5"/>
  <c r="Q45" i="4"/>
  <c r="J46" i="4" l="1"/>
  <c r="M46" i="4" s="1"/>
  <c r="J47" i="2"/>
  <c r="S45" i="4"/>
  <c r="R45" i="5"/>
  <c r="D46" i="5"/>
  <c r="W45" i="5"/>
  <c r="L45" i="3"/>
  <c r="N45" i="3" s="1"/>
  <c r="I46" i="4"/>
  <c r="D46" i="2" l="1"/>
  <c r="M46" i="3"/>
  <c r="K47" i="2"/>
  <c r="G47" i="2"/>
  <c r="O46" i="4"/>
  <c r="N46" i="5"/>
  <c r="C47" i="4" l="1"/>
  <c r="F47" i="5"/>
  <c r="E47" i="3"/>
  <c r="M47" i="5" s="1"/>
  <c r="D47" i="3"/>
  <c r="I47" i="3"/>
  <c r="E49" i="2"/>
  <c r="I49" i="2" s="1"/>
  <c r="G49" i="5" s="1"/>
  <c r="I49" i="5" s="1"/>
  <c r="K46" i="3"/>
  <c r="F46" i="2"/>
  <c r="P46" i="4"/>
  <c r="Q46" i="4" s="1"/>
  <c r="S46" i="4" l="1"/>
  <c r="R46" i="5"/>
  <c r="R47" i="4"/>
  <c r="U47" i="5"/>
  <c r="H46" i="2"/>
  <c r="H47" i="4"/>
  <c r="K47" i="4"/>
  <c r="L47" i="4" s="1"/>
  <c r="E47" i="4"/>
  <c r="F47" i="4"/>
  <c r="D47" i="4"/>
  <c r="G47" i="4"/>
  <c r="H46" i="3"/>
  <c r="J46" i="3" s="1"/>
  <c r="Q46" i="5"/>
  <c r="H47" i="5"/>
  <c r="L47" i="5"/>
  <c r="W46" i="5" l="1"/>
  <c r="L46" i="3"/>
  <c r="N46" i="3" s="1"/>
  <c r="J47" i="4"/>
  <c r="D47" i="5"/>
  <c r="I47" i="4"/>
  <c r="J48" i="2" l="1"/>
  <c r="M47" i="4"/>
  <c r="M47" i="3"/>
  <c r="D47" i="2"/>
  <c r="K47" i="3" l="1"/>
  <c r="E50" i="2"/>
  <c r="I50" i="2" s="1"/>
  <c r="G50" i="5" s="1"/>
  <c r="I50" i="5" s="1"/>
  <c r="F47" i="2"/>
  <c r="K48" i="2"/>
  <c r="G48" i="2"/>
  <c r="O47" i="4"/>
  <c r="N47" i="5"/>
  <c r="P47" i="4" l="1"/>
  <c r="C48" i="4"/>
  <c r="F48" i="5"/>
  <c r="I48" i="3"/>
  <c r="E48" i="3"/>
  <c r="M48" i="5" s="1"/>
  <c r="D48" i="3"/>
  <c r="H47" i="2"/>
  <c r="H47" i="3" l="1"/>
  <c r="J47" i="3" s="1"/>
  <c r="Q47" i="5"/>
  <c r="H48" i="5"/>
  <c r="L48" i="5"/>
  <c r="R48" i="4"/>
  <c r="U48" i="5"/>
  <c r="E48" i="4"/>
  <c r="D48" i="4"/>
  <c r="H48" i="4"/>
  <c r="K48" i="4"/>
  <c r="L48" i="4" s="1"/>
  <c r="G48" i="4"/>
  <c r="F48" i="4"/>
  <c r="Q47" i="4"/>
  <c r="W47" i="5" l="1"/>
  <c r="L47" i="3"/>
  <c r="N47" i="3" s="1"/>
  <c r="J48" i="4"/>
  <c r="I48" i="4"/>
  <c r="D48" i="5"/>
  <c r="S47" i="4"/>
  <c r="R47" i="5"/>
  <c r="J49" i="2" l="1"/>
  <c r="M48" i="4"/>
  <c r="M48" i="3"/>
  <c r="D48" i="2"/>
  <c r="E51" i="2" l="1"/>
  <c r="I51" i="2" s="1"/>
  <c r="G51" i="5" s="1"/>
  <c r="I51" i="5" s="1"/>
  <c r="K48" i="3"/>
  <c r="F48" i="2"/>
  <c r="O48" i="4"/>
  <c r="N48" i="5"/>
  <c r="K49" i="2"/>
  <c r="G49" i="2"/>
  <c r="P48" i="4" l="1"/>
  <c r="Q48" i="4" s="1"/>
  <c r="E49" i="3"/>
  <c r="M49" i="5" s="1"/>
  <c r="I49" i="3"/>
  <c r="F49" i="5"/>
  <c r="D49" i="3"/>
  <c r="C49" i="4"/>
  <c r="H48" i="2"/>
  <c r="S48" i="4" l="1"/>
  <c r="R48" i="5"/>
  <c r="G49" i="4"/>
  <c r="E49" i="4"/>
  <c r="D49" i="4"/>
  <c r="F49" i="4"/>
  <c r="K49" i="4"/>
  <c r="L49" i="4" s="1"/>
  <c r="H49" i="4"/>
  <c r="R49" i="4"/>
  <c r="U49" i="5"/>
  <c r="H48" i="3"/>
  <c r="J48" i="3" s="1"/>
  <c r="Q48" i="5"/>
  <c r="H49" i="5"/>
  <c r="L49" i="5"/>
  <c r="J49" i="4" l="1"/>
  <c r="I49" i="4"/>
  <c r="D49" i="5"/>
  <c r="W48" i="5"/>
  <c r="L48" i="3"/>
  <c r="N48" i="3" s="1"/>
  <c r="M49" i="3" l="1"/>
  <c r="D49" i="2"/>
  <c r="M49" i="4"/>
  <c r="J50" i="2"/>
  <c r="N49" i="5" l="1"/>
  <c r="O49" i="4"/>
  <c r="K50" i="2"/>
  <c r="G50" i="2"/>
  <c r="K49" i="3"/>
  <c r="E52" i="2"/>
  <c r="I52" i="2" s="1"/>
  <c r="G52" i="5" s="1"/>
  <c r="I52" i="5" s="1"/>
  <c r="F49" i="2"/>
  <c r="I50" i="3" l="1"/>
  <c r="D50" i="3"/>
  <c r="C50" i="4"/>
  <c r="E50" i="3"/>
  <c r="M50" i="5" s="1"/>
  <c r="F50" i="5"/>
  <c r="H49" i="2"/>
  <c r="P49" i="4"/>
  <c r="Q49" i="4" s="1"/>
  <c r="S49" i="4" l="1"/>
  <c r="R49" i="5"/>
  <c r="H49" i="3"/>
  <c r="J49" i="3" s="1"/>
  <c r="Q49" i="5"/>
  <c r="H50" i="5"/>
  <c r="L50" i="5"/>
  <c r="F50" i="4"/>
  <c r="K50" i="4"/>
  <c r="L50" i="4" s="1"/>
  <c r="G50" i="4"/>
  <c r="H50" i="4"/>
  <c r="D50" i="4"/>
  <c r="E50" i="4"/>
  <c r="R50" i="4"/>
  <c r="U50" i="5"/>
  <c r="D50" i="5" l="1"/>
  <c r="I50" i="4"/>
  <c r="J50" i="4"/>
  <c r="W49" i="5"/>
  <c r="L49" i="3"/>
  <c r="M50" i="4" l="1"/>
  <c r="J51" i="2"/>
  <c r="N49" i="3"/>
  <c r="D50" i="2" l="1"/>
  <c r="M50" i="3"/>
  <c r="K51" i="2"/>
  <c r="G51" i="2"/>
  <c r="O50" i="4"/>
  <c r="N50" i="5"/>
  <c r="I51" i="3" l="1"/>
  <c r="D51" i="3"/>
  <c r="F51" i="5"/>
  <c r="C51" i="4"/>
  <c r="E51" i="3"/>
  <c r="M51" i="5" s="1"/>
  <c r="P50" i="4"/>
  <c r="Q50" i="4" s="1"/>
  <c r="K50" i="3"/>
  <c r="E53" i="2"/>
  <c r="I53" i="2" s="1"/>
  <c r="G53" i="5" s="1"/>
  <c r="I53" i="5" s="1"/>
  <c r="F50" i="2"/>
  <c r="S50" i="4" l="1"/>
  <c r="R50" i="5"/>
  <c r="H51" i="5"/>
  <c r="L51" i="5"/>
  <c r="H50" i="2"/>
  <c r="K51" i="4"/>
  <c r="L51" i="4" s="1"/>
  <c r="D51" i="4"/>
  <c r="G51" i="4"/>
  <c r="H51" i="4"/>
  <c r="E51" i="4"/>
  <c r="F51" i="4"/>
  <c r="R51" i="4"/>
  <c r="U51" i="5"/>
  <c r="H50" i="3"/>
  <c r="J50" i="3" s="1"/>
  <c r="Q50" i="5"/>
  <c r="J51" i="4" l="1"/>
  <c r="J52" i="2" s="1"/>
  <c r="W50" i="5"/>
  <c r="L50" i="3"/>
  <c r="D51" i="5"/>
  <c r="I51" i="4"/>
  <c r="M51" i="4" l="1"/>
  <c r="O51" i="4" s="1"/>
  <c r="N51" i="5"/>
  <c r="K52" i="2"/>
  <c r="G52" i="2"/>
  <c r="N50" i="3"/>
  <c r="M51" i="3" l="1"/>
  <c r="D51" i="2"/>
  <c r="D52" i="3"/>
  <c r="I52" i="3"/>
  <c r="F52" i="5"/>
  <c r="E52" i="3"/>
  <c r="M52" i="5" s="1"/>
  <c r="C52" i="4"/>
  <c r="P51" i="4"/>
  <c r="H51" i="3" l="1"/>
  <c r="J51" i="3" s="1"/>
  <c r="Q51" i="5"/>
  <c r="R52" i="4"/>
  <c r="U52" i="5"/>
  <c r="Q51" i="4"/>
  <c r="G52" i="4"/>
  <c r="H52" i="4"/>
  <c r="F52" i="4"/>
  <c r="E52" i="4"/>
  <c r="D52" i="4"/>
  <c r="K52" i="4"/>
  <c r="L52" i="4" s="1"/>
  <c r="H52" i="5"/>
  <c r="L52" i="5"/>
  <c r="K51" i="3"/>
  <c r="E54" i="2"/>
  <c r="I54" i="2" s="1"/>
  <c r="G54" i="5" s="1"/>
  <c r="I54" i="5" s="1"/>
  <c r="F51" i="2"/>
  <c r="H51" i="2" l="1"/>
  <c r="S51" i="4"/>
  <c r="R51" i="5"/>
  <c r="D52" i="5"/>
  <c r="J52" i="4"/>
  <c r="I52" i="4"/>
  <c r="W51" i="5"/>
  <c r="L51" i="3"/>
  <c r="N51" i="3" s="1"/>
  <c r="J53" i="2" l="1"/>
  <c r="M52" i="4"/>
  <c r="M52" i="3"/>
  <c r="D52" i="2"/>
  <c r="E55" i="2" l="1"/>
  <c r="I55" i="2" s="1"/>
  <c r="G55" i="5" s="1"/>
  <c r="I55" i="5" s="1"/>
  <c r="K52" i="3"/>
  <c r="F52" i="2"/>
  <c r="N52" i="5"/>
  <c r="O52" i="4"/>
  <c r="K53" i="2"/>
  <c r="G53" i="2"/>
  <c r="E53" i="3" l="1"/>
  <c r="M53" i="5" s="1"/>
  <c r="C53" i="4"/>
  <c r="D53" i="3"/>
  <c r="I53" i="3"/>
  <c r="F53" i="5"/>
  <c r="P52" i="4"/>
  <c r="Q52" i="4" s="1"/>
  <c r="H52" i="2"/>
  <c r="Q52" i="5" l="1"/>
  <c r="H52" i="3"/>
  <c r="J52" i="3" s="1"/>
  <c r="H53" i="5"/>
  <c r="L53" i="5"/>
  <c r="S52" i="4"/>
  <c r="R52" i="5"/>
  <c r="R53" i="4"/>
  <c r="U53" i="5"/>
  <c r="H53" i="4"/>
  <c r="K53" i="4"/>
  <c r="L53" i="4" s="1"/>
  <c r="E53" i="4"/>
  <c r="G53" i="4"/>
  <c r="F53" i="4"/>
  <c r="D53" i="4"/>
  <c r="J53" i="4" l="1"/>
  <c r="D53" i="5"/>
  <c r="J54" i="2"/>
  <c r="M53" i="4"/>
  <c r="I53" i="4"/>
  <c r="W52" i="5"/>
  <c r="L52" i="3"/>
  <c r="N52" i="3" s="1"/>
  <c r="N53" i="5" l="1"/>
  <c r="O53" i="4"/>
  <c r="P53" i="4" s="1"/>
  <c r="M53" i="3"/>
  <c r="D53" i="2"/>
  <c r="K54" i="2"/>
  <c r="G54" i="2"/>
  <c r="C54" i="4" l="1"/>
  <c r="F54" i="5"/>
  <c r="I54" i="3"/>
  <c r="E54" i="3"/>
  <c r="M54" i="5" s="1"/>
  <c r="D54" i="3"/>
  <c r="K53" i="3"/>
  <c r="E56" i="2"/>
  <c r="I56" i="2" s="1"/>
  <c r="G56" i="5" s="1"/>
  <c r="I56" i="5" s="1"/>
  <c r="F53" i="2"/>
  <c r="Q53" i="4"/>
  <c r="H53" i="3"/>
  <c r="J53" i="3" s="1"/>
  <c r="Q53" i="5"/>
  <c r="R54" i="4" l="1"/>
  <c r="U54" i="5"/>
  <c r="R53" i="5"/>
  <c r="S53" i="4"/>
  <c r="H54" i="5"/>
  <c r="L54" i="5"/>
  <c r="W53" i="5"/>
  <c r="L53" i="3"/>
  <c r="N53" i="3" s="1"/>
  <c r="H53" i="2"/>
  <c r="D54" i="4"/>
  <c r="G54" i="4"/>
  <c r="K54" i="4"/>
  <c r="L54" i="4" s="1"/>
  <c r="E54" i="4"/>
  <c r="F54" i="4"/>
  <c r="H54" i="4"/>
  <c r="I54" i="4" l="1"/>
  <c r="J54" i="4"/>
  <c r="D54" i="5"/>
  <c r="M54" i="3"/>
  <c r="D54" i="2"/>
  <c r="K54" i="3" l="1"/>
  <c r="E57" i="2"/>
  <c r="I57" i="2" s="1"/>
  <c r="G57" i="5" s="1"/>
  <c r="I57" i="5" s="1"/>
  <c r="F54" i="2"/>
  <c r="J55" i="2"/>
  <c r="M54" i="4"/>
  <c r="K55" i="2" l="1"/>
  <c r="G55" i="2"/>
  <c r="H54" i="2"/>
  <c r="O54" i="4"/>
  <c r="N54" i="5"/>
  <c r="P54" i="4" l="1"/>
  <c r="Q54" i="4" s="1"/>
  <c r="C55" i="4"/>
  <c r="I55" i="3"/>
  <c r="D55" i="3"/>
  <c r="F55" i="5"/>
  <c r="E55" i="3"/>
  <c r="M55" i="5" s="1"/>
  <c r="S54" i="4" l="1"/>
  <c r="R54" i="5"/>
  <c r="H55" i="5"/>
  <c r="L55" i="5"/>
  <c r="R55" i="4"/>
  <c r="U55" i="5"/>
  <c r="H55" i="4"/>
  <c r="G55" i="4"/>
  <c r="F55" i="4"/>
  <c r="E55" i="4"/>
  <c r="K55" i="4"/>
  <c r="L55" i="4" s="1"/>
  <c r="D55" i="4"/>
  <c r="H54" i="3"/>
  <c r="J54" i="3" s="1"/>
  <c r="Q54" i="5"/>
  <c r="D55" i="5" l="1"/>
  <c r="J55" i="4"/>
  <c r="W54" i="5"/>
  <c r="L54" i="3"/>
  <c r="N54" i="3" s="1"/>
  <c r="I55" i="4"/>
  <c r="M55" i="3" l="1"/>
  <c r="D55" i="2"/>
  <c r="J56" i="2"/>
  <c r="M55" i="4"/>
  <c r="O55" i="4" l="1"/>
  <c r="N55" i="5"/>
  <c r="K55" i="3"/>
  <c r="E58" i="2"/>
  <c r="I58" i="2" s="1"/>
  <c r="G58" i="5" s="1"/>
  <c r="I58" i="5" s="1"/>
  <c r="F55" i="2"/>
  <c r="K56" i="2"/>
  <c r="G56" i="2"/>
  <c r="I56" i="3" l="1"/>
  <c r="C56" i="4"/>
  <c r="D56" i="3"/>
  <c r="F56" i="5"/>
  <c r="E56" i="3"/>
  <c r="M56" i="5" s="1"/>
  <c r="H55" i="2"/>
  <c r="P55" i="4"/>
  <c r="H56" i="4" l="1"/>
  <c r="E56" i="4"/>
  <c r="D56" i="4"/>
  <c r="K56" i="4"/>
  <c r="L56" i="4" s="1"/>
  <c r="F56" i="4"/>
  <c r="G56" i="4"/>
  <c r="H55" i="3"/>
  <c r="J55" i="3" s="1"/>
  <c r="Q55" i="5"/>
  <c r="R56" i="4"/>
  <c r="U56" i="5"/>
  <c r="H56" i="5"/>
  <c r="L56" i="5"/>
  <c r="Q55" i="4"/>
  <c r="I56" i="4" l="1"/>
  <c r="W55" i="5"/>
  <c r="L55" i="3"/>
  <c r="N55" i="3" s="1"/>
  <c r="S55" i="4"/>
  <c r="R55" i="5"/>
  <c r="J56" i="4"/>
  <c r="D56" i="5"/>
  <c r="M56" i="3" l="1"/>
  <c r="D56" i="2"/>
  <c r="J57" i="2"/>
  <c r="M56" i="4"/>
  <c r="O56" i="4" l="1"/>
  <c r="N56" i="5"/>
  <c r="K56" i="3"/>
  <c r="E59" i="2"/>
  <c r="I59" i="2" s="1"/>
  <c r="G59" i="5" s="1"/>
  <c r="I59" i="5" s="1"/>
  <c r="F56" i="2"/>
  <c r="K57" i="2"/>
  <c r="G57" i="2"/>
  <c r="I57" i="3" l="1"/>
  <c r="F57" i="5"/>
  <c r="E57" i="3"/>
  <c r="M57" i="5" s="1"/>
  <c r="D57" i="3"/>
  <c r="C57" i="4"/>
  <c r="H56" i="2"/>
  <c r="P56" i="4"/>
  <c r="Q56" i="4" s="1"/>
  <c r="S56" i="4" l="1"/>
  <c r="R56" i="5"/>
  <c r="E57" i="4"/>
  <c r="G57" i="4"/>
  <c r="H57" i="4"/>
  <c r="D57" i="4"/>
  <c r="F57" i="4"/>
  <c r="K57" i="4"/>
  <c r="L57" i="4" s="1"/>
  <c r="H57" i="5"/>
  <c r="L57" i="5"/>
  <c r="H56" i="3"/>
  <c r="J56" i="3" s="1"/>
  <c r="Q56" i="5"/>
  <c r="R57" i="4"/>
  <c r="U57" i="5"/>
  <c r="D57" i="5" l="1"/>
  <c r="I57" i="4"/>
  <c r="J57" i="4"/>
  <c r="W56" i="5"/>
  <c r="L56" i="3"/>
  <c r="N56" i="3" s="1"/>
  <c r="J58" i="2" l="1"/>
  <c r="M57" i="4"/>
  <c r="M57" i="3"/>
  <c r="D57" i="2"/>
  <c r="K57" i="3" l="1"/>
  <c r="E60" i="2"/>
  <c r="I60" i="2" s="1"/>
  <c r="G60" i="5" s="1"/>
  <c r="I60" i="5" s="1"/>
  <c r="F57" i="2"/>
  <c r="N57" i="5"/>
  <c r="O57" i="4"/>
  <c r="P57" i="4" s="1"/>
  <c r="K58" i="2"/>
  <c r="G58" i="2"/>
  <c r="C58" i="4" l="1"/>
  <c r="F58" i="5"/>
  <c r="I58" i="3"/>
  <c r="D58" i="3"/>
  <c r="E58" i="3"/>
  <c r="M58" i="5" s="1"/>
  <c r="H57" i="2"/>
  <c r="Q57" i="4"/>
  <c r="H57" i="3"/>
  <c r="J57" i="3" s="1"/>
  <c r="Q57" i="5"/>
  <c r="W57" i="5" l="1"/>
  <c r="L57" i="3"/>
  <c r="N57" i="3" s="1"/>
  <c r="H58" i="5"/>
  <c r="L58" i="5"/>
  <c r="R58" i="4"/>
  <c r="U58" i="5"/>
  <c r="S57" i="4"/>
  <c r="R57" i="5"/>
  <c r="D58" i="4"/>
  <c r="G58" i="4"/>
  <c r="F58" i="4"/>
  <c r="K58" i="4"/>
  <c r="L58" i="4" s="1"/>
  <c r="E58" i="4"/>
  <c r="H58" i="4"/>
  <c r="D58" i="5" l="1"/>
  <c r="J58" i="4"/>
  <c r="I58" i="4"/>
  <c r="M58" i="3"/>
  <c r="D58" i="2"/>
  <c r="K58" i="3" l="1"/>
  <c r="E61" i="2"/>
  <c r="I61" i="2" s="1"/>
  <c r="G61" i="5" s="1"/>
  <c r="I61" i="5" s="1"/>
  <c r="F58" i="2"/>
  <c r="J59" i="2"/>
  <c r="M58" i="4"/>
  <c r="K59" i="2" l="1"/>
  <c r="G59" i="2"/>
  <c r="O58" i="4"/>
  <c r="N58" i="5"/>
  <c r="H58" i="2"/>
  <c r="P58" i="4" l="1"/>
  <c r="Q58" i="4" s="1"/>
  <c r="D59" i="3"/>
  <c r="C59" i="4"/>
  <c r="E59" i="3"/>
  <c r="M59" i="5" s="1"/>
  <c r="F59" i="5"/>
  <c r="I59" i="3"/>
  <c r="R59" i="4" l="1"/>
  <c r="U59" i="5"/>
  <c r="H59" i="5"/>
  <c r="L59" i="5"/>
  <c r="S58" i="4"/>
  <c r="R58" i="5"/>
  <c r="H59" i="4"/>
  <c r="K59" i="4"/>
  <c r="L59" i="4" s="1"/>
  <c r="D59" i="4"/>
  <c r="E59" i="4"/>
  <c r="F59" i="4"/>
  <c r="G59" i="4"/>
  <c r="H58" i="3"/>
  <c r="J58" i="3" s="1"/>
  <c r="Q58" i="5"/>
  <c r="W58" i="5" l="1"/>
  <c r="L58" i="3"/>
  <c r="N58" i="3" s="1"/>
  <c r="D59" i="5"/>
  <c r="I59" i="4"/>
  <c r="J59" i="4"/>
  <c r="M59" i="3" l="1"/>
  <c r="D59" i="2"/>
  <c r="J60" i="2"/>
  <c r="M59" i="4"/>
  <c r="O59" i="4" l="1"/>
  <c r="N59" i="5"/>
  <c r="K59" i="3"/>
  <c r="E62" i="2"/>
  <c r="I62" i="2" s="1"/>
  <c r="G62" i="5" s="1"/>
  <c r="I62" i="5" s="1"/>
  <c r="F59" i="2"/>
  <c r="H59" i="2" s="1"/>
  <c r="K60" i="2"/>
  <c r="G60" i="2"/>
  <c r="C60" i="4" l="1"/>
  <c r="F60" i="5"/>
  <c r="D60" i="3"/>
  <c r="E60" i="3"/>
  <c r="M60" i="5" s="1"/>
  <c r="I60" i="3"/>
  <c r="P59" i="4"/>
  <c r="Q59" i="4" s="1"/>
  <c r="S59" i="4" l="1"/>
  <c r="R59" i="5"/>
  <c r="H60" i="5"/>
  <c r="L60" i="5"/>
  <c r="H59" i="3"/>
  <c r="J59" i="3" s="1"/>
  <c r="Q59" i="5"/>
  <c r="R60" i="4"/>
  <c r="U60" i="5"/>
  <c r="K60" i="4"/>
  <c r="L60" i="4" s="1"/>
  <c r="F60" i="4"/>
  <c r="H60" i="4"/>
  <c r="G60" i="4"/>
  <c r="E60" i="4"/>
  <c r="D60" i="4"/>
  <c r="J60" i="4" l="1"/>
  <c r="M60" i="4" s="1"/>
  <c r="I60" i="4"/>
  <c r="D60" i="5"/>
  <c r="W59" i="5"/>
  <c r="L59" i="3"/>
  <c r="N59" i="3" s="1"/>
  <c r="J61" i="2" l="1"/>
  <c r="K61" i="2" s="1"/>
  <c r="M60" i="3"/>
  <c r="D60" i="2"/>
  <c r="N60" i="5"/>
  <c r="O60" i="4"/>
  <c r="G61" i="2" l="1"/>
  <c r="E61" i="3" s="1"/>
  <c r="M61" i="5" s="1"/>
  <c r="F60" i="2"/>
  <c r="K60" i="3"/>
  <c r="P60" i="4"/>
  <c r="Q60" i="4" s="1"/>
  <c r="I61" i="3" l="1"/>
  <c r="R61" i="4" s="1"/>
  <c r="C61" i="4"/>
  <c r="F61" i="4" s="1"/>
  <c r="D61" i="3"/>
  <c r="F61" i="5"/>
  <c r="H61" i="5"/>
  <c r="L61" i="5"/>
  <c r="G61" i="4"/>
  <c r="K61" i="4"/>
  <c r="L61" i="4" s="1"/>
  <c r="S60" i="4"/>
  <c r="R60" i="5"/>
  <c r="Q60" i="5"/>
  <c r="H60" i="3"/>
  <c r="J60" i="3" s="1"/>
  <c r="H60" i="2"/>
  <c r="D61" i="4" l="1"/>
  <c r="U61" i="5"/>
  <c r="D61" i="5" s="1"/>
  <c r="E61" i="4"/>
  <c r="H61" i="4"/>
  <c r="W60" i="5"/>
  <c r="L60" i="3"/>
  <c r="N60" i="3" s="1"/>
  <c r="I61" i="4"/>
  <c r="J61" i="4" l="1"/>
  <c r="M61" i="3"/>
  <c r="D61" i="2"/>
  <c r="M61" i="4"/>
  <c r="J62" i="2"/>
  <c r="K61" i="3" l="1"/>
  <c r="F61" i="2"/>
  <c r="K62" i="2"/>
  <c r="G62" i="2"/>
  <c r="O61" i="4"/>
  <c r="N61" i="5"/>
  <c r="I62" i="3" l="1"/>
  <c r="E62" i="3"/>
  <c r="M62" i="5" s="1"/>
  <c r="C62" i="4"/>
  <c r="F62" i="5"/>
  <c r="D62" i="3"/>
  <c r="H61" i="2"/>
  <c r="P61" i="4"/>
  <c r="H61" i="3" l="1"/>
  <c r="J61" i="3" s="1"/>
  <c r="Q61" i="5"/>
  <c r="H62" i="5"/>
  <c r="L62" i="5"/>
  <c r="D62" i="4"/>
  <c r="K62" i="4"/>
  <c r="L62" i="4" s="1"/>
  <c r="E62" i="4"/>
  <c r="G62" i="4"/>
  <c r="F62" i="4"/>
  <c r="H62" i="4"/>
  <c r="Q61" i="4"/>
  <c r="R62" i="4"/>
  <c r="U62" i="5"/>
  <c r="D62" i="5" s="1"/>
  <c r="I62" i="4" l="1"/>
  <c r="J62" i="4"/>
  <c r="M62" i="4" s="1"/>
  <c r="S61" i="4"/>
  <c r="R61" i="5"/>
  <c r="W61" i="5"/>
  <c r="L61" i="3"/>
  <c r="N61" i="3" l="1"/>
  <c r="N62" i="5"/>
  <c r="O62" i="4"/>
  <c r="M62" i="3" l="1"/>
  <c r="D62" i="2"/>
  <c r="P62" i="4"/>
  <c r="Q62" i="4" s="1"/>
  <c r="K62" i="3" l="1"/>
  <c r="F62" i="2"/>
  <c r="H62" i="2" s="1"/>
  <c r="S62" i="4"/>
  <c r="R62" i="5"/>
  <c r="H62" i="3"/>
  <c r="J62" i="3" s="1"/>
  <c r="Q62" i="5"/>
  <c r="W62" i="5" l="1"/>
  <c r="L62" i="3"/>
  <c r="N6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5" authorId="0" shapeId="0" xr:uid="{00000000-0006-0000-0000-000001000000}">
      <text>
        <r>
          <rPr>
            <sz val="10"/>
            <rFont val="Arial"/>
            <family val="2"/>
          </rPr>
          <t>Source: user instruction in this chat. Monthly gross revenue per car set to N$30,000.</t>
        </r>
      </text>
    </comment>
    <comment ref="B6" authorId="0" shapeId="0" xr:uid="{00000000-0006-0000-0000-000002000000}">
      <text>
        <r>
          <rPr>
            <sz val="10"/>
            <rFont val="Arial"/>
            <family val="2"/>
          </rPr>
          <t>Source: user instruction in this chat. Trigger vehicle disposal once monthly gross profit reaches N$180,000 or more.</t>
        </r>
      </text>
    </comment>
    <comment ref="B11" authorId="0" shapeId="0" xr:uid="{00000000-0006-0000-0000-000004000000}">
      <text>
        <r>
          <rPr>
            <sz val="10"/>
            <rFont val="Arial"/>
            <family val="2"/>
          </rPr>
          <t>Source: user instruction in this chat. Maintenance expense set to zero.</t>
        </r>
      </text>
    </comment>
    <comment ref="B12" authorId="0" shapeId="0" xr:uid="{00000000-0006-0000-0000-000005000000}">
      <text>
        <r>
          <rPr>
            <sz val="10"/>
            <rFont val="Arial"/>
            <family val="2"/>
          </rPr>
          <t>Source: user instruction in this chat. Salary set to N$3,000 per car per month.</t>
        </r>
      </text>
    </comment>
    <comment ref="B28" authorId="0" shapeId="0" xr:uid="{00000000-0006-0000-0000-000009000000}">
      <text>
        <r>
          <rPr>
            <sz val="10"/>
            <rFont val="Arial"/>
            <family val="2"/>
          </rPr>
          <t>Source: uploaded PDF "loan_repayment_value_infor_source.pdf". Payment start month aligned to month 5.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Sebbi Kankondi</author>
  </authors>
  <commentList>
    <comment ref="A2" authorId="0" shapeId="0" xr:uid="{50576E55-D1EF-4A65-9C82-0EEB84CBCDA8}">
      <text>
        <r>
          <rPr>
            <b/>
            <sz val="11"/>
            <color indexed="81"/>
            <rFont val="Tahoma"/>
            <charset val="1"/>
          </rPr>
          <t>Sebbi Kankondi:</t>
        </r>
        <r>
          <rPr>
            <sz val="11"/>
            <color indexed="81"/>
            <rFont val="Tahoma"/>
            <charset val="1"/>
          </rPr>
          <t xml:space="preserve">
Cash flow includes prime-linked amortising bank debt, owner/investor repayments and profit distributions, and reinvestment purchases when available cash can fund at least the minimum batch size.</t>
        </r>
      </text>
    </comment>
    <comment ref="B3" authorId="0" shapeId="0" xr:uid="{03A412C2-A851-4B9B-BD23-31C6A2EA388A}">
      <text>
        <r>
          <rPr>
            <b/>
            <sz val="11"/>
            <color indexed="81"/>
            <rFont val="Tahoma"/>
            <charset val="1"/>
          </rPr>
          <t>Sebbi Kankondi:</t>
        </r>
        <r>
          <rPr>
            <sz val="11"/>
            <color indexed="81"/>
            <rFont val="Tahoma"/>
            <charset val="1"/>
          </rPr>
          <t xml:space="preserve">
Initial capital introduced prior to operational cash flow measurement - should not appear in the annual movement line as a normal financing inflow.</t>
        </r>
      </text>
    </comment>
  </commentList>
</comments>
</file>

<file path=xl/sharedStrings.xml><?xml version="1.0" encoding="utf-8"?>
<sst xmlns="http://schemas.openxmlformats.org/spreadsheetml/2006/main" count="174" uniqueCount="140">
  <si>
    <t>Namibia Rent-to-Own Fleet Model - Key Assumptions (Editable)</t>
  </si>
  <si>
    <t>Assumption</t>
  </si>
  <si>
    <t>Value</t>
  </si>
  <si>
    <t>Units</t>
  </si>
  <si>
    <t>Notes / Source</t>
  </si>
  <si>
    <t>Car unit cost</t>
  </si>
  <si>
    <t>N$ per car</t>
  </si>
  <si>
    <t>Monthly Gross revenue per car</t>
  </si>
  <si>
    <t>N$ / car / month</t>
  </si>
  <si>
    <t>Vehicle disposal trigger - monthly gross profit</t>
  </si>
  <si>
    <t>N$ / month</t>
  </si>
  <si>
    <t>months</t>
  </si>
  <si>
    <t>Procurement lead time</t>
  </si>
  <si>
    <t>Fuel expense per operating car (monthly)</t>
  </si>
  <si>
    <t>Airtime expense per operating car (monthly)</t>
  </si>
  <si>
    <t>Carwash expense per operating car (monthly)</t>
  </si>
  <si>
    <t>Salary expense per operating car (monthly)</t>
  </si>
  <si>
    <t>Total operating expenses per operating car (monthly)</t>
  </si>
  <si>
    <t>Calculated = fuel + airtime + carwash + maintenance + salary.</t>
  </si>
  <si>
    <t>Monthly Gross profit per car</t>
  </si>
  <si>
    <t>Calculated = gross revenue less direct running costs before salary.</t>
  </si>
  <si>
    <t>Min reinvest purchase batch size</t>
  </si>
  <si>
    <t>cars</t>
  </si>
  <si>
    <t>Corporate income tax rate</t>
  </si>
  <si>
    <t>%</t>
  </si>
  <si>
    <t>N$</t>
  </si>
  <si>
    <t>Bank loan draw (batch 2)</t>
  </si>
  <si>
    <t>Bank loan draw month (operating month index)</t>
  </si>
  <si>
    <t>month #</t>
  </si>
  <si>
    <t>Bank monthly instalment (principal + interest)</t>
  </si>
  <si>
    <t>Bank nominal annual interest rate</t>
  </si>
  <si>
    <t>Owner/investor equity injection (batch 2)</t>
  </si>
  <si>
    <t>Owner injection month (operating month index)</t>
  </si>
  <si>
    <t>Initial cars in operation (month 1)</t>
  </si>
  <si>
    <t>Model horizon</t>
  </si>
  <si>
    <t>Bank loan term</t>
  </si>
  <si>
    <t>Uploaded PDF recommendation: 54-month amortising facility.</t>
  </si>
  <si>
    <t>Bank monthly interest rate</t>
  </si>
  <si>
    <t>% / month</t>
  </si>
  <si>
    <t>Calculated from the annual nominal rate.</t>
  </si>
  <si>
    <t>Bank payment start month</t>
  </si>
  <si>
    <t>Aligned to the draw month per the uploaded PDF.</t>
  </si>
  <si>
    <t>Investor payout per car per month</t>
  </si>
  <si>
    <t>Investor monthly payout per N$250,000 tranche</t>
  </si>
  <si>
    <t>Calculated as cars funded per tranche x N$3,000 per car.</t>
  </si>
  <si>
    <t>Monthly operating profit per car</t>
  </si>
  <si>
    <t>Calculated = gross revenue less total operating expenses.</t>
  </si>
  <si>
    <t>Batch 2 investor payout start month</t>
  </si>
  <si>
    <t>Payouts begin once the cars funded by the second owner/investor tranche start operating.</t>
  </si>
  <si>
    <t>Fleet schedule (all cars combined) - monthly counts</t>
  </si>
  <si>
    <t>Month #</t>
  </si>
  <si>
    <t>Fiscal Year</t>
  </si>
  <si>
    <t>Month in FY</t>
  </si>
  <si>
    <t>Cars Purchased (orders placed)</t>
  </si>
  <si>
    <t>Cars Delivered (start operating)</t>
  </si>
  <si>
    <t>Cars In Pipeline (not yet operating)</t>
  </si>
  <si>
    <t>Cars in Rent-to-Own Operation</t>
  </si>
  <si>
    <t>Cars Disposed (end of month)</t>
  </si>
  <si>
    <t>Owner/Investor Injection</t>
  </si>
  <si>
    <t>Bank Loan Draw</t>
  </si>
  <si>
    <t>Total Cash In</t>
  </si>
  <si>
    <t>Operating Expenses (cash)</t>
  </si>
  <si>
    <t>Interest</t>
  </si>
  <si>
    <t>Loan Principal</t>
  </si>
  <si>
    <t>Income Tax Paid</t>
  </si>
  <si>
    <t>Net Cash Before Capex</t>
  </si>
  <si>
    <t>Capex (car purchases)</t>
  </si>
  <si>
    <t>Net Cash Flow</t>
  </si>
  <si>
    <t>Loan Opening</t>
  </si>
  <si>
    <t>Loan Closing</t>
  </si>
  <si>
    <t>Cars in Operation</t>
  </si>
  <si>
    <t>Monthly Gross Revenue</t>
  </si>
  <si>
    <t>Fuel</t>
  </si>
  <si>
    <t>Airtime</t>
  </si>
  <si>
    <t>Carwash</t>
  </si>
  <si>
    <t>Maintenance</t>
  </si>
  <si>
    <t>Gross Profit</t>
  </si>
  <si>
    <t>Salary</t>
  </si>
  <si>
    <t>Total Operating Expenses</t>
  </si>
  <si>
    <t>Interest Expense</t>
  </si>
  <si>
    <t>Profit Before Tax</t>
  </si>
  <si>
    <t>Income Tax</t>
  </si>
  <si>
    <t>Loan Closing Balance</t>
  </si>
  <si>
    <t>Cars in Operation (count)</t>
  </si>
  <si>
    <t>Vehicles In Use - Cost</t>
  </si>
  <si>
    <t>Total Owner/Investor Capital Invested</t>
  </si>
  <si>
    <t>Net Owner/Investor Capital Outstanding</t>
  </si>
  <si>
    <t>Loan Amortisation - linked to Cash_Flow</t>
  </si>
  <si>
    <t>Prime-linked amortising bank facility: N$250,000 at 10.00% p.a. over 54 months, with payments starting in operating month 5. Opening balance includes the draw in the first loan month.</t>
  </si>
  <si>
    <t>Loan month</t>
  </si>
  <si>
    <t>Opening balance</t>
  </si>
  <si>
    <t>Principal</t>
  </si>
  <si>
    <t>Payment</t>
  </si>
  <si>
    <t>Closing balance</t>
  </si>
  <si>
    <t>Maintenance expense per active car (monthly)</t>
  </si>
  <si>
    <t>Retained Profits</t>
  </si>
  <si>
    <t>Investor Payout/Profit Distribution</t>
  </si>
  <si>
    <t>Monthly Income Statement</t>
  </si>
  <si>
    <t xml:space="preserve">Monthly Balance Sheet Snapshot </t>
  </si>
  <si>
    <t>Monthly Cash Flow</t>
  </si>
  <si>
    <t xml:space="preserve">Total Cars </t>
  </si>
  <si>
    <t>Total Cars Cost (Cummulative)</t>
  </si>
  <si>
    <t>Gross Revenue (Cummulative)</t>
  </si>
  <si>
    <t>Total Cars Operation (Cummulative)</t>
  </si>
  <si>
    <t>Total Cars In Operation (Cummulative)</t>
  </si>
  <si>
    <t xml:space="preserve"> Total Cars Disposed (Cummulative)</t>
  </si>
  <si>
    <t>Operating Expenses (Cummulative)</t>
  </si>
  <si>
    <t>Retained Profits (Cummulative)</t>
  </si>
  <si>
    <t>Investor Payout/Profit Distribution (Cummulative)</t>
  </si>
  <si>
    <t>Operating Profit (EBIT)</t>
  </si>
  <si>
    <t xml:space="preserve">Net Profit </t>
  </si>
  <si>
    <t>Operating Profit (Cummulative)</t>
  </si>
  <si>
    <t>Loan Repayment (Cummulative)</t>
  </si>
  <si>
    <t>Income Tax (Cummulative)</t>
  </si>
  <si>
    <t>Net Profit (Cummulative)</t>
  </si>
  <si>
    <t xml:space="preserve">Retained Profits Closing </t>
  </si>
  <si>
    <t xml:space="preserve">Retained Profits Opening </t>
  </si>
  <si>
    <t>N$250,000 / 4 cars</t>
  </si>
  <si>
    <t>Estimate time from vehicle order to start of operation</t>
  </si>
  <si>
    <t>Airtime for yango drivers and tracking device</t>
  </si>
  <si>
    <t>Maintenance cost included in salary expense</t>
  </si>
  <si>
    <t>NAMRA rate for CC's</t>
  </si>
  <si>
    <t>Monthly instalment modelled as PMT (fixed periodic repayment) at 10.00% p.a. over 54 months on N$250,000.</t>
  </si>
  <si>
    <t xml:space="preserve">Model uses prime-linked nominal annual rate.
Prime rate anchor: Bank of Namibia (BoN) MPC statement (repo 6.50% -&gt; prime expected 10.00%): 
Bank Windhoek published prime lending rate (10.000% effective 29 Dec 2025): </t>
  </si>
  <si>
    <t>Orders are placed only when retained profits can fund the purchase of atleast 4 cars.</t>
  </si>
  <si>
    <t>Monthly gross profit/car trigger for the disposal (with no disposal revenue) of all vehicles.</t>
  </si>
  <si>
    <t>Over-estimated fuel expense based on Swakopmund operations ratio of N$18,000 made for every N$7,000 spent on fuel</t>
  </si>
  <si>
    <t>For General manager + Operations supervisor</t>
  </si>
  <si>
    <t>Initial owner/investor equity</t>
  </si>
  <si>
    <t xml:space="preserve">Initial funding from 1 company member for the first batch of 4 cars </t>
  </si>
  <si>
    <t>Proposed bank loan amount to help fund the second batch of 8 cars</t>
  </si>
  <si>
    <t>Additional N$250,000 from 1 company member to help fund the second batch of 8 cars</t>
  </si>
  <si>
    <t>Second phase of owner funding to be made after the first 4 months of operation</t>
  </si>
  <si>
    <t>Bank loan request to be made after the first 4 months of operation.</t>
  </si>
  <si>
    <t>Initial batch of 4 cars.</t>
  </si>
  <si>
    <t>5 years monthly.</t>
  </si>
  <si>
    <t>Set aside N$3,000 per car per month for each N$250,000 owner/investor amount.</t>
  </si>
  <si>
    <t>Batch 1 investor payout start month</t>
  </si>
  <si>
    <t>Year #</t>
  </si>
  <si>
    <t>Cost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</si>
</sst>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N$&quot;#,##0_);[Red]&quot;(N$&quot;#,##0\);\-_);_(@_)"/>
    <numFmt numFmtId="165" formatCode="#,##0_);[Red]\(#,##0\);\-_);_(@_)"/>
    <numFmt numFmtId="166" formatCode="0.0%"/>
  </numFmts>
  <fonts count="11" x14ac:knownFonts="1">
    <font>
      <sz val="11"/>
      <color theme="1"/>
      <name val="Calibri"/>
      <family val="2"/>
      <charset val="1"/>
    </font>
    <font>
      <b/>
      <sz val="14"/>
      <color rgb="FF1F4E79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sz val="10"/>
      <name val="Arial"/>
      <family val="2"/>
    </font>
    <font>
      <b/>
      <sz val="11"/>
      <color indexed="81"/>
      <name val="Tahoma"/>
      <charset val="1"/>
    </font>
    <font>
      <sz val="11"/>
      <color indexed="81"/>
      <name val="Tahoma"/>
      <charset val="1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b/>
      <sz val="12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vertical="center" wrapText="1"/>
    </xf>
    <xf numFmtId="165" fontId="3" fillId="0" borderId="1" xfId="0" applyNumberFormat="1" applyFont="1" applyBorder="1" applyAlignment="1">
      <alignment horizontal="right" vertical="center" wrapText="1"/>
    </xf>
    <xf numFmtId="164" fontId="4" fillId="0" borderId="1" xfId="0" applyNumberFormat="1" applyFont="1" applyBorder="1" applyAlignment="1">
      <alignment horizontal="right" vertical="center" wrapText="1"/>
    </xf>
    <xf numFmtId="166" fontId="3" fillId="0" borderId="1" xfId="0" applyNumberFormat="1" applyFont="1" applyBorder="1" applyAlignment="1">
      <alignment horizontal="right" vertical="center" wrapText="1"/>
    </xf>
    <xf numFmtId="166" fontId="4" fillId="0" borderId="1" xfId="0" applyNumberFormat="1" applyFont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 wrapText="1"/>
    </xf>
    <xf numFmtId="164" fontId="8" fillId="0" borderId="1" xfId="0" applyNumberFormat="1" applyFont="1" applyBorder="1" applyAlignment="1">
      <alignment horizontal="right" vertical="center" wrapText="1"/>
    </xf>
    <xf numFmtId="166" fontId="8" fillId="0" borderId="1" xfId="0" applyNumberFormat="1" applyFont="1" applyBorder="1" applyAlignment="1">
      <alignment horizontal="right" vertical="center" wrapText="1"/>
    </xf>
    <xf numFmtId="0" fontId="1" fillId="0" borderId="0" xfId="0" applyFont="1"/>
    <xf numFmtId="164" fontId="0" fillId="0" borderId="0" xfId="0" applyNumberFormat="1"/>
    <xf numFmtId="0" fontId="9" fillId="2" borderId="1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right" vertical="center" wrapText="1"/>
    </xf>
    <xf numFmtId="164" fontId="0" fillId="0" borderId="3" xfId="0" applyNumberFormat="1" applyBorder="1" applyAlignment="1">
      <alignment horizontal="righ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0" fillId="3" borderId="0" xfId="0" applyFont="1" applyFill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showGridLines="0" zoomScale="145" zoomScaleNormal="145" workbookViewId="0">
      <pane ySplit="3" topLeftCell="A11" activePane="bottomLeft" state="frozen"/>
      <selection pane="bottomLeft" activeCell="B5" sqref="B5"/>
    </sheetView>
  </sheetViews>
  <sheetFormatPr defaultColWidth="8.7109375" defaultRowHeight="15" customHeight="1" x14ac:dyDescent="0.25"/>
  <cols>
    <col min="1" max="1" width="41" customWidth="1"/>
    <col min="2" max="3" width="18" customWidth="1"/>
    <col min="4" max="4" width="80" customWidth="1"/>
  </cols>
  <sheetData>
    <row r="1" spans="1:4" ht="18.75" customHeight="1" x14ac:dyDescent="0.3">
      <c r="A1" s="20" t="s">
        <v>0</v>
      </c>
      <c r="B1" s="20"/>
      <c r="C1" s="20"/>
      <c r="D1" s="20"/>
    </row>
    <row r="3" spans="1:4" x14ac:dyDescent="0.25">
      <c r="A3" s="2" t="s">
        <v>1</v>
      </c>
      <c r="B3" s="2" t="s">
        <v>2</v>
      </c>
      <c r="C3" s="2" t="s">
        <v>3</v>
      </c>
      <c r="D3" s="2" t="s">
        <v>4</v>
      </c>
    </row>
    <row r="4" spans="1:4" x14ac:dyDescent="0.25">
      <c r="A4" s="1" t="s">
        <v>5</v>
      </c>
      <c r="B4" s="3">
        <v>60000</v>
      </c>
      <c r="C4" s="1" t="s">
        <v>6</v>
      </c>
      <c r="D4" s="1" t="s">
        <v>117</v>
      </c>
    </row>
    <row r="5" spans="1:4" x14ac:dyDescent="0.25">
      <c r="A5" s="1" t="s">
        <v>7</v>
      </c>
      <c r="B5" s="3">
        <v>30000</v>
      </c>
      <c r="C5" s="1" t="s">
        <v>8</v>
      </c>
      <c r="D5" s="1"/>
    </row>
    <row r="6" spans="1:4" ht="30" x14ac:dyDescent="0.25">
      <c r="A6" s="1" t="s">
        <v>9</v>
      </c>
      <c r="B6" s="3">
        <v>180000</v>
      </c>
      <c r="C6" s="1" t="s">
        <v>10</v>
      </c>
      <c r="D6" s="1" t="s">
        <v>125</v>
      </c>
    </row>
    <row r="7" spans="1:4" x14ac:dyDescent="0.25">
      <c r="A7" s="1" t="s">
        <v>12</v>
      </c>
      <c r="B7" s="4">
        <v>3</v>
      </c>
      <c r="C7" s="1" t="s">
        <v>11</v>
      </c>
      <c r="D7" s="1" t="s">
        <v>118</v>
      </c>
    </row>
    <row r="8" spans="1:4" ht="30" x14ac:dyDescent="0.25">
      <c r="A8" s="1" t="s">
        <v>13</v>
      </c>
      <c r="B8" s="3">
        <v>13000</v>
      </c>
      <c r="C8" s="1" t="s">
        <v>8</v>
      </c>
      <c r="D8" s="1" t="s">
        <v>126</v>
      </c>
    </row>
    <row r="9" spans="1:4" ht="30" x14ac:dyDescent="0.25">
      <c r="A9" s="1" t="s">
        <v>14</v>
      </c>
      <c r="B9" s="3">
        <v>580</v>
      </c>
      <c r="C9" s="1" t="s">
        <v>8</v>
      </c>
      <c r="D9" s="1" t="s">
        <v>119</v>
      </c>
    </row>
    <row r="10" spans="1:4" ht="30" x14ac:dyDescent="0.25">
      <c r="A10" s="1" t="s">
        <v>15</v>
      </c>
      <c r="B10" s="3">
        <v>240</v>
      </c>
      <c r="C10" s="1" t="s">
        <v>8</v>
      </c>
      <c r="D10" s="1"/>
    </row>
    <row r="11" spans="1:4" ht="30" customHeight="1" x14ac:dyDescent="0.25">
      <c r="A11" s="1" t="s">
        <v>94</v>
      </c>
      <c r="B11" s="3">
        <v>0</v>
      </c>
      <c r="C11" s="1" t="s">
        <v>8</v>
      </c>
      <c r="D11" s="1" t="s">
        <v>120</v>
      </c>
    </row>
    <row r="12" spans="1:4" x14ac:dyDescent="0.25">
      <c r="A12" s="1" t="s">
        <v>16</v>
      </c>
      <c r="B12" s="3">
        <v>3000</v>
      </c>
      <c r="C12" s="1" t="s">
        <v>8</v>
      </c>
      <c r="D12" s="1" t="s">
        <v>127</v>
      </c>
    </row>
    <row r="13" spans="1:4" ht="30" customHeight="1" x14ac:dyDescent="0.25">
      <c r="A13" s="1" t="s">
        <v>17</v>
      </c>
      <c r="B13" s="5">
        <f>SUM(B8:B12)</f>
        <v>16820</v>
      </c>
      <c r="C13" s="1" t="s">
        <v>8</v>
      </c>
      <c r="D13" s="1" t="s">
        <v>18</v>
      </c>
    </row>
    <row r="14" spans="1:4" x14ac:dyDescent="0.25">
      <c r="A14" s="1" t="s">
        <v>19</v>
      </c>
      <c r="B14" s="5">
        <f>B5-SUM(B8:B11)</f>
        <v>16180</v>
      </c>
      <c r="C14" s="1" t="s">
        <v>8</v>
      </c>
      <c r="D14" s="1" t="s">
        <v>20</v>
      </c>
    </row>
    <row r="15" spans="1:4" ht="30" customHeight="1" x14ac:dyDescent="0.25">
      <c r="A15" s="1" t="s">
        <v>21</v>
      </c>
      <c r="B15" s="4">
        <v>4</v>
      </c>
      <c r="C15" s="1" t="s">
        <v>22</v>
      </c>
      <c r="D15" s="1" t="s">
        <v>124</v>
      </c>
    </row>
    <row r="16" spans="1:4" ht="30" customHeight="1" x14ac:dyDescent="0.25">
      <c r="A16" s="1" t="s">
        <v>23</v>
      </c>
      <c r="B16" s="6">
        <v>0.32</v>
      </c>
      <c r="C16" s="1" t="s">
        <v>24</v>
      </c>
      <c r="D16" s="1" t="s">
        <v>121</v>
      </c>
    </row>
    <row r="17" spans="1:4" ht="30" customHeight="1" x14ac:dyDescent="0.25">
      <c r="A17" s="1" t="s">
        <v>128</v>
      </c>
      <c r="B17" s="11">
        <v>250000</v>
      </c>
      <c r="C17" s="1" t="s">
        <v>25</v>
      </c>
      <c r="D17" s="1" t="s">
        <v>129</v>
      </c>
    </row>
    <row r="18" spans="1:4" x14ac:dyDescent="0.25">
      <c r="A18" s="1" t="s">
        <v>26</v>
      </c>
      <c r="B18" s="3">
        <v>250000</v>
      </c>
      <c r="C18" s="1" t="s">
        <v>25</v>
      </c>
      <c r="D18" s="1" t="s">
        <v>130</v>
      </c>
    </row>
    <row r="19" spans="1:4" ht="30" customHeight="1" x14ac:dyDescent="0.25">
      <c r="A19" s="1" t="s">
        <v>27</v>
      </c>
      <c r="B19" s="4">
        <v>5</v>
      </c>
      <c r="C19" s="1" t="s">
        <v>28</v>
      </c>
      <c r="D19" s="1" t="s">
        <v>133</v>
      </c>
    </row>
    <row r="20" spans="1:4" ht="30" x14ac:dyDescent="0.25">
      <c r="A20" s="1" t="s">
        <v>29</v>
      </c>
      <c r="B20" s="11">
        <f>-PMT(B27,B26,B18)</f>
        <v>5768.1018465472143</v>
      </c>
      <c r="C20" s="1" t="s">
        <v>10</v>
      </c>
      <c r="D20" s="1" t="s">
        <v>122</v>
      </c>
    </row>
    <row r="21" spans="1:4" ht="63" customHeight="1" x14ac:dyDescent="0.25">
      <c r="A21" s="1" t="s">
        <v>30</v>
      </c>
      <c r="B21" s="12">
        <v>0.1</v>
      </c>
      <c r="C21" s="1" t="s">
        <v>24</v>
      </c>
      <c r="D21" s="1" t="s">
        <v>123</v>
      </c>
    </row>
    <row r="22" spans="1:4" x14ac:dyDescent="0.25">
      <c r="A22" s="1" t="s">
        <v>31</v>
      </c>
      <c r="B22" s="3">
        <v>250000</v>
      </c>
      <c r="C22" s="1" t="s">
        <v>25</v>
      </c>
      <c r="D22" s="1" t="s">
        <v>131</v>
      </c>
    </row>
    <row r="23" spans="1:4" ht="30" customHeight="1" x14ac:dyDescent="0.25">
      <c r="A23" s="1" t="s">
        <v>32</v>
      </c>
      <c r="B23" s="4">
        <v>5</v>
      </c>
      <c r="C23" s="1" t="s">
        <v>28</v>
      </c>
      <c r="D23" s="1" t="s">
        <v>132</v>
      </c>
    </row>
    <row r="24" spans="1:4" x14ac:dyDescent="0.25">
      <c r="A24" s="1" t="s">
        <v>33</v>
      </c>
      <c r="B24" s="4">
        <v>4</v>
      </c>
      <c r="C24" s="1" t="s">
        <v>22</v>
      </c>
      <c r="D24" s="1" t="s">
        <v>134</v>
      </c>
    </row>
    <row r="25" spans="1:4" x14ac:dyDescent="0.25">
      <c r="A25" s="1" t="s">
        <v>34</v>
      </c>
      <c r="B25" s="4">
        <v>60</v>
      </c>
      <c r="C25" s="1" t="s">
        <v>11</v>
      </c>
      <c r="D25" s="1" t="s">
        <v>135</v>
      </c>
    </row>
    <row r="26" spans="1:4" x14ac:dyDescent="0.25">
      <c r="A26" s="1" t="s">
        <v>35</v>
      </c>
      <c r="B26" s="4">
        <v>54</v>
      </c>
      <c r="C26" s="1" t="s">
        <v>11</v>
      </c>
      <c r="D26" s="1" t="s">
        <v>36</v>
      </c>
    </row>
    <row r="27" spans="1:4" x14ac:dyDescent="0.25">
      <c r="A27" s="1" t="s">
        <v>37</v>
      </c>
      <c r="B27" s="7">
        <f>B21/12</f>
        <v>8.3333333333333332E-3</v>
      </c>
      <c r="C27" s="1" t="s">
        <v>38</v>
      </c>
      <c r="D27" s="1" t="s">
        <v>39</v>
      </c>
    </row>
    <row r="28" spans="1:4" x14ac:dyDescent="0.25">
      <c r="A28" s="1" t="s">
        <v>40</v>
      </c>
      <c r="B28" s="4">
        <v>5</v>
      </c>
      <c r="C28" s="1" t="s">
        <v>28</v>
      </c>
      <c r="D28" s="1" t="s">
        <v>41</v>
      </c>
    </row>
    <row r="29" spans="1:4" x14ac:dyDescent="0.25">
      <c r="A29" s="1" t="s">
        <v>42</v>
      </c>
      <c r="B29" s="3">
        <v>3000</v>
      </c>
      <c r="C29" s="1" t="s">
        <v>8</v>
      </c>
      <c r="D29" s="1" t="s">
        <v>136</v>
      </c>
    </row>
    <row r="30" spans="1:4" ht="30" x14ac:dyDescent="0.25">
      <c r="A30" s="1" t="s">
        <v>43</v>
      </c>
      <c r="B30" s="5">
        <f>ROUND(($B$17/$B$4)*$B$29,0)</f>
        <v>12500</v>
      </c>
      <c r="C30" s="1" t="s">
        <v>10</v>
      </c>
      <c r="D30" s="1" t="s">
        <v>44</v>
      </c>
    </row>
    <row r="31" spans="1:4" x14ac:dyDescent="0.25">
      <c r="A31" s="1" t="s">
        <v>45</v>
      </c>
      <c r="B31" s="5">
        <f>B5-B13</f>
        <v>13180</v>
      </c>
      <c r="C31" s="1" t="s">
        <v>8</v>
      </c>
      <c r="D31" s="1" t="s">
        <v>46</v>
      </c>
    </row>
    <row r="32" spans="1:4" ht="30" x14ac:dyDescent="0.25">
      <c r="A32" s="1" t="s">
        <v>137</v>
      </c>
      <c r="B32" s="8">
        <v>1</v>
      </c>
      <c r="C32" s="1" t="s">
        <v>28</v>
      </c>
      <c r="D32" s="1" t="s">
        <v>48</v>
      </c>
    </row>
    <row r="33" spans="1:4" ht="30" x14ac:dyDescent="0.25">
      <c r="A33" s="1" t="s">
        <v>47</v>
      </c>
      <c r="B33" s="8">
        <f>$B$23+$B$7</f>
        <v>8</v>
      </c>
      <c r="C33" s="1" t="s">
        <v>28</v>
      </c>
      <c r="D33" s="1" t="s">
        <v>48</v>
      </c>
    </row>
  </sheetData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2"/>
  <sheetViews>
    <sheetView showGridLines="0" tabSelected="1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E61" sqref="E61"/>
    </sheetView>
  </sheetViews>
  <sheetFormatPr defaultColWidth="8.7109375" defaultRowHeight="15" customHeight="1" x14ac:dyDescent="0.25"/>
  <cols>
    <col min="1" max="3" width="10" customWidth="1"/>
    <col min="4" max="11" width="24" customWidth="1"/>
    <col min="12" max="12" width="18" customWidth="1"/>
  </cols>
  <sheetData>
    <row r="1" spans="1:12" ht="17.25" customHeight="1" x14ac:dyDescent="0.3">
      <c r="A1" s="20" t="s">
        <v>49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2" spans="1:12" ht="31.5" customHeight="1" x14ac:dyDescent="0.25">
      <c r="A2" s="2" t="s">
        <v>50</v>
      </c>
      <c r="B2" s="2" t="s">
        <v>51</v>
      </c>
      <c r="C2" s="2" t="s">
        <v>52</v>
      </c>
      <c r="D2" s="2" t="s">
        <v>53</v>
      </c>
      <c r="E2" s="2" t="s">
        <v>54</v>
      </c>
      <c r="F2" s="2" t="s">
        <v>55</v>
      </c>
      <c r="G2" s="2" t="s">
        <v>56</v>
      </c>
      <c r="H2" s="15" t="s">
        <v>100</v>
      </c>
      <c r="I2" s="2" t="s">
        <v>104</v>
      </c>
      <c r="J2" s="2" t="s">
        <v>57</v>
      </c>
      <c r="K2" s="15" t="s">
        <v>105</v>
      </c>
    </row>
    <row r="3" spans="1:12" x14ac:dyDescent="0.25">
      <c r="A3" s="9">
        <v>1</v>
      </c>
      <c r="B3" s="8">
        <f>INT(($A3-1)/12)+1</f>
        <v>1</v>
      </c>
      <c r="C3" s="8">
        <f>MOD($A3-1,12)+1</f>
        <v>1</v>
      </c>
      <c r="D3" s="8">
        <v>0</v>
      </c>
      <c r="E3" s="8">
        <f>Assumptions!$B$24</f>
        <v>4</v>
      </c>
      <c r="F3" s="8">
        <v>0</v>
      </c>
      <c r="G3" s="8">
        <f>Assumptions!$B$24</f>
        <v>4</v>
      </c>
      <c r="H3" s="8">
        <f>$G3+$F3</f>
        <v>4</v>
      </c>
      <c r="I3" s="8">
        <f>$E3</f>
        <v>4</v>
      </c>
      <c r="J3" s="8">
        <v>0</v>
      </c>
      <c r="K3" s="8">
        <f>$J3</f>
        <v>0</v>
      </c>
    </row>
    <row r="4" spans="1:12" x14ac:dyDescent="0.25">
      <c r="A4" s="9">
        <f>$A3+1</f>
        <v>2</v>
      </c>
      <c r="B4" s="8">
        <f t="shared" ref="B4:B62" si="0">INT(($A4-1)/12)+1</f>
        <v>1</v>
      </c>
      <c r="C4" s="8">
        <f t="shared" ref="C4:C62" si="1">MOD($A4-1,12)+1</f>
        <v>2</v>
      </c>
      <c r="D4" s="8">
        <f>IF((Cash_Flow!$N3+IF($A4=Assumptions!$B$19,Assumptions!$B$18,0)+IF($A4=Assumptions!$B$23,Assumptions!$B$22,0))&gt;=Assumptions!$B$4*Assumptions!$B$15,INT((Cash_Flow!$N3+IF($A4=Assumptions!$B$19,Assumptions!$B$18,0)+IF($A4=Assumptions!$B$23,Assumptions!$B$22,0))/Assumptions!$B$4),0)</f>
        <v>0</v>
      </c>
      <c r="E4" s="8">
        <f>IF($A4&gt;Assumptions!$B$7,INDEX($D$3:$D$62,MATCH($A4-Assumptions!$B$7,$A$3:$A$62,0)),0)</f>
        <v>0</v>
      </c>
      <c r="F4" s="8">
        <f>$F3+$D4-$E4</f>
        <v>0</v>
      </c>
      <c r="G4" s="8">
        <f>$G3+$E4-$J4</f>
        <v>4</v>
      </c>
      <c r="H4" s="8">
        <f t="shared" ref="H4:H62" si="2">$G4+$F4</f>
        <v>4</v>
      </c>
      <c r="I4" s="8">
        <f>$I3+$E4</f>
        <v>4</v>
      </c>
      <c r="J4" s="8">
        <f>_xlfn.LET(
    _xlpm.PrevMonth,$A3,
    _xlpm.PrevCars,$G3,
    _xlpm.PrevGrossProfit,Income_Statement!$J3,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" s="8">
        <f>$J4+$K3</f>
        <v>0</v>
      </c>
    </row>
    <row r="5" spans="1:12" x14ac:dyDescent="0.25">
      <c r="A5" s="9">
        <f t="shared" ref="A5:A62" si="3">$A4+1</f>
        <v>3</v>
      </c>
      <c r="B5" s="8">
        <f t="shared" si="0"/>
        <v>1</v>
      </c>
      <c r="C5" s="8">
        <f t="shared" si="1"/>
        <v>3</v>
      </c>
      <c r="D5" s="8">
        <f>IF((Cash_Flow!$N4+IF($A5=Assumptions!$B$19,Assumptions!$B$18,0)+IF($A5=Assumptions!$B$23,Assumptions!$B$22,0))&gt;=Assumptions!$B$4*Assumptions!$B$15,INT((Cash_Flow!$N4+IF($A5=Assumptions!$B$19,Assumptions!$B$18,0)+IF($A5=Assumptions!$B$23,Assumptions!$B$22,0))/Assumptions!$B$4),0)</f>
        <v>0</v>
      </c>
      <c r="E5" s="8">
        <f>IF($A5&gt;Assumptions!$B$7,INDEX($D$3:$D$62,MATCH($A5-Assumptions!$B$7,$A$3:$A$62,0)),0)</f>
        <v>0</v>
      </c>
      <c r="F5" s="8">
        <f t="shared" ref="F5:F62" si="4">$F4+$D5-$E5</f>
        <v>0</v>
      </c>
      <c r="G5" s="8">
        <f t="shared" ref="G5:G62" si="5">$G4+$E5-$J5</f>
        <v>4</v>
      </c>
      <c r="H5" s="8">
        <f t="shared" si="2"/>
        <v>4</v>
      </c>
      <c r="I5" s="8">
        <f t="shared" ref="I5:I62" si="6">$I4+$E5</f>
        <v>4</v>
      </c>
      <c r="J5" s="8">
        <f>_xlfn.LET(
    _xlpm.PrevMonth,$A4,
    _xlpm.PrevCars,$G4,
    _xlpm.PrevGrossProfit,Income_Statement!$J4,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" s="8">
        <f t="shared" ref="K5:K62" si="7">$J5+$K4</f>
        <v>0</v>
      </c>
    </row>
    <row r="6" spans="1:12" x14ac:dyDescent="0.25">
      <c r="A6" s="9">
        <f t="shared" si="3"/>
        <v>4</v>
      </c>
      <c r="B6" s="8">
        <f t="shared" si="0"/>
        <v>1</v>
      </c>
      <c r="C6" s="8">
        <f t="shared" si="1"/>
        <v>4</v>
      </c>
      <c r="D6" s="8">
        <f>IF((Cash_Flow!$N5+IF($A6=Assumptions!$B$19,Assumptions!$B$18,0)+IF($A6=Assumptions!$B$23,Assumptions!$B$22,0))&gt;=Assumptions!$B$4*Assumptions!$B$15,INT((Cash_Flow!$N5+IF($A6=Assumptions!$B$19,Assumptions!$B$18,0)+IF($A6=Assumptions!$B$23,Assumptions!$B$22,0))/Assumptions!$B$4),0)</f>
        <v>0</v>
      </c>
      <c r="E6" s="8">
        <f>IF($A6&gt;Assumptions!$B$7,INDEX($D$3:$D$62,MATCH($A6-Assumptions!$B$7,$A$3:$A$62,0)),0)</f>
        <v>0</v>
      </c>
      <c r="F6" s="8">
        <f t="shared" si="4"/>
        <v>0</v>
      </c>
      <c r="G6" s="8">
        <f t="shared" si="5"/>
        <v>4</v>
      </c>
      <c r="H6" s="8">
        <f t="shared" si="2"/>
        <v>4</v>
      </c>
      <c r="I6" s="8">
        <f t="shared" si="6"/>
        <v>4</v>
      </c>
      <c r="J6" s="8">
        <f>_xlfn.LET(
    _xlpm.PrevMonth,$A5,
    _xlpm.PrevCars,$G5,
    _xlpm.PrevGrossProfit,Income_Statement!$J5,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6" s="8">
        <f t="shared" si="7"/>
        <v>0</v>
      </c>
    </row>
    <row r="7" spans="1:12" x14ac:dyDescent="0.25">
      <c r="A7" s="9">
        <f t="shared" si="3"/>
        <v>5</v>
      </c>
      <c r="B7" s="8">
        <f t="shared" si="0"/>
        <v>1</v>
      </c>
      <c r="C7" s="8">
        <f t="shared" si="1"/>
        <v>5</v>
      </c>
      <c r="D7" s="8">
        <f>IF((Cash_Flow!$N6+IF($A7=Assumptions!$B$19,Assumptions!$B$18,0)+IF($A7=Assumptions!$B$23,Assumptions!$B$22,0))&gt;=Assumptions!$B$4*Assumptions!$B$15,INT((Cash_Flow!$N6+IF($A7=Assumptions!$B$19,Assumptions!$B$18,0)+IF($A7=Assumptions!$B$23,Assumptions!$B$22,0))/Assumptions!$B$4),0)</f>
        <v>9</v>
      </c>
      <c r="E7" s="8">
        <f>IF($A7&gt;Assumptions!$B$7,INDEX($D$3:$D$62,MATCH($A7-Assumptions!$B$7,$A$3:$A$62,0)),0)</f>
        <v>0</v>
      </c>
      <c r="F7" s="8">
        <f t="shared" si="4"/>
        <v>9</v>
      </c>
      <c r="G7" s="8">
        <f t="shared" si="5"/>
        <v>4</v>
      </c>
      <c r="H7" s="8">
        <f t="shared" si="2"/>
        <v>13</v>
      </c>
      <c r="I7" s="8">
        <f t="shared" si="6"/>
        <v>4</v>
      </c>
      <c r="J7" s="8">
        <f>_xlfn.LET(
    _xlpm.PrevMonth,$A6,
    _xlpm.PrevCars,$G6,
    _xlpm.PrevGrossProfit,Income_Statement!$J6,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7" s="8">
        <f t="shared" si="7"/>
        <v>0</v>
      </c>
    </row>
    <row r="8" spans="1:12" x14ac:dyDescent="0.25">
      <c r="A8" s="9">
        <f t="shared" si="3"/>
        <v>6</v>
      </c>
      <c r="B8" s="8">
        <f t="shared" si="0"/>
        <v>1</v>
      </c>
      <c r="C8" s="8">
        <f t="shared" si="1"/>
        <v>6</v>
      </c>
      <c r="D8" s="8">
        <f>IF((Cash_Flow!$N7+IF($A8=Assumptions!$B$19,Assumptions!$B$18,0)+IF($A8=Assumptions!$B$23,Assumptions!$B$22,0))&gt;=Assumptions!$B$4*Assumptions!$B$15,INT((Cash_Flow!$N7+IF($A8=Assumptions!$B$19,Assumptions!$B$18,0)+IF($A8=Assumptions!$B$23,Assumptions!$B$22,0))/Assumptions!$B$4),0)</f>
        <v>0</v>
      </c>
      <c r="E8" s="8">
        <f>IF($A8&gt;Assumptions!$B$7,INDEX($D$3:$D$62,MATCH($A8-Assumptions!$B$7,$A$3:$A$62,0)),0)</f>
        <v>0</v>
      </c>
      <c r="F8" s="8">
        <f t="shared" si="4"/>
        <v>9</v>
      </c>
      <c r="G8" s="8">
        <f t="shared" si="5"/>
        <v>4</v>
      </c>
      <c r="H8" s="8">
        <f t="shared" si="2"/>
        <v>13</v>
      </c>
      <c r="I8" s="8">
        <f t="shared" si="6"/>
        <v>4</v>
      </c>
      <c r="J8" s="8">
        <f>_xlfn.LET(
    _xlpm.PrevMonth,$A7,
    _xlpm.PrevCars,$G7,
    _xlpm.PrevGrossProfit,Income_Statement!$J7,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8" s="8">
        <f t="shared" si="7"/>
        <v>0</v>
      </c>
    </row>
    <row r="9" spans="1:12" x14ac:dyDescent="0.25">
      <c r="A9" s="9">
        <f t="shared" si="3"/>
        <v>7</v>
      </c>
      <c r="B9" s="8">
        <f t="shared" si="0"/>
        <v>1</v>
      </c>
      <c r="C9" s="8">
        <f t="shared" si="1"/>
        <v>7</v>
      </c>
      <c r="D9" s="8">
        <f>IF((Cash_Flow!$N8+IF($A9=Assumptions!$B$19,Assumptions!$B$18,0)+IF($A9=Assumptions!$B$23,Assumptions!$B$22,0))&gt;=Assumptions!$B$4*Assumptions!$B$15,INT((Cash_Flow!$N8+IF($A9=Assumptions!$B$19,Assumptions!$B$18,0)+IF($A9=Assumptions!$B$23,Assumptions!$B$22,0))/Assumptions!$B$4),0)</f>
        <v>0</v>
      </c>
      <c r="E9" s="8">
        <f>IF($A9&gt;Assumptions!$B$7,INDEX($D$3:$D$62,MATCH($A9-Assumptions!$B$7,$A$3:$A$62,0)),0)</f>
        <v>0</v>
      </c>
      <c r="F9" s="8">
        <f t="shared" si="4"/>
        <v>9</v>
      </c>
      <c r="G9" s="8">
        <f t="shared" si="5"/>
        <v>4</v>
      </c>
      <c r="H9" s="8">
        <f t="shared" si="2"/>
        <v>13</v>
      </c>
      <c r="I9" s="8">
        <f t="shared" si="6"/>
        <v>4</v>
      </c>
      <c r="J9" s="8">
        <f>_xlfn.LET(
    _xlpm.PrevMonth,$A8,
    _xlpm.PrevCars,$G8,
    _xlpm.PrevGrossProfit,Income_Statement!$J8,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9" s="8">
        <f t="shared" si="7"/>
        <v>0</v>
      </c>
    </row>
    <row r="10" spans="1:12" x14ac:dyDescent="0.25">
      <c r="A10" s="9">
        <f t="shared" si="3"/>
        <v>8</v>
      </c>
      <c r="B10" s="8">
        <f t="shared" si="0"/>
        <v>1</v>
      </c>
      <c r="C10" s="8">
        <f t="shared" si="1"/>
        <v>8</v>
      </c>
      <c r="D10" s="8">
        <f>IF((Cash_Flow!$N9+IF($A10=Assumptions!$B$19,Assumptions!$B$18,0)+IF($A10=Assumptions!$B$23,Assumptions!$B$22,0))&gt;=Assumptions!$B$4*Assumptions!$B$15,INT((Cash_Flow!$N9+IF($A10=Assumptions!$B$19,Assumptions!$B$18,0)+IF($A10=Assumptions!$B$23,Assumptions!$B$22,0))/Assumptions!$B$4),0)</f>
        <v>0</v>
      </c>
      <c r="E10" s="8">
        <f>IF($A10&gt;Assumptions!$B$7,INDEX($D$3:$D$62,MATCH($A10-Assumptions!$B$7,$A$3:$A$62,0)),0)</f>
        <v>9</v>
      </c>
      <c r="F10" s="8">
        <f t="shared" si="4"/>
        <v>0</v>
      </c>
      <c r="G10" s="8">
        <f t="shared" si="5"/>
        <v>13</v>
      </c>
      <c r="H10" s="8">
        <f t="shared" si="2"/>
        <v>13</v>
      </c>
      <c r="I10" s="8">
        <f t="shared" si="6"/>
        <v>13</v>
      </c>
      <c r="J10" s="8">
        <f>_xlfn.LET(
    _xlpm.PrevMonth,$A9,
    _xlpm.PrevCars,$G9,
    _xlpm.PrevGrossProfit,Income_Statement!$J9,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0" s="8">
        <f t="shared" si="7"/>
        <v>0</v>
      </c>
    </row>
    <row r="11" spans="1:12" x14ac:dyDescent="0.25">
      <c r="A11" s="9">
        <f t="shared" si="3"/>
        <v>9</v>
      </c>
      <c r="B11" s="8">
        <f t="shared" si="0"/>
        <v>1</v>
      </c>
      <c r="C11" s="8">
        <f t="shared" si="1"/>
        <v>9</v>
      </c>
      <c r="D11" s="8">
        <f>IF((Cash_Flow!$N10+IF($A11=Assumptions!$B$19,Assumptions!$B$18,0)+IF($A11=Assumptions!$B$23,Assumptions!$B$22,0))&gt;=Assumptions!$B$4*Assumptions!$B$15,INT((Cash_Flow!$N10+IF($A11=Assumptions!$B$19,Assumptions!$B$18,0)+IF($A11=Assumptions!$B$23,Assumptions!$B$22,0))/Assumptions!$B$4),0)</f>
        <v>0</v>
      </c>
      <c r="E11" s="8">
        <f>IF($A11&gt;Assumptions!$B$7,INDEX($D$3:$D$62,MATCH($A11-Assumptions!$B$7,$A$3:$A$62,0)),0)</f>
        <v>0</v>
      </c>
      <c r="F11" s="8">
        <f t="shared" si="4"/>
        <v>0</v>
      </c>
      <c r="G11" s="8">
        <f t="shared" si="5"/>
        <v>13</v>
      </c>
      <c r="H11" s="8">
        <f t="shared" si="2"/>
        <v>13</v>
      </c>
      <c r="I11" s="8">
        <f t="shared" si="6"/>
        <v>13</v>
      </c>
      <c r="J11" s="8">
        <f>_xlfn.LET(
    _xlpm.PrevMonth,$A10,
    _xlpm.PrevCars,$G10,
    _xlpm.PrevGrossProfit,Income_Statement!$J10,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1" s="8">
        <f t="shared" si="7"/>
        <v>0</v>
      </c>
    </row>
    <row r="12" spans="1:12" x14ac:dyDescent="0.25">
      <c r="A12" s="9">
        <f t="shared" si="3"/>
        <v>10</v>
      </c>
      <c r="B12" s="8">
        <f t="shared" si="0"/>
        <v>1</v>
      </c>
      <c r="C12" s="8">
        <f t="shared" si="1"/>
        <v>10</v>
      </c>
      <c r="D12" s="8">
        <f>IF((Cash_Flow!$N11+IF($A12=Assumptions!$B$19,Assumptions!$B$18,0)+IF($A12=Assumptions!$B$23,Assumptions!$B$22,0))&gt;=Assumptions!$B$4*Assumptions!$B$15,INT((Cash_Flow!$N11+IF($A12=Assumptions!$B$19,Assumptions!$B$18,0)+IF($A12=Assumptions!$B$23,Assumptions!$B$22,0))/Assumptions!$B$4),0)</f>
        <v>4</v>
      </c>
      <c r="E12" s="8">
        <f>IF($A12&gt;Assumptions!$B$7,INDEX($D$3:$D$62,MATCH($A12-Assumptions!$B$7,$A$3:$A$62,0)),0)</f>
        <v>0</v>
      </c>
      <c r="F12" s="8">
        <f t="shared" si="4"/>
        <v>4</v>
      </c>
      <c r="G12" s="8">
        <f t="shared" si="5"/>
        <v>13</v>
      </c>
      <c r="H12" s="8">
        <f t="shared" si="2"/>
        <v>17</v>
      </c>
      <c r="I12" s="8">
        <f t="shared" si="6"/>
        <v>13</v>
      </c>
      <c r="J12" s="8">
        <f>_xlfn.LET(
    _xlpm.PrevMonth,$A11,
    _xlpm.PrevCars,$G11,
    _xlpm.PrevGrossProfit,Income_Statement!$J11,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2" s="8">
        <f t="shared" si="7"/>
        <v>0</v>
      </c>
    </row>
    <row r="13" spans="1:12" x14ac:dyDescent="0.25">
      <c r="A13" s="9">
        <f t="shared" si="3"/>
        <v>11</v>
      </c>
      <c r="B13" s="8">
        <f t="shared" si="0"/>
        <v>1</v>
      </c>
      <c r="C13" s="8">
        <f t="shared" si="1"/>
        <v>11</v>
      </c>
      <c r="D13" s="8">
        <f>IF((Cash_Flow!$N12+IF($A13=Assumptions!$B$19,Assumptions!$B$18,0)+IF($A13=Assumptions!$B$23,Assumptions!$B$22,0))&gt;=Assumptions!$B$4*Assumptions!$B$15,INT((Cash_Flow!$N12+IF($A13=Assumptions!$B$19,Assumptions!$B$18,0)+IF($A13=Assumptions!$B$23,Assumptions!$B$22,0))/Assumptions!$B$4),0)</f>
        <v>0</v>
      </c>
      <c r="E13" s="8">
        <f>IF($A13&gt;Assumptions!$B$7,INDEX($D$3:$D$62,MATCH($A13-Assumptions!$B$7,$A$3:$A$62,0)),0)</f>
        <v>0</v>
      </c>
      <c r="F13" s="8">
        <f t="shared" si="4"/>
        <v>4</v>
      </c>
      <c r="G13" s="8">
        <f t="shared" si="5"/>
        <v>13</v>
      </c>
      <c r="H13" s="8">
        <f t="shared" si="2"/>
        <v>17</v>
      </c>
      <c r="I13" s="8">
        <f t="shared" si="6"/>
        <v>13</v>
      </c>
      <c r="J13" s="8">
        <f>_xlfn.LET(
    _xlpm.PrevMonth,$A12,
    _xlpm.PrevCars,$G12,
    _xlpm.PrevGrossProfit,Income_Statement!$J12,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3" s="8">
        <f t="shared" si="7"/>
        <v>0</v>
      </c>
    </row>
    <row r="14" spans="1:12" x14ac:dyDescent="0.25">
      <c r="A14" s="9">
        <f t="shared" si="3"/>
        <v>12</v>
      </c>
      <c r="B14" s="8">
        <f t="shared" si="0"/>
        <v>1</v>
      </c>
      <c r="C14" s="8">
        <f t="shared" si="1"/>
        <v>12</v>
      </c>
      <c r="D14" s="8">
        <f>IF((Cash_Flow!$N13+IF($A14=Assumptions!$B$19,Assumptions!$B$18,0)+IF($A14=Assumptions!$B$23,Assumptions!$B$22,0))&gt;=Assumptions!$B$4*Assumptions!$B$15,INT((Cash_Flow!$N13+IF($A14=Assumptions!$B$19,Assumptions!$B$18,0)+IF($A14=Assumptions!$B$23,Assumptions!$B$22,0))/Assumptions!$B$4),0)</f>
        <v>0</v>
      </c>
      <c r="E14" s="8">
        <f>IF($A14&gt;Assumptions!$B$7,INDEX($D$3:$D$62,MATCH($A14-Assumptions!$B$7,$A$3:$A$62,0)),0)</f>
        <v>0</v>
      </c>
      <c r="F14" s="8">
        <f t="shared" si="4"/>
        <v>4</v>
      </c>
      <c r="G14" s="8">
        <f t="shared" si="5"/>
        <v>9</v>
      </c>
      <c r="H14" s="8">
        <f t="shared" si="2"/>
        <v>13</v>
      </c>
      <c r="I14" s="8">
        <f t="shared" si="6"/>
        <v>13</v>
      </c>
      <c r="J14" s="8">
        <f>_xlfn.LET(
    _xlpm.PrevMonth,$A13,
    _xlpm.PrevCars,$G13,
    _xlpm.PrevGrossProfit,Income_Statement!$J13,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14" s="8">
        <f t="shared" si="7"/>
        <v>4</v>
      </c>
    </row>
    <row r="15" spans="1:12" x14ac:dyDescent="0.25">
      <c r="A15" s="9">
        <f t="shared" si="3"/>
        <v>13</v>
      </c>
      <c r="B15" s="8">
        <f t="shared" si="0"/>
        <v>2</v>
      </c>
      <c r="C15" s="8">
        <f t="shared" si="1"/>
        <v>1</v>
      </c>
      <c r="D15" s="8">
        <f>IF((Cash_Flow!$N14+IF($A15=Assumptions!$B$19,Assumptions!$B$18,0)+IF($A15=Assumptions!$B$23,Assumptions!$B$22,0))&gt;=Assumptions!$B$4*Assumptions!$B$15,INT((Cash_Flow!$N14+IF($A15=Assumptions!$B$19,Assumptions!$B$18,0)+IF($A15=Assumptions!$B$23,Assumptions!$B$22,0))/Assumptions!$B$4),0)</f>
        <v>4</v>
      </c>
      <c r="E15" s="8">
        <f>IF($A15&gt;Assumptions!$B$7,INDEX($D$3:$D$62,MATCH($A15-Assumptions!$B$7,$A$3:$A$62,0)),0)</f>
        <v>4</v>
      </c>
      <c r="F15" s="8">
        <f t="shared" si="4"/>
        <v>4</v>
      </c>
      <c r="G15" s="8">
        <f t="shared" si="5"/>
        <v>13</v>
      </c>
      <c r="H15" s="8">
        <f t="shared" si="2"/>
        <v>17</v>
      </c>
      <c r="I15" s="8">
        <f t="shared" si="6"/>
        <v>17</v>
      </c>
      <c r="J15" s="8">
        <f>_xlfn.LET(
    _xlpm.PrevMonth,$A14,
    _xlpm.PrevCars,$G14,
    _xlpm.PrevGrossProfit,Income_Statement!$J14,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5" s="8">
        <f>$J15+$K14</f>
        <v>4</v>
      </c>
    </row>
    <row r="16" spans="1:12" x14ac:dyDescent="0.25">
      <c r="A16" s="9">
        <f t="shared" si="3"/>
        <v>14</v>
      </c>
      <c r="B16" s="8">
        <f t="shared" si="0"/>
        <v>2</v>
      </c>
      <c r="C16" s="8">
        <f t="shared" si="1"/>
        <v>2</v>
      </c>
      <c r="D16" s="8">
        <f>IF((Cash_Flow!$N15+IF($A16=Assumptions!$B$19,Assumptions!$B$18,0)+IF($A16=Assumptions!$B$23,Assumptions!$B$22,0))&gt;=Assumptions!$B$4*Assumptions!$B$15,INT((Cash_Flow!$N15+IF($A16=Assumptions!$B$19,Assumptions!$B$18,0)+IF($A16=Assumptions!$B$23,Assumptions!$B$22,0))/Assumptions!$B$4),0)</f>
        <v>0</v>
      </c>
      <c r="E16" s="8">
        <f>IF($A16&gt;Assumptions!$B$7,INDEX($D$3:$D$62,MATCH($A16-Assumptions!$B$7,$A$3:$A$62,0)),0)</f>
        <v>0</v>
      </c>
      <c r="F16" s="8">
        <f t="shared" si="4"/>
        <v>4</v>
      </c>
      <c r="G16" s="8">
        <f t="shared" si="5"/>
        <v>13</v>
      </c>
      <c r="H16" s="8">
        <f t="shared" si="2"/>
        <v>17</v>
      </c>
      <c r="I16" s="8">
        <f t="shared" si="6"/>
        <v>17</v>
      </c>
      <c r="J16" s="8">
        <f>_xlfn.LET(
    _xlpm.PrevMonth,$A15,
    _xlpm.PrevCars,$G15,
    _xlpm.PrevGrossProfit,Income_Statement!$J15,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6" s="8">
        <f t="shared" si="7"/>
        <v>4</v>
      </c>
    </row>
    <row r="17" spans="1:11" x14ac:dyDescent="0.25">
      <c r="A17" s="9">
        <f t="shared" si="3"/>
        <v>15</v>
      </c>
      <c r="B17" s="8">
        <f t="shared" si="0"/>
        <v>2</v>
      </c>
      <c r="C17" s="8">
        <f t="shared" si="1"/>
        <v>3</v>
      </c>
      <c r="D17" s="8">
        <f>IF((Cash_Flow!$N16+IF($A17=Assumptions!$B$19,Assumptions!$B$18,0)+IF($A17=Assumptions!$B$23,Assumptions!$B$22,0))&gt;=Assumptions!$B$4*Assumptions!$B$15,INT((Cash_Flow!$N16+IF($A17=Assumptions!$B$19,Assumptions!$B$18,0)+IF($A17=Assumptions!$B$23,Assumptions!$B$22,0))/Assumptions!$B$4),0)</f>
        <v>0</v>
      </c>
      <c r="E17" s="8">
        <f>IF($A17&gt;Assumptions!$B$7,INDEX($D$3:$D$62,MATCH($A17-Assumptions!$B$7,$A$3:$A$62,0)),0)</f>
        <v>0</v>
      </c>
      <c r="F17" s="8">
        <f t="shared" si="4"/>
        <v>4</v>
      </c>
      <c r="G17" s="8">
        <f t="shared" si="5"/>
        <v>13</v>
      </c>
      <c r="H17" s="8">
        <f t="shared" si="2"/>
        <v>17</v>
      </c>
      <c r="I17" s="8">
        <f t="shared" si="6"/>
        <v>17</v>
      </c>
      <c r="J17" s="8">
        <f>_xlfn.LET(
    _xlpm.PrevMonth,$A16,
    _xlpm.PrevCars,$G16,
    _xlpm.PrevGrossProfit,Income_Statement!$J16,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7" s="8">
        <f t="shared" si="7"/>
        <v>4</v>
      </c>
    </row>
    <row r="18" spans="1:11" x14ac:dyDescent="0.25">
      <c r="A18" s="9">
        <f t="shared" si="3"/>
        <v>16</v>
      </c>
      <c r="B18" s="8">
        <f t="shared" si="0"/>
        <v>2</v>
      </c>
      <c r="C18" s="8">
        <f t="shared" si="1"/>
        <v>4</v>
      </c>
      <c r="D18" s="8">
        <f>IF((Cash_Flow!$N17+IF($A18=Assumptions!$B$19,Assumptions!$B$18,0)+IF($A18=Assumptions!$B$23,Assumptions!$B$22,0))&gt;=Assumptions!$B$4*Assumptions!$B$15,INT((Cash_Flow!$N17+IF($A18=Assumptions!$B$19,Assumptions!$B$18,0)+IF($A18=Assumptions!$B$23,Assumptions!$B$22,0))/Assumptions!$B$4),0)</f>
        <v>4</v>
      </c>
      <c r="E18" s="8">
        <f>IF($A18&gt;Assumptions!$B$7,INDEX($D$3:$D$62,MATCH($A18-Assumptions!$B$7,$A$3:$A$62,0)),0)</f>
        <v>4</v>
      </c>
      <c r="F18" s="8">
        <f t="shared" si="4"/>
        <v>4</v>
      </c>
      <c r="G18" s="8">
        <f t="shared" si="5"/>
        <v>17</v>
      </c>
      <c r="H18" s="8">
        <f t="shared" si="2"/>
        <v>21</v>
      </c>
      <c r="I18" s="8">
        <f t="shared" si="6"/>
        <v>21</v>
      </c>
      <c r="J18" s="8">
        <f>_xlfn.LET(
    _xlpm.PrevMonth,$A17,
    _xlpm.PrevCars,$G17,
    _xlpm.PrevGrossProfit,Income_Statement!$J17,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8" s="8">
        <f t="shared" si="7"/>
        <v>4</v>
      </c>
    </row>
    <row r="19" spans="1:11" x14ac:dyDescent="0.25">
      <c r="A19" s="9">
        <f t="shared" si="3"/>
        <v>17</v>
      </c>
      <c r="B19" s="8">
        <f t="shared" si="0"/>
        <v>2</v>
      </c>
      <c r="C19" s="8">
        <f t="shared" si="1"/>
        <v>5</v>
      </c>
      <c r="D19" s="8">
        <f>IF((Cash_Flow!$N18+IF($A19=Assumptions!$B$19,Assumptions!$B$18,0)+IF($A19=Assumptions!$B$23,Assumptions!$B$22,0))&gt;=Assumptions!$B$4*Assumptions!$B$15,INT((Cash_Flow!$N18+IF($A19=Assumptions!$B$19,Assumptions!$B$18,0)+IF($A19=Assumptions!$B$23,Assumptions!$B$22,0))/Assumptions!$B$4),0)</f>
        <v>0</v>
      </c>
      <c r="E19" s="8">
        <f>IF($A19&gt;Assumptions!$B$7,INDEX($D$3:$D$62,MATCH($A19-Assumptions!$B$7,$A$3:$A$62,0)),0)</f>
        <v>0</v>
      </c>
      <c r="F19" s="8">
        <f t="shared" si="4"/>
        <v>4</v>
      </c>
      <c r="G19" s="8">
        <f t="shared" si="5"/>
        <v>17</v>
      </c>
      <c r="H19" s="8">
        <f t="shared" si="2"/>
        <v>21</v>
      </c>
      <c r="I19" s="8">
        <f t="shared" si="6"/>
        <v>21</v>
      </c>
      <c r="J19" s="8">
        <f>_xlfn.LET(
    _xlpm.PrevMonth,$A18,
    _xlpm.PrevCars,$G18,
    _xlpm.PrevGrossProfit,Income_Statement!$J18,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19" s="8">
        <f t="shared" si="7"/>
        <v>4</v>
      </c>
    </row>
    <row r="20" spans="1:11" x14ac:dyDescent="0.25">
      <c r="A20" s="9">
        <f t="shared" si="3"/>
        <v>18</v>
      </c>
      <c r="B20" s="8">
        <f t="shared" si="0"/>
        <v>2</v>
      </c>
      <c r="C20" s="8">
        <f t="shared" si="1"/>
        <v>6</v>
      </c>
      <c r="D20" s="8">
        <f>IF((Cash_Flow!$N19+IF($A20=Assumptions!$B$19,Assumptions!$B$18,0)+IF($A20=Assumptions!$B$23,Assumptions!$B$22,0))&gt;=Assumptions!$B$4*Assumptions!$B$15,INT((Cash_Flow!$N19+IF($A20=Assumptions!$B$19,Assumptions!$B$18,0)+IF($A20=Assumptions!$B$23,Assumptions!$B$22,0))/Assumptions!$B$4),0)</f>
        <v>4</v>
      </c>
      <c r="E20" s="8">
        <f>IF($A20&gt;Assumptions!$B$7,INDEX($D$3:$D$62,MATCH($A20-Assumptions!$B$7,$A$3:$A$62,0)),0)</f>
        <v>0</v>
      </c>
      <c r="F20" s="8">
        <f t="shared" si="4"/>
        <v>8</v>
      </c>
      <c r="G20" s="8">
        <f t="shared" si="5"/>
        <v>17</v>
      </c>
      <c r="H20" s="8">
        <f t="shared" si="2"/>
        <v>25</v>
      </c>
      <c r="I20" s="8">
        <f t="shared" si="6"/>
        <v>21</v>
      </c>
      <c r="J20" s="8">
        <f>_xlfn.LET(
    _xlpm.PrevMonth,$A19,
    _xlpm.PrevCars,$G19,
    _xlpm.PrevGrossProfit,Income_Statement!$J19,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0" s="8">
        <f t="shared" si="7"/>
        <v>4</v>
      </c>
    </row>
    <row r="21" spans="1:11" x14ac:dyDescent="0.25">
      <c r="A21" s="9">
        <f t="shared" si="3"/>
        <v>19</v>
      </c>
      <c r="B21" s="8">
        <f t="shared" si="0"/>
        <v>2</v>
      </c>
      <c r="C21" s="8">
        <f t="shared" si="1"/>
        <v>7</v>
      </c>
      <c r="D21" s="8">
        <f>IF((Cash_Flow!$N20+IF($A21=Assumptions!$B$19,Assumptions!$B$18,0)+IF($A21=Assumptions!$B$23,Assumptions!$B$22,0))&gt;=Assumptions!$B$4*Assumptions!$B$15,INT((Cash_Flow!$N20+IF($A21=Assumptions!$B$19,Assumptions!$B$18,0)+IF($A21=Assumptions!$B$23,Assumptions!$B$22,0))/Assumptions!$B$4),0)</f>
        <v>0</v>
      </c>
      <c r="E21" s="8">
        <f>IF($A21&gt;Assumptions!$B$7,INDEX($D$3:$D$62,MATCH($A21-Assumptions!$B$7,$A$3:$A$62,0)),0)</f>
        <v>4</v>
      </c>
      <c r="F21" s="8">
        <f t="shared" si="4"/>
        <v>4</v>
      </c>
      <c r="G21" s="8">
        <f t="shared" si="5"/>
        <v>12</v>
      </c>
      <c r="H21" s="8">
        <f t="shared" si="2"/>
        <v>16</v>
      </c>
      <c r="I21" s="8">
        <f t="shared" si="6"/>
        <v>25</v>
      </c>
      <c r="J21" s="8">
        <f>_xlfn.LET(
    _xlpm.PrevMonth,$A20,
    _xlpm.PrevCars,$G20,
    _xlpm.PrevGrossProfit,Income_Statement!$J20,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9</v>
      </c>
      <c r="K21" s="8">
        <f t="shared" si="7"/>
        <v>13</v>
      </c>
    </row>
    <row r="22" spans="1:11" x14ac:dyDescent="0.25">
      <c r="A22" s="9">
        <f t="shared" si="3"/>
        <v>20</v>
      </c>
      <c r="B22" s="8">
        <f t="shared" si="0"/>
        <v>2</v>
      </c>
      <c r="C22" s="8">
        <f t="shared" si="1"/>
        <v>8</v>
      </c>
      <c r="D22" s="8">
        <f>IF((Cash_Flow!$N21+IF($A22=Assumptions!$B$19,Assumptions!$B$18,0)+IF($A22=Assumptions!$B$23,Assumptions!$B$22,0))&gt;=Assumptions!$B$4*Assumptions!$B$15,INT((Cash_Flow!$N21+IF($A22=Assumptions!$B$19,Assumptions!$B$18,0)+IF($A22=Assumptions!$B$23,Assumptions!$B$22,0))/Assumptions!$B$4),0)</f>
        <v>0</v>
      </c>
      <c r="E22" s="8">
        <f>IF($A22&gt;Assumptions!$B$7,INDEX($D$3:$D$62,MATCH($A22-Assumptions!$B$7,$A$3:$A$62,0)),0)</f>
        <v>0</v>
      </c>
      <c r="F22" s="8">
        <f t="shared" si="4"/>
        <v>4</v>
      </c>
      <c r="G22" s="8">
        <f t="shared" si="5"/>
        <v>12</v>
      </c>
      <c r="H22" s="8">
        <f t="shared" si="2"/>
        <v>16</v>
      </c>
      <c r="I22" s="8">
        <f t="shared" si="6"/>
        <v>25</v>
      </c>
      <c r="J22" s="8">
        <f>_xlfn.LET(
    _xlpm.PrevMonth,$A21,
    _xlpm.PrevCars,$G21,
    _xlpm.PrevGrossProfit,Income_Statement!$J21,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2" s="8">
        <f>$J22+$K21</f>
        <v>13</v>
      </c>
    </row>
    <row r="23" spans="1:11" x14ac:dyDescent="0.25">
      <c r="A23" s="9">
        <f t="shared" si="3"/>
        <v>21</v>
      </c>
      <c r="B23" s="8">
        <f t="shared" si="0"/>
        <v>2</v>
      </c>
      <c r="C23" s="8">
        <f t="shared" si="1"/>
        <v>9</v>
      </c>
      <c r="D23" s="8">
        <f>IF((Cash_Flow!$N22+IF($A23=Assumptions!$B$19,Assumptions!$B$18,0)+IF($A23=Assumptions!$B$23,Assumptions!$B$22,0))&gt;=Assumptions!$B$4*Assumptions!$B$15,INT((Cash_Flow!$N22+IF($A23=Assumptions!$B$19,Assumptions!$B$18,0)+IF($A23=Assumptions!$B$23,Assumptions!$B$22,0))/Assumptions!$B$4),0)</f>
        <v>4</v>
      </c>
      <c r="E23" s="8">
        <f>IF($A23&gt;Assumptions!$B$7,INDEX($D$3:$D$62,MATCH($A23-Assumptions!$B$7,$A$3:$A$62,0)),0)</f>
        <v>4</v>
      </c>
      <c r="F23" s="8">
        <f t="shared" si="4"/>
        <v>4</v>
      </c>
      <c r="G23" s="8">
        <f t="shared" si="5"/>
        <v>16</v>
      </c>
      <c r="H23" s="8">
        <f t="shared" si="2"/>
        <v>20</v>
      </c>
      <c r="I23" s="8">
        <f t="shared" si="6"/>
        <v>29</v>
      </c>
      <c r="J23" s="8">
        <f>_xlfn.LET(
    _xlpm.PrevMonth,$A22,
    _xlpm.PrevCars,$G22,
    _xlpm.PrevGrossProfit,Income_Statement!$J22,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3" s="8">
        <f t="shared" si="7"/>
        <v>13</v>
      </c>
    </row>
    <row r="24" spans="1:11" x14ac:dyDescent="0.25">
      <c r="A24" s="9">
        <f t="shared" si="3"/>
        <v>22</v>
      </c>
      <c r="B24" s="8">
        <f t="shared" si="0"/>
        <v>2</v>
      </c>
      <c r="C24" s="8">
        <f t="shared" si="1"/>
        <v>10</v>
      </c>
      <c r="D24" s="8">
        <f>IF((Cash_Flow!$N23+IF($A24=Assumptions!$B$19,Assumptions!$B$18,0)+IF($A24=Assumptions!$B$23,Assumptions!$B$22,0))&gt;=Assumptions!$B$4*Assumptions!$B$15,INT((Cash_Flow!$N23+IF($A24=Assumptions!$B$19,Assumptions!$B$18,0)+IF($A24=Assumptions!$B$23,Assumptions!$B$22,0))/Assumptions!$B$4),0)</f>
        <v>0</v>
      </c>
      <c r="E24" s="8">
        <f>IF($A24&gt;Assumptions!$B$7,INDEX($D$3:$D$62,MATCH($A24-Assumptions!$B$7,$A$3:$A$62,0)),0)</f>
        <v>0</v>
      </c>
      <c r="F24" s="8">
        <f t="shared" si="4"/>
        <v>4</v>
      </c>
      <c r="G24" s="8">
        <f t="shared" si="5"/>
        <v>16</v>
      </c>
      <c r="H24" s="8">
        <f t="shared" si="2"/>
        <v>20</v>
      </c>
      <c r="I24" s="8">
        <f t="shared" si="6"/>
        <v>29</v>
      </c>
      <c r="J24" s="8">
        <f>_xlfn.LET(
    _xlpm.PrevMonth,$A23,
    _xlpm.PrevCars,$G23,
    _xlpm.PrevGrossProfit,Income_Statement!$J23,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4" s="8">
        <f t="shared" si="7"/>
        <v>13</v>
      </c>
    </row>
    <row r="25" spans="1:11" x14ac:dyDescent="0.25">
      <c r="A25" s="9">
        <f t="shared" si="3"/>
        <v>23</v>
      </c>
      <c r="B25" s="8">
        <f t="shared" si="0"/>
        <v>2</v>
      </c>
      <c r="C25" s="8">
        <f t="shared" si="1"/>
        <v>11</v>
      </c>
      <c r="D25" s="8">
        <f>IF((Cash_Flow!$N24+IF($A25=Assumptions!$B$19,Assumptions!$B$18,0)+IF($A25=Assumptions!$B$23,Assumptions!$B$22,0))&gt;=Assumptions!$B$4*Assumptions!$B$15,INT((Cash_Flow!$N24+IF($A25=Assumptions!$B$19,Assumptions!$B$18,0)+IF($A25=Assumptions!$B$23,Assumptions!$B$22,0))/Assumptions!$B$4),0)</f>
        <v>4</v>
      </c>
      <c r="E25" s="8">
        <f>IF($A25&gt;Assumptions!$B$7,INDEX($D$3:$D$62,MATCH($A25-Assumptions!$B$7,$A$3:$A$62,0)),0)</f>
        <v>0</v>
      </c>
      <c r="F25" s="8">
        <f t="shared" si="4"/>
        <v>8</v>
      </c>
      <c r="G25" s="8">
        <f t="shared" si="5"/>
        <v>16</v>
      </c>
      <c r="H25" s="8">
        <f t="shared" si="2"/>
        <v>24</v>
      </c>
      <c r="I25" s="8">
        <f t="shared" si="6"/>
        <v>29</v>
      </c>
      <c r="J25" s="8">
        <f>_xlfn.LET(
    _xlpm.PrevMonth,$A24,
    _xlpm.PrevCars,$G24,
    _xlpm.PrevGrossProfit,Income_Statement!$J24,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5" s="8">
        <f t="shared" si="7"/>
        <v>13</v>
      </c>
    </row>
    <row r="26" spans="1:11" x14ac:dyDescent="0.25">
      <c r="A26" s="9">
        <f t="shared" si="3"/>
        <v>24</v>
      </c>
      <c r="B26" s="8">
        <f t="shared" si="0"/>
        <v>2</v>
      </c>
      <c r="C26" s="8">
        <f t="shared" si="1"/>
        <v>12</v>
      </c>
      <c r="D26" s="8">
        <f>IF((Cash_Flow!$N25+IF($A26=Assumptions!$B$19,Assumptions!$B$18,0)+IF($A26=Assumptions!$B$23,Assumptions!$B$22,0))&gt;=Assumptions!$B$4*Assumptions!$B$15,INT((Cash_Flow!$N25+IF($A26=Assumptions!$B$19,Assumptions!$B$18,0)+IF($A26=Assumptions!$B$23,Assumptions!$B$22,0))/Assumptions!$B$4),0)</f>
        <v>0</v>
      </c>
      <c r="E26" s="8">
        <f>IF($A26&gt;Assumptions!$B$7,INDEX($D$3:$D$62,MATCH($A26-Assumptions!$B$7,$A$3:$A$62,0)),0)</f>
        <v>4</v>
      </c>
      <c r="F26" s="8">
        <f t="shared" si="4"/>
        <v>4</v>
      </c>
      <c r="G26" s="8">
        <f t="shared" si="5"/>
        <v>16</v>
      </c>
      <c r="H26" s="8">
        <f t="shared" si="2"/>
        <v>20</v>
      </c>
      <c r="I26" s="8">
        <f t="shared" si="6"/>
        <v>33</v>
      </c>
      <c r="J26" s="8">
        <f>_xlfn.LET(
    _xlpm.PrevMonth,$A25,
    _xlpm.PrevCars,$G25,
    _xlpm.PrevGrossProfit,Income_Statement!$J25,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26" s="8">
        <f t="shared" si="7"/>
        <v>17</v>
      </c>
    </row>
    <row r="27" spans="1:11" x14ac:dyDescent="0.25">
      <c r="A27" s="9">
        <f t="shared" si="3"/>
        <v>25</v>
      </c>
      <c r="B27" s="8">
        <f t="shared" si="0"/>
        <v>3</v>
      </c>
      <c r="C27" s="8">
        <f t="shared" si="1"/>
        <v>1</v>
      </c>
      <c r="D27" s="8">
        <f>IF((Cash_Flow!$N26+IF($A27=Assumptions!$B$19,Assumptions!$B$18,0)+IF($A27=Assumptions!$B$23,Assumptions!$B$22,0))&gt;=Assumptions!$B$4*Assumptions!$B$15,INT((Cash_Flow!$N26+IF($A27=Assumptions!$B$19,Assumptions!$B$18,0)+IF($A27=Assumptions!$B$23,Assumptions!$B$22,0))/Assumptions!$B$4),0)</f>
        <v>0</v>
      </c>
      <c r="E27" s="8">
        <f>IF($A27&gt;Assumptions!$B$7,INDEX($D$3:$D$62,MATCH($A27-Assumptions!$B$7,$A$3:$A$62,0)),0)</f>
        <v>0</v>
      </c>
      <c r="F27" s="8">
        <f t="shared" si="4"/>
        <v>4</v>
      </c>
      <c r="G27" s="8">
        <f t="shared" si="5"/>
        <v>16</v>
      </c>
      <c r="H27" s="8">
        <f t="shared" si="2"/>
        <v>20</v>
      </c>
      <c r="I27" s="8">
        <f t="shared" si="6"/>
        <v>33</v>
      </c>
      <c r="J27" s="8">
        <f>_xlfn.LET(
    _xlpm.PrevMonth,$A26,
    _xlpm.PrevCars,$G26,
    _xlpm.PrevGrossProfit,Income_Statement!$J26,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7" s="8">
        <f t="shared" si="7"/>
        <v>17</v>
      </c>
    </row>
    <row r="28" spans="1:11" x14ac:dyDescent="0.25">
      <c r="A28" s="9">
        <f t="shared" si="3"/>
        <v>26</v>
      </c>
      <c r="B28" s="8">
        <f t="shared" si="0"/>
        <v>3</v>
      </c>
      <c r="C28" s="8">
        <f t="shared" si="1"/>
        <v>2</v>
      </c>
      <c r="D28" s="8">
        <f>IF((Cash_Flow!$N27+IF($A28=Assumptions!$B$19,Assumptions!$B$18,0)+IF($A28=Assumptions!$B$23,Assumptions!$B$22,0))&gt;=Assumptions!$B$4*Assumptions!$B$15,INT((Cash_Flow!$N27+IF($A28=Assumptions!$B$19,Assumptions!$B$18,0)+IF($A28=Assumptions!$B$23,Assumptions!$B$22,0))/Assumptions!$B$4),0)</f>
        <v>5</v>
      </c>
      <c r="E28" s="8">
        <f>IF($A28&gt;Assumptions!$B$7,INDEX($D$3:$D$62,MATCH($A28-Assumptions!$B$7,$A$3:$A$62,0)),0)</f>
        <v>4</v>
      </c>
      <c r="F28" s="8">
        <f t="shared" si="4"/>
        <v>5</v>
      </c>
      <c r="G28" s="8">
        <f t="shared" si="5"/>
        <v>20</v>
      </c>
      <c r="H28" s="8">
        <f t="shared" si="2"/>
        <v>25</v>
      </c>
      <c r="I28" s="8">
        <f t="shared" si="6"/>
        <v>37</v>
      </c>
      <c r="J28" s="8">
        <f>_xlfn.LET(
    _xlpm.PrevMonth,$A27,
    _xlpm.PrevCars,$G27,
    _xlpm.PrevGrossProfit,Income_Statement!$J27,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28" s="8">
        <f t="shared" si="7"/>
        <v>17</v>
      </c>
    </row>
    <row r="29" spans="1:11" x14ac:dyDescent="0.25">
      <c r="A29" s="9">
        <f t="shared" si="3"/>
        <v>27</v>
      </c>
      <c r="B29" s="8">
        <f t="shared" si="0"/>
        <v>3</v>
      </c>
      <c r="C29" s="8">
        <f t="shared" si="1"/>
        <v>3</v>
      </c>
      <c r="D29" s="8">
        <f>IF((Cash_Flow!$N28+IF($A29=Assumptions!$B$19,Assumptions!$B$18,0)+IF($A29=Assumptions!$B$23,Assumptions!$B$22,0))&gt;=Assumptions!$B$4*Assumptions!$B$15,INT((Cash_Flow!$N28+IF($A29=Assumptions!$B$19,Assumptions!$B$18,0)+IF($A29=Assumptions!$B$23,Assumptions!$B$22,0))/Assumptions!$B$4),0)</f>
        <v>0</v>
      </c>
      <c r="E29" s="8">
        <f>IF($A29&gt;Assumptions!$B$7,INDEX($D$3:$D$62,MATCH($A29-Assumptions!$B$7,$A$3:$A$62,0)),0)</f>
        <v>0</v>
      </c>
      <c r="F29" s="8">
        <f t="shared" si="4"/>
        <v>5</v>
      </c>
      <c r="G29" s="8">
        <f t="shared" si="5"/>
        <v>16</v>
      </c>
      <c r="H29" s="8">
        <f t="shared" si="2"/>
        <v>21</v>
      </c>
      <c r="I29" s="8">
        <f t="shared" si="6"/>
        <v>37</v>
      </c>
      <c r="J29" s="8">
        <f>_xlfn.LET(
    _xlpm.PrevMonth,$A28,
    _xlpm.PrevCars,$G28,
    _xlpm.PrevGrossProfit,Income_Statement!$J28,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29" s="8">
        <f t="shared" si="7"/>
        <v>21</v>
      </c>
    </row>
    <row r="30" spans="1:11" x14ac:dyDescent="0.25">
      <c r="A30" s="9">
        <f t="shared" si="3"/>
        <v>28</v>
      </c>
      <c r="B30" s="8">
        <f t="shared" si="0"/>
        <v>3</v>
      </c>
      <c r="C30" s="8">
        <f t="shared" si="1"/>
        <v>4</v>
      </c>
      <c r="D30" s="8">
        <f>IF((Cash_Flow!$N29+IF($A30=Assumptions!$B$19,Assumptions!$B$18,0)+IF($A30=Assumptions!$B$23,Assumptions!$B$22,0))&gt;=Assumptions!$B$4*Assumptions!$B$15,INT((Cash_Flow!$N29+IF($A30=Assumptions!$B$19,Assumptions!$B$18,0)+IF($A30=Assumptions!$B$23,Assumptions!$B$22,0))/Assumptions!$B$4),0)</f>
        <v>4</v>
      </c>
      <c r="E30" s="8">
        <f>IF($A30&gt;Assumptions!$B$7,INDEX($D$3:$D$62,MATCH($A30-Assumptions!$B$7,$A$3:$A$62,0)),0)</f>
        <v>0</v>
      </c>
      <c r="F30" s="8">
        <f t="shared" si="4"/>
        <v>9</v>
      </c>
      <c r="G30" s="8">
        <f t="shared" si="5"/>
        <v>16</v>
      </c>
      <c r="H30" s="8">
        <f t="shared" si="2"/>
        <v>25</v>
      </c>
      <c r="I30" s="8">
        <f t="shared" si="6"/>
        <v>37</v>
      </c>
      <c r="J30" s="8">
        <f>_xlfn.LET(
    _xlpm.PrevMonth,$A29,
    _xlpm.PrevCars,$G29,
    _xlpm.PrevGrossProfit,Income_Statement!$J29,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0" s="8">
        <f t="shared" si="7"/>
        <v>21</v>
      </c>
    </row>
    <row r="31" spans="1:11" x14ac:dyDescent="0.25">
      <c r="A31" s="9">
        <f t="shared" si="3"/>
        <v>29</v>
      </c>
      <c r="B31" s="8">
        <f t="shared" si="0"/>
        <v>3</v>
      </c>
      <c r="C31" s="8">
        <f t="shared" si="1"/>
        <v>5</v>
      </c>
      <c r="D31" s="8">
        <f>IF((Cash_Flow!$N30+IF($A31=Assumptions!$B$19,Assumptions!$B$18,0)+IF($A31=Assumptions!$B$23,Assumptions!$B$22,0))&gt;=Assumptions!$B$4*Assumptions!$B$15,INT((Cash_Flow!$N30+IF($A31=Assumptions!$B$19,Assumptions!$B$18,0)+IF($A31=Assumptions!$B$23,Assumptions!$B$22,0))/Assumptions!$B$4),0)</f>
        <v>0</v>
      </c>
      <c r="E31" s="8">
        <f>IF($A31&gt;Assumptions!$B$7,INDEX($D$3:$D$62,MATCH($A31-Assumptions!$B$7,$A$3:$A$62,0)),0)</f>
        <v>5</v>
      </c>
      <c r="F31" s="8">
        <f t="shared" si="4"/>
        <v>4</v>
      </c>
      <c r="G31" s="8">
        <f t="shared" si="5"/>
        <v>21</v>
      </c>
      <c r="H31" s="8">
        <f t="shared" si="2"/>
        <v>25</v>
      </c>
      <c r="I31" s="8">
        <f t="shared" si="6"/>
        <v>42</v>
      </c>
      <c r="J31" s="8">
        <f>_xlfn.LET(
    _xlpm.PrevMonth,$A30,
    _xlpm.PrevCars,$G30,
    _xlpm.PrevGrossProfit,Income_Statement!$J30,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1" s="8">
        <f t="shared" si="7"/>
        <v>21</v>
      </c>
    </row>
    <row r="32" spans="1:11" x14ac:dyDescent="0.25">
      <c r="A32" s="9">
        <f t="shared" si="3"/>
        <v>30</v>
      </c>
      <c r="B32" s="8">
        <f t="shared" si="0"/>
        <v>3</v>
      </c>
      <c r="C32" s="8">
        <f t="shared" si="1"/>
        <v>6</v>
      </c>
      <c r="D32" s="8">
        <f>IF((Cash_Flow!$N31+IF($A32=Assumptions!$B$19,Assumptions!$B$18,0)+IF($A32=Assumptions!$B$23,Assumptions!$B$22,0))&gt;=Assumptions!$B$4*Assumptions!$B$15,INT((Cash_Flow!$N31+IF($A32=Assumptions!$B$19,Assumptions!$B$18,0)+IF($A32=Assumptions!$B$23,Assumptions!$B$22,0))/Assumptions!$B$4),0)</f>
        <v>4</v>
      </c>
      <c r="E32" s="8">
        <f>IF($A32&gt;Assumptions!$B$7,INDEX($D$3:$D$62,MATCH($A32-Assumptions!$B$7,$A$3:$A$62,0)),0)</f>
        <v>0</v>
      </c>
      <c r="F32" s="8">
        <f t="shared" si="4"/>
        <v>8</v>
      </c>
      <c r="G32" s="8">
        <f t="shared" si="5"/>
        <v>17</v>
      </c>
      <c r="H32" s="8">
        <f t="shared" si="2"/>
        <v>25</v>
      </c>
      <c r="I32" s="8">
        <f t="shared" si="6"/>
        <v>42</v>
      </c>
      <c r="J32" s="8">
        <f>_xlfn.LET(
    _xlpm.PrevMonth,$A31,
    _xlpm.PrevCars,$G31,
    _xlpm.PrevGrossProfit,Income_Statement!$J31,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32" s="8">
        <f>$J32+$K31</f>
        <v>25</v>
      </c>
    </row>
    <row r="33" spans="1:11" x14ac:dyDescent="0.25">
      <c r="A33" s="9">
        <f t="shared" si="3"/>
        <v>31</v>
      </c>
      <c r="B33" s="8">
        <f t="shared" si="0"/>
        <v>3</v>
      </c>
      <c r="C33" s="8">
        <f t="shared" si="1"/>
        <v>7</v>
      </c>
      <c r="D33" s="8">
        <f>IF((Cash_Flow!$N32+IF($A33=Assumptions!$B$19,Assumptions!$B$18,0)+IF($A33=Assumptions!$B$23,Assumptions!$B$22,0))&gt;=Assumptions!$B$4*Assumptions!$B$15,INT((Cash_Flow!$N32+IF($A33=Assumptions!$B$19,Assumptions!$B$18,0)+IF($A33=Assumptions!$B$23,Assumptions!$B$22,0))/Assumptions!$B$4),0)</f>
        <v>0</v>
      </c>
      <c r="E33" s="8">
        <f>IF($A33&gt;Assumptions!$B$7,INDEX($D$3:$D$62,MATCH($A33-Assumptions!$B$7,$A$3:$A$62,0)),0)</f>
        <v>4</v>
      </c>
      <c r="F33" s="8">
        <f t="shared" si="4"/>
        <v>4</v>
      </c>
      <c r="G33" s="8">
        <f t="shared" si="5"/>
        <v>21</v>
      </c>
      <c r="H33" s="8">
        <f t="shared" si="2"/>
        <v>25</v>
      </c>
      <c r="I33" s="8">
        <f t="shared" si="6"/>
        <v>46</v>
      </c>
      <c r="J33" s="8">
        <f>_xlfn.LET(
    _xlpm.PrevMonth,$A32,
    _xlpm.PrevCars,$G32,
    _xlpm.PrevGrossProfit,Income_Statement!$J32,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3" s="8">
        <f t="shared" si="7"/>
        <v>25</v>
      </c>
    </row>
    <row r="34" spans="1:11" x14ac:dyDescent="0.25">
      <c r="A34" s="9">
        <f t="shared" si="3"/>
        <v>32</v>
      </c>
      <c r="B34" s="8">
        <f t="shared" si="0"/>
        <v>3</v>
      </c>
      <c r="C34" s="8">
        <f t="shared" si="1"/>
        <v>8</v>
      </c>
      <c r="D34" s="8">
        <f>IF((Cash_Flow!$N33+IF($A34=Assumptions!$B$19,Assumptions!$B$18,0)+IF($A34=Assumptions!$B$23,Assumptions!$B$22,0))&gt;=Assumptions!$B$4*Assumptions!$B$15,INT((Cash_Flow!$N33+IF($A34=Assumptions!$B$19,Assumptions!$B$18,0)+IF($A34=Assumptions!$B$23,Assumptions!$B$22,0))/Assumptions!$B$4),0)</f>
        <v>4</v>
      </c>
      <c r="E34" s="8">
        <f>IF($A34&gt;Assumptions!$B$7,INDEX($D$3:$D$62,MATCH($A34-Assumptions!$B$7,$A$3:$A$62,0)),0)</f>
        <v>0</v>
      </c>
      <c r="F34" s="8">
        <f t="shared" si="4"/>
        <v>8</v>
      </c>
      <c r="G34" s="8">
        <f t="shared" si="5"/>
        <v>17</v>
      </c>
      <c r="H34" s="8">
        <f t="shared" si="2"/>
        <v>25</v>
      </c>
      <c r="I34" s="8">
        <f t="shared" si="6"/>
        <v>46</v>
      </c>
      <c r="J34" s="8">
        <f>_xlfn.LET(
    _xlpm.PrevMonth,$A33,
    _xlpm.PrevCars,$G33,
    _xlpm.PrevGrossProfit,Income_Statement!$J33,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34" s="8">
        <f t="shared" si="7"/>
        <v>29</v>
      </c>
    </row>
    <row r="35" spans="1:11" x14ac:dyDescent="0.25">
      <c r="A35" s="9">
        <f t="shared" si="3"/>
        <v>33</v>
      </c>
      <c r="B35" s="8">
        <f t="shared" si="0"/>
        <v>3</v>
      </c>
      <c r="C35" s="8">
        <f t="shared" si="1"/>
        <v>9</v>
      </c>
      <c r="D35" s="8">
        <f>IF((Cash_Flow!$N34+IF($A35=Assumptions!$B$19,Assumptions!$B$18,0)+IF($A35=Assumptions!$B$23,Assumptions!$B$22,0))&gt;=Assumptions!$B$4*Assumptions!$B$15,INT((Cash_Flow!$N34+IF($A35=Assumptions!$B$19,Assumptions!$B$18,0)+IF($A35=Assumptions!$B$23,Assumptions!$B$22,0))/Assumptions!$B$4),0)</f>
        <v>0</v>
      </c>
      <c r="E35" s="8">
        <f>IF($A35&gt;Assumptions!$B$7,INDEX($D$3:$D$62,MATCH($A35-Assumptions!$B$7,$A$3:$A$62,0)),0)</f>
        <v>4</v>
      </c>
      <c r="F35" s="8">
        <f t="shared" si="4"/>
        <v>4</v>
      </c>
      <c r="G35" s="8">
        <f t="shared" si="5"/>
        <v>21</v>
      </c>
      <c r="H35" s="8">
        <f t="shared" si="2"/>
        <v>25</v>
      </c>
      <c r="I35" s="8">
        <f t="shared" si="6"/>
        <v>50</v>
      </c>
      <c r="J35" s="8">
        <f>_xlfn.LET(
    _xlpm.PrevMonth,$A34,
    _xlpm.PrevCars,$G34,
    _xlpm.PrevGrossProfit,Income_Statement!$J34,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5" s="8">
        <f t="shared" si="7"/>
        <v>29</v>
      </c>
    </row>
    <row r="36" spans="1:11" x14ac:dyDescent="0.25">
      <c r="A36" s="9">
        <f t="shared" si="3"/>
        <v>34</v>
      </c>
      <c r="B36" s="8">
        <f t="shared" si="0"/>
        <v>3</v>
      </c>
      <c r="C36" s="8">
        <f t="shared" si="1"/>
        <v>10</v>
      </c>
      <c r="D36" s="8">
        <f>IF((Cash_Flow!$N35+IF($A36=Assumptions!$B$19,Assumptions!$B$18,0)+IF($A36=Assumptions!$B$23,Assumptions!$B$22,0))&gt;=Assumptions!$B$4*Assumptions!$B$15,INT((Cash_Flow!$N35+IF($A36=Assumptions!$B$19,Assumptions!$B$18,0)+IF($A36=Assumptions!$B$23,Assumptions!$B$22,0))/Assumptions!$B$4),0)</f>
        <v>4</v>
      </c>
      <c r="E36" s="8">
        <f>IF($A36&gt;Assumptions!$B$7,INDEX($D$3:$D$62,MATCH($A36-Assumptions!$B$7,$A$3:$A$62,0)),0)</f>
        <v>0</v>
      </c>
      <c r="F36" s="8">
        <f t="shared" si="4"/>
        <v>8</v>
      </c>
      <c r="G36" s="8">
        <f t="shared" si="5"/>
        <v>21</v>
      </c>
      <c r="H36" s="8">
        <f t="shared" si="2"/>
        <v>29</v>
      </c>
      <c r="I36" s="8">
        <f t="shared" si="6"/>
        <v>50</v>
      </c>
      <c r="J36" s="8">
        <f>_xlfn.LET(
    _xlpm.PrevMonth,$A35,
    _xlpm.PrevCars,$G35,
    _xlpm.PrevGrossProfit,Income_Statement!$J35,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6" s="8">
        <f t="shared" si="7"/>
        <v>29</v>
      </c>
    </row>
    <row r="37" spans="1:11" x14ac:dyDescent="0.25">
      <c r="A37" s="9">
        <f t="shared" si="3"/>
        <v>35</v>
      </c>
      <c r="B37" s="8">
        <f t="shared" si="0"/>
        <v>3</v>
      </c>
      <c r="C37" s="8">
        <f t="shared" si="1"/>
        <v>11</v>
      </c>
      <c r="D37" s="8">
        <f>IF((Cash_Flow!$N36+IF($A37=Assumptions!$B$19,Assumptions!$B$18,0)+IF($A37=Assumptions!$B$23,Assumptions!$B$22,0))&gt;=Assumptions!$B$4*Assumptions!$B$15,INT((Cash_Flow!$N36+IF($A37=Assumptions!$B$19,Assumptions!$B$18,0)+IF($A37=Assumptions!$B$23,Assumptions!$B$22,0))/Assumptions!$B$4),0)</f>
        <v>0</v>
      </c>
      <c r="E37" s="8">
        <f>IF($A37&gt;Assumptions!$B$7,INDEX($D$3:$D$62,MATCH($A37-Assumptions!$B$7,$A$3:$A$62,0)),0)</f>
        <v>4</v>
      </c>
      <c r="F37" s="8">
        <f t="shared" si="4"/>
        <v>4</v>
      </c>
      <c r="G37" s="8">
        <f t="shared" si="5"/>
        <v>21</v>
      </c>
      <c r="H37" s="8">
        <f t="shared" si="2"/>
        <v>25</v>
      </c>
      <c r="I37" s="8">
        <f t="shared" si="6"/>
        <v>54</v>
      </c>
      <c r="J37" s="8">
        <f>_xlfn.LET(
    _xlpm.PrevMonth,$A36,
    _xlpm.PrevCars,$G36,
    _xlpm.PrevGrossProfit,Income_Statement!$J36,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37" s="8">
        <f t="shared" si="7"/>
        <v>33</v>
      </c>
    </row>
    <row r="38" spans="1:11" x14ac:dyDescent="0.25">
      <c r="A38" s="9">
        <f t="shared" si="3"/>
        <v>36</v>
      </c>
      <c r="B38" s="8">
        <f t="shared" si="0"/>
        <v>3</v>
      </c>
      <c r="C38" s="8">
        <f t="shared" si="1"/>
        <v>12</v>
      </c>
      <c r="D38" s="8">
        <f>IF((Cash_Flow!$N37+IF($A38=Assumptions!$B$19,Assumptions!$B$18,0)+IF($A38=Assumptions!$B$23,Assumptions!$B$22,0))&gt;=Assumptions!$B$4*Assumptions!$B$15,INT((Cash_Flow!$N37+IF($A38=Assumptions!$B$19,Assumptions!$B$18,0)+IF($A38=Assumptions!$B$23,Assumptions!$B$22,0))/Assumptions!$B$4),0)</f>
        <v>4</v>
      </c>
      <c r="E38" s="8">
        <f>IF($A38&gt;Assumptions!$B$7,INDEX($D$3:$D$62,MATCH($A38-Assumptions!$B$7,$A$3:$A$62,0)),0)</f>
        <v>0</v>
      </c>
      <c r="F38" s="8">
        <f t="shared" si="4"/>
        <v>8</v>
      </c>
      <c r="G38" s="8">
        <f t="shared" si="5"/>
        <v>21</v>
      </c>
      <c r="H38" s="8">
        <f t="shared" si="2"/>
        <v>29</v>
      </c>
      <c r="I38" s="8">
        <f t="shared" si="6"/>
        <v>54</v>
      </c>
      <c r="J38" s="8">
        <f>_xlfn.LET(
    _xlpm.PrevMonth,$A37,
    _xlpm.PrevCars,$G37,
    _xlpm.PrevGrossProfit,Income_Statement!$J37,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38" s="8">
        <f t="shared" si="7"/>
        <v>33</v>
      </c>
    </row>
    <row r="39" spans="1:11" x14ac:dyDescent="0.25">
      <c r="A39" s="9">
        <f t="shared" si="3"/>
        <v>37</v>
      </c>
      <c r="B39" s="8">
        <f t="shared" si="0"/>
        <v>4</v>
      </c>
      <c r="C39" s="8">
        <f t="shared" si="1"/>
        <v>1</v>
      </c>
      <c r="D39" s="8">
        <f>IF((Cash_Flow!$N38+IF($A39=Assumptions!$B$19,Assumptions!$B$18,0)+IF($A39=Assumptions!$B$23,Assumptions!$B$22,0))&gt;=Assumptions!$B$4*Assumptions!$B$15,INT((Cash_Flow!$N38+IF($A39=Assumptions!$B$19,Assumptions!$B$18,0)+IF($A39=Assumptions!$B$23,Assumptions!$B$22,0))/Assumptions!$B$4),0)</f>
        <v>0</v>
      </c>
      <c r="E39" s="8">
        <f>IF($A39&gt;Assumptions!$B$7,INDEX($D$3:$D$62,MATCH($A39-Assumptions!$B$7,$A$3:$A$62,0)),0)</f>
        <v>4</v>
      </c>
      <c r="F39" s="8">
        <f t="shared" si="4"/>
        <v>4</v>
      </c>
      <c r="G39" s="8">
        <f t="shared" si="5"/>
        <v>21</v>
      </c>
      <c r="H39" s="8">
        <f t="shared" si="2"/>
        <v>25</v>
      </c>
      <c r="I39" s="8">
        <f t="shared" si="6"/>
        <v>58</v>
      </c>
      <c r="J39" s="8">
        <f>_xlfn.LET(
    _xlpm.PrevMonth,$A38,
    _xlpm.PrevCars,$G38,
    _xlpm.PrevGrossProfit,Income_Statement!$J38,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39" s="8">
        <f t="shared" si="7"/>
        <v>37</v>
      </c>
    </row>
    <row r="40" spans="1:11" x14ac:dyDescent="0.25">
      <c r="A40" s="9">
        <f t="shared" si="3"/>
        <v>38</v>
      </c>
      <c r="B40" s="8">
        <f t="shared" si="0"/>
        <v>4</v>
      </c>
      <c r="C40" s="8">
        <f t="shared" si="1"/>
        <v>2</v>
      </c>
      <c r="D40" s="8">
        <f>IF((Cash_Flow!$N39+IF($A40=Assumptions!$B$19,Assumptions!$B$18,0)+IF($A40=Assumptions!$B$23,Assumptions!$B$22,0))&gt;=Assumptions!$B$4*Assumptions!$B$15,INT((Cash_Flow!$N39+IF($A40=Assumptions!$B$19,Assumptions!$B$18,0)+IF($A40=Assumptions!$B$23,Assumptions!$B$22,0))/Assumptions!$B$4),0)</f>
        <v>4</v>
      </c>
      <c r="E40" s="8">
        <f>IF($A40&gt;Assumptions!$B$7,INDEX($D$3:$D$62,MATCH($A40-Assumptions!$B$7,$A$3:$A$62,0)),0)</f>
        <v>0</v>
      </c>
      <c r="F40" s="8">
        <f t="shared" si="4"/>
        <v>8</v>
      </c>
      <c r="G40" s="8">
        <f t="shared" si="5"/>
        <v>21</v>
      </c>
      <c r="H40" s="8">
        <f t="shared" si="2"/>
        <v>29</v>
      </c>
      <c r="I40" s="8">
        <f t="shared" si="6"/>
        <v>58</v>
      </c>
      <c r="J40" s="8">
        <f>_xlfn.LET(
    _xlpm.PrevMonth,$A39,
    _xlpm.PrevCars,$G39,
    _xlpm.PrevGrossProfit,Income_Statement!$J39,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0" s="8">
        <f t="shared" si="7"/>
        <v>37</v>
      </c>
    </row>
    <row r="41" spans="1:11" x14ac:dyDescent="0.25">
      <c r="A41" s="9">
        <f t="shared" si="3"/>
        <v>39</v>
      </c>
      <c r="B41" s="8">
        <f t="shared" si="0"/>
        <v>4</v>
      </c>
      <c r="C41" s="8">
        <f t="shared" si="1"/>
        <v>3</v>
      </c>
      <c r="D41" s="8">
        <f>IF((Cash_Flow!$N40+IF($A41=Assumptions!$B$19,Assumptions!$B$18,0)+IF($A41=Assumptions!$B$23,Assumptions!$B$22,0))&gt;=Assumptions!$B$4*Assumptions!$B$15,INT((Cash_Flow!$N40+IF($A41=Assumptions!$B$19,Assumptions!$B$18,0)+IF($A41=Assumptions!$B$23,Assumptions!$B$22,0))/Assumptions!$B$4),0)</f>
        <v>0</v>
      </c>
      <c r="E41" s="8">
        <f>IF($A41&gt;Assumptions!$B$7,INDEX($D$3:$D$62,MATCH($A41-Assumptions!$B$7,$A$3:$A$62,0)),0)</f>
        <v>4</v>
      </c>
      <c r="F41" s="8">
        <f t="shared" si="4"/>
        <v>4</v>
      </c>
      <c r="G41" s="8">
        <f t="shared" si="5"/>
        <v>25</v>
      </c>
      <c r="H41" s="8">
        <f t="shared" si="2"/>
        <v>29</v>
      </c>
      <c r="I41" s="8">
        <f t="shared" si="6"/>
        <v>62</v>
      </c>
      <c r="J41" s="8">
        <f>_xlfn.LET(
    _xlpm.PrevMonth,$A40,
    _xlpm.PrevCars,$G40,
    _xlpm.PrevGrossProfit,Income_Statement!$J40,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1" s="8">
        <f t="shared" si="7"/>
        <v>37</v>
      </c>
    </row>
    <row r="42" spans="1:11" x14ac:dyDescent="0.25">
      <c r="A42" s="9">
        <f t="shared" si="3"/>
        <v>40</v>
      </c>
      <c r="B42" s="8">
        <f t="shared" si="0"/>
        <v>4</v>
      </c>
      <c r="C42" s="8">
        <f t="shared" si="1"/>
        <v>4</v>
      </c>
      <c r="D42" s="8">
        <f>IF((Cash_Flow!$N41+IF($A42=Assumptions!$B$19,Assumptions!$B$18,0)+IF($A42=Assumptions!$B$23,Assumptions!$B$22,0))&gt;=Assumptions!$B$4*Assumptions!$B$15,INT((Cash_Flow!$N41+IF($A42=Assumptions!$B$19,Assumptions!$B$18,0)+IF($A42=Assumptions!$B$23,Assumptions!$B$22,0))/Assumptions!$B$4),0)</f>
        <v>5</v>
      </c>
      <c r="E42" s="8">
        <f>IF($A42&gt;Assumptions!$B$7,INDEX($D$3:$D$62,MATCH($A42-Assumptions!$B$7,$A$3:$A$62,0)),0)</f>
        <v>0</v>
      </c>
      <c r="F42" s="8">
        <f t="shared" si="4"/>
        <v>9</v>
      </c>
      <c r="G42" s="8">
        <f t="shared" si="5"/>
        <v>20</v>
      </c>
      <c r="H42" s="8">
        <f t="shared" si="2"/>
        <v>29</v>
      </c>
      <c r="I42" s="8">
        <f t="shared" si="6"/>
        <v>62</v>
      </c>
      <c r="J42" s="8">
        <f>_xlfn.LET(
    _xlpm.PrevMonth,$A41,
    _xlpm.PrevCars,$G41,
    _xlpm.PrevGrossProfit,Income_Statement!$J41,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5</v>
      </c>
      <c r="K42" s="8">
        <f>$J42+$K41</f>
        <v>42</v>
      </c>
    </row>
    <row r="43" spans="1:11" x14ac:dyDescent="0.25">
      <c r="A43" s="9">
        <f t="shared" si="3"/>
        <v>41</v>
      </c>
      <c r="B43" s="8">
        <f t="shared" si="0"/>
        <v>4</v>
      </c>
      <c r="C43" s="8">
        <f t="shared" si="1"/>
        <v>5</v>
      </c>
      <c r="D43" s="8">
        <f>IF((Cash_Flow!$N42+IF($A43=Assumptions!$B$19,Assumptions!$B$18,0)+IF($A43=Assumptions!$B$23,Assumptions!$B$22,0))&gt;=Assumptions!$B$4*Assumptions!$B$15,INT((Cash_Flow!$N42+IF($A43=Assumptions!$B$19,Assumptions!$B$18,0)+IF($A43=Assumptions!$B$23,Assumptions!$B$22,0))/Assumptions!$B$4),0)</f>
        <v>0</v>
      </c>
      <c r="E43" s="8">
        <f>IF($A43&gt;Assumptions!$B$7,INDEX($D$3:$D$62,MATCH($A43-Assumptions!$B$7,$A$3:$A$62,0)),0)</f>
        <v>4</v>
      </c>
      <c r="F43" s="8">
        <f t="shared" si="4"/>
        <v>5</v>
      </c>
      <c r="G43" s="8">
        <f t="shared" si="5"/>
        <v>24</v>
      </c>
      <c r="H43" s="8">
        <f t="shared" si="2"/>
        <v>29</v>
      </c>
      <c r="I43" s="8">
        <f t="shared" si="6"/>
        <v>66</v>
      </c>
      <c r="J43" s="8">
        <f>_xlfn.LET(
    _xlpm.PrevMonth,$A42,
    _xlpm.PrevCars,$G42,
    _xlpm.PrevGrossProfit,Income_Statement!$J42,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3" s="8">
        <f t="shared" si="7"/>
        <v>42</v>
      </c>
    </row>
    <row r="44" spans="1:11" x14ac:dyDescent="0.25">
      <c r="A44" s="9">
        <f t="shared" si="3"/>
        <v>42</v>
      </c>
      <c r="B44" s="8">
        <f t="shared" si="0"/>
        <v>4</v>
      </c>
      <c r="C44" s="8">
        <f t="shared" si="1"/>
        <v>6</v>
      </c>
      <c r="D44" s="8">
        <f>IF((Cash_Flow!$N43+IF($A44=Assumptions!$B$19,Assumptions!$B$18,0)+IF($A44=Assumptions!$B$23,Assumptions!$B$22,0))&gt;=Assumptions!$B$4*Assumptions!$B$15,INT((Cash_Flow!$N43+IF($A44=Assumptions!$B$19,Assumptions!$B$18,0)+IF($A44=Assumptions!$B$23,Assumptions!$B$22,0))/Assumptions!$B$4),0)</f>
        <v>5</v>
      </c>
      <c r="E44" s="8">
        <f>IF($A44&gt;Assumptions!$B$7,INDEX($D$3:$D$62,MATCH($A44-Assumptions!$B$7,$A$3:$A$62,0)),0)</f>
        <v>0</v>
      </c>
      <c r="F44" s="8">
        <f t="shared" si="4"/>
        <v>10</v>
      </c>
      <c r="G44" s="8">
        <f t="shared" si="5"/>
        <v>20</v>
      </c>
      <c r="H44" s="8">
        <f t="shared" si="2"/>
        <v>30</v>
      </c>
      <c r="I44" s="8">
        <f t="shared" si="6"/>
        <v>66</v>
      </c>
      <c r="J44" s="8">
        <f>_xlfn.LET(
    _xlpm.PrevMonth,$A43,
    _xlpm.PrevCars,$G43,
    _xlpm.PrevGrossProfit,Income_Statement!$J43,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44" s="8">
        <f t="shared" si="7"/>
        <v>46</v>
      </c>
    </row>
    <row r="45" spans="1:11" x14ac:dyDescent="0.25">
      <c r="A45" s="9">
        <f t="shared" si="3"/>
        <v>43</v>
      </c>
      <c r="B45" s="8">
        <f t="shared" si="0"/>
        <v>4</v>
      </c>
      <c r="C45" s="8">
        <f t="shared" si="1"/>
        <v>7</v>
      </c>
      <c r="D45" s="8">
        <f>IF((Cash_Flow!$N44+IF($A45=Assumptions!$B$19,Assumptions!$B$18,0)+IF($A45=Assumptions!$B$23,Assumptions!$B$22,0))&gt;=Assumptions!$B$4*Assumptions!$B$15,INT((Cash_Flow!$N44+IF($A45=Assumptions!$B$19,Assumptions!$B$18,0)+IF($A45=Assumptions!$B$23,Assumptions!$B$22,0))/Assumptions!$B$4),0)</f>
        <v>0</v>
      </c>
      <c r="E45" s="8">
        <f>IF($A45&gt;Assumptions!$B$7,INDEX($D$3:$D$62,MATCH($A45-Assumptions!$B$7,$A$3:$A$62,0)),0)</f>
        <v>5</v>
      </c>
      <c r="F45" s="8">
        <f t="shared" si="4"/>
        <v>5</v>
      </c>
      <c r="G45" s="8">
        <f t="shared" si="5"/>
        <v>25</v>
      </c>
      <c r="H45" s="8">
        <f t="shared" si="2"/>
        <v>30</v>
      </c>
      <c r="I45" s="8">
        <f t="shared" si="6"/>
        <v>71</v>
      </c>
      <c r="J45" s="8">
        <f>_xlfn.LET(
    _xlpm.PrevMonth,$A44,
    _xlpm.PrevCars,$G44,
    _xlpm.PrevGrossProfit,Income_Statement!$J44,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5" s="8">
        <f t="shared" si="7"/>
        <v>46</v>
      </c>
    </row>
    <row r="46" spans="1:11" x14ac:dyDescent="0.25">
      <c r="A46" s="9">
        <f t="shared" si="3"/>
        <v>44</v>
      </c>
      <c r="B46" s="8">
        <f t="shared" si="0"/>
        <v>4</v>
      </c>
      <c r="C46" s="8">
        <f t="shared" si="1"/>
        <v>8</v>
      </c>
      <c r="D46" s="8">
        <f>IF((Cash_Flow!$N45+IF($A46=Assumptions!$B$19,Assumptions!$B$18,0)+IF($A46=Assumptions!$B$23,Assumptions!$B$22,0))&gt;=Assumptions!$B$4*Assumptions!$B$15,INT((Cash_Flow!$N45+IF($A46=Assumptions!$B$19,Assumptions!$B$18,0)+IF($A46=Assumptions!$B$23,Assumptions!$B$22,0))/Assumptions!$B$4),0)</f>
        <v>5</v>
      </c>
      <c r="E46" s="8">
        <f>IF($A46&gt;Assumptions!$B$7,INDEX($D$3:$D$62,MATCH($A46-Assumptions!$B$7,$A$3:$A$62,0)),0)</f>
        <v>0</v>
      </c>
      <c r="F46" s="8">
        <f t="shared" si="4"/>
        <v>10</v>
      </c>
      <c r="G46" s="8">
        <f t="shared" si="5"/>
        <v>21</v>
      </c>
      <c r="H46" s="8">
        <f t="shared" si="2"/>
        <v>31</v>
      </c>
      <c r="I46" s="8">
        <f t="shared" si="6"/>
        <v>71</v>
      </c>
      <c r="J46" s="8">
        <f>_xlfn.LET(
    _xlpm.PrevMonth,$A45,
    _xlpm.PrevCars,$G45,
    _xlpm.PrevGrossProfit,Income_Statement!$J45,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46" s="8">
        <f t="shared" si="7"/>
        <v>50</v>
      </c>
    </row>
    <row r="47" spans="1:11" x14ac:dyDescent="0.25">
      <c r="A47" s="9">
        <f t="shared" si="3"/>
        <v>45</v>
      </c>
      <c r="B47" s="8">
        <f t="shared" si="0"/>
        <v>4</v>
      </c>
      <c r="C47" s="8">
        <f t="shared" si="1"/>
        <v>9</v>
      </c>
      <c r="D47" s="8">
        <f>IF((Cash_Flow!$N46+IF($A47=Assumptions!$B$19,Assumptions!$B$18,0)+IF($A47=Assumptions!$B$23,Assumptions!$B$22,0))&gt;=Assumptions!$B$4*Assumptions!$B$15,INT((Cash_Flow!$N46+IF($A47=Assumptions!$B$19,Assumptions!$B$18,0)+IF($A47=Assumptions!$B$23,Assumptions!$B$22,0))/Assumptions!$B$4),0)</f>
        <v>0</v>
      </c>
      <c r="E47" s="8">
        <f>IF($A47&gt;Assumptions!$B$7,INDEX($D$3:$D$62,MATCH($A47-Assumptions!$B$7,$A$3:$A$62,0)),0)</f>
        <v>5</v>
      </c>
      <c r="F47" s="8">
        <f t="shared" si="4"/>
        <v>5</v>
      </c>
      <c r="G47" s="8">
        <f t="shared" si="5"/>
        <v>26</v>
      </c>
      <c r="H47" s="8">
        <f t="shared" si="2"/>
        <v>31</v>
      </c>
      <c r="I47" s="8">
        <f t="shared" si="6"/>
        <v>76</v>
      </c>
      <c r="J47" s="8">
        <f>_xlfn.LET(
    _xlpm.PrevMonth,$A46,
    _xlpm.PrevCars,$G46,
    _xlpm.PrevGrossProfit,Income_Statement!$J46,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7" s="8">
        <f>$J47+$K46</f>
        <v>50</v>
      </c>
    </row>
    <row r="48" spans="1:11" x14ac:dyDescent="0.25">
      <c r="A48" s="9">
        <f t="shared" si="3"/>
        <v>46</v>
      </c>
      <c r="B48" s="8">
        <f t="shared" si="0"/>
        <v>4</v>
      </c>
      <c r="C48" s="8">
        <f t="shared" si="1"/>
        <v>10</v>
      </c>
      <c r="D48" s="8">
        <f>IF((Cash_Flow!$N47+IF($A48=Assumptions!$B$19,Assumptions!$B$18,0)+IF($A48=Assumptions!$B$23,Assumptions!$B$22,0))&gt;=Assumptions!$B$4*Assumptions!$B$15,INT((Cash_Flow!$N47+IF($A48=Assumptions!$B$19,Assumptions!$B$18,0)+IF($A48=Assumptions!$B$23,Assumptions!$B$22,0))/Assumptions!$B$4),0)</f>
        <v>4</v>
      </c>
      <c r="E48" s="8">
        <f>IF($A48&gt;Assumptions!$B$7,INDEX($D$3:$D$62,MATCH($A48-Assumptions!$B$7,$A$3:$A$62,0)),0)</f>
        <v>0</v>
      </c>
      <c r="F48" s="8">
        <f t="shared" si="4"/>
        <v>9</v>
      </c>
      <c r="G48" s="8">
        <f t="shared" si="5"/>
        <v>22</v>
      </c>
      <c r="H48" s="8">
        <f t="shared" si="2"/>
        <v>31</v>
      </c>
      <c r="I48" s="8">
        <f t="shared" si="6"/>
        <v>76</v>
      </c>
      <c r="J48" s="8">
        <f>_xlfn.LET(
    _xlpm.PrevMonth,$A47,
    _xlpm.PrevCars,$G47,
    _xlpm.PrevGrossProfit,Income_Statement!$J47,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48" s="8">
        <f t="shared" si="7"/>
        <v>54</v>
      </c>
    </row>
    <row r="49" spans="1:11" x14ac:dyDescent="0.25">
      <c r="A49" s="9">
        <f t="shared" si="3"/>
        <v>47</v>
      </c>
      <c r="B49" s="8">
        <f t="shared" si="0"/>
        <v>4</v>
      </c>
      <c r="C49" s="8">
        <f t="shared" si="1"/>
        <v>11</v>
      </c>
      <c r="D49" s="8">
        <f>IF((Cash_Flow!$N48+IF($A49=Assumptions!$B$19,Assumptions!$B$18,0)+IF($A49=Assumptions!$B$23,Assumptions!$B$22,0))&gt;=Assumptions!$B$4*Assumptions!$B$15,INT((Cash_Flow!$N48+IF($A49=Assumptions!$B$19,Assumptions!$B$18,0)+IF($A49=Assumptions!$B$23,Assumptions!$B$22,0))/Assumptions!$B$4),0)</f>
        <v>0</v>
      </c>
      <c r="E49" s="8">
        <f>IF($A49&gt;Assumptions!$B$7,INDEX($D$3:$D$62,MATCH($A49-Assumptions!$B$7,$A$3:$A$62,0)),0)</f>
        <v>5</v>
      </c>
      <c r="F49" s="8">
        <f t="shared" si="4"/>
        <v>4</v>
      </c>
      <c r="G49" s="8">
        <f t="shared" si="5"/>
        <v>27</v>
      </c>
      <c r="H49" s="8">
        <f t="shared" si="2"/>
        <v>31</v>
      </c>
      <c r="I49" s="8">
        <f t="shared" si="6"/>
        <v>81</v>
      </c>
      <c r="J49" s="8">
        <f>_xlfn.LET(
    _xlpm.PrevMonth,$A48,
    _xlpm.PrevCars,$G48,
    _xlpm.PrevGrossProfit,Income_Statement!$J48,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49" s="8">
        <f t="shared" si="7"/>
        <v>54</v>
      </c>
    </row>
    <row r="50" spans="1:11" x14ac:dyDescent="0.25">
      <c r="A50" s="9">
        <f t="shared" si="3"/>
        <v>48</v>
      </c>
      <c r="B50" s="8">
        <f t="shared" si="0"/>
        <v>4</v>
      </c>
      <c r="C50" s="8">
        <f t="shared" si="1"/>
        <v>12</v>
      </c>
      <c r="D50" s="8">
        <f>IF((Cash_Flow!$N49+IF($A50=Assumptions!$B$19,Assumptions!$B$18,0)+IF($A50=Assumptions!$B$23,Assumptions!$B$22,0))&gt;=Assumptions!$B$4*Assumptions!$B$15,INT((Cash_Flow!$N49+IF($A50=Assumptions!$B$19,Assumptions!$B$18,0)+IF($A50=Assumptions!$B$23,Assumptions!$B$22,0))/Assumptions!$B$4),0)</f>
        <v>6</v>
      </c>
      <c r="E50" s="8">
        <f>IF($A50&gt;Assumptions!$B$7,INDEX($D$3:$D$62,MATCH($A50-Assumptions!$B$7,$A$3:$A$62,0)),0)</f>
        <v>0</v>
      </c>
      <c r="F50" s="8">
        <f t="shared" si="4"/>
        <v>10</v>
      </c>
      <c r="G50" s="8">
        <f t="shared" si="5"/>
        <v>23</v>
      </c>
      <c r="H50" s="8">
        <f t="shared" si="2"/>
        <v>33</v>
      </c>
      <c r="I50" s="8">
        <f t="shared" si="6"/>
        <v>81</v>
      </c>
      <c r="J50" s="8">
        <f>_xlfn.LET(
    _xlpm.PrevMonth,$A49,
    _xlpm.PrevCars,$G49,
    _xlpm.PrevGrossProfit,Income_Statement!$J49,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50" s="8">
        <f t="shared" si="7"/>
        <v>58</v>
      </c>
    </row>
    <row r="51" spans="1:11" x14ac:dyDescent="0.25">
      <c r="A51" s="9">
        <f t="shared" si="3"/>
        <v>49</v>
      </c>
      <c r="B51" s="8">
        <f t="shared" si="0"/>
        <v>5</v>
      </c>
      <c r="C51" s="8">
        <f t="shared" si="1"/>
        <v>1</v>
      </c>
      <c r="D51" s="8">
        <f>IF((Cash_Flow!$N50+IF($A51=Assumptions!$B$19,Assumptions!$B$18,0)+IF($A51=Assumptions!$B$23,Assumptions!$B$22,0))&gt;=Assumptions!$B$4*Assumptions!$B$15,INT((Cash_Flow!$N50+IF($A51=Assumptions!$B$19,Assumptions!$B$18,0)+IF($A51=Assumptions!$B$23,Assumptions!$B$22,0))/Assumptions!$B$4),0)</f>
        <v>0</v>
      </c>
      <c r="E51" s="8">
        <f>IF($A51&gt;Assumptions!$B$7,INDEX($D$3:$D$62,MATCH($A51-Assumptions!$B$7,$A$3:$A$62,0)),0)</f>
        <v>4</v>
      </c>
      <c r="F51" s="8">
        <f t="shared" si="4"/>
        <v>6</v>
      </c>
      <c r="G51" s="8">
        <f t="shared" si="5"/>
        <v>27</v>
      </c>
      <c r="H51" s="8">
        <f t="shared" si="2"/>
        <v>33</v>
      </c>
      <c r="I51" s="8">
        <f t="shared" si="6"/>
        <v>85</v>
      </c>
      <c r="J51" s="8">
        <f>_xlfn.LET(
    _xlpm.PrevMonth,$A50,
    _xlpm.PrevCars,$G50,
    _xlpm.PrevGrossProfit,Income_Statement!$J50,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1" s="8">
        <f t="shared" si="7"/>
        <v>58</v>
      </c>
    </row>
    <row r="52" spans="1:11" x14ac:dyDescent="0.25">
      <c r="A52" s="9">
        <f t="shared" si="3"/>
        <v>50</v>
      </c>
      <c r="B52" s="8">
        <f t="shared" si="0"/>
        <v>5</v>
      </c>
      <c r="C52" s="8">
        <f t="shared" si="1"/>
        <v>2</v>
      </c>
      <c r="D52" s="8">
        <f>IF((Cash_Flow!$N51+IF($A52=Assumptions!$B$19,Assumptions!$B$18,0)+IF($A52=Assumptions!$B$23,Assumptions!$B$22,0))&gt;=Assumptions!$B$4*Assumptions!$B$15,INT((Cash_Flow!$N51+IF($A52=Assumptions!$B$19,Assumptions!$B$18,0)+IF($A52=Assumptions!$B$23,Assumptions!$B$22,0))/Assumptions!$B$4),0)</f>
        <v>5</v>
      </c>
      <c r="E52" s="8">
        <f>IF($A52&gt;Assumptions!$B$7,INDEX($D$3:$D$62,MATCH($A52-Assumptions!$B$7,$A$3:$A$62,0)),0)</f>
        <v>0</v>
      </c>
      <c r="F52" s="8">
        <f t="shared" si="4"/>
        <v>11</v>
      </c>
      <c r="G52" s="8">
        <f t="shared" si="5"/>
        <v>23</v>
      </c>
      <c r="H52" s="8">
        <f t="shared" si="2"/>
        <v>34</v>
      </c>
      <c r="I52" s="8">
        <f t="shared" si="6"/>
        <v>85</v>
      </c>
      <c r="J52" s="8">
        <f>_xlfn.LET(
    _xlpm.PrevMonth,$A51,
    _xlpm.PrevCars,$G51,
    _xlpm.PrevGrossProfit,Income_Statement!$J51,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52" s="8">
        <f t="shared" si="7"/>
        <v>62</v>
      </c>
    </row>
    <row r="53" spans="1:11" x14ac:dyDescent="0.25">
      <c r="A53" s="9">
        <f t="shared" si="3"/>
        <v>51</v>
      </c>
      <c r="B53" s="8">
        <f t="shared" si="0"/>
        <v>5</v>
      </c>
      <c r="C53" s="8">
        <f t="shared" si="1"/>
        <v>3</v>
      </c>
      <c r="D53" s="8">
        <f>IF((Cash_Flow!$N52+IF($A53=Assumptions!$B$19,Assumptions!$B$18,0)+IF($A53=Assumptions!$B$23,Assumptions!$B$22,0))&gt;=Assumptions!$B$4*Assumptions!$B$15,INT((Cash_Flow!$N52+IF($A53=Assumptions!$B$19,Assumptions!$B$18,0)+IF($A53=Assumptions!$B$23,Assumptions!$B$22,0))/Assumptions!$B$4),0)</f>
        <v>0</v>
      </c>
      <c r="E53" s="8">
        <f>IF($A53&gt;Assumptions!$B$7,INDEX($D$3:$D$62,MATCH($A53-Assumptions!$B$7,$A$3:$A$62,0)),0)</f>
        <v>6</v>
      </c>
      <c r="F53" s="8">
        <f t="shared" si="4"/>
        <v>5</v>
      </c>
      <c r="G53" s="8">
        <f t="shared" si="5"/>
        <v>29</v>
      </c>
      <c r="H53" s="8">
        <f t="shared" si="2"/>
        <v>34</v>
      </c>
      <c r="I53" s="8">
        <f t="shared" si="6"/>
        <v>91</v>
      </c>
      <c r="J53" s="8">
        <f>_xlfn.LET(
    _xlpm.PrevMonth,$A52,
    _xlpm.PrevCars,$G52,
    _xlpm.PrevGrossProfit,Income_Statement!$J52,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3" s="8">
        <f t="shared" si="7"/>
        <v>62</v>
      </c>
    </row>
    <row r="54" spans="1:11" x14ac:dyDescent="0.25">
      <c r="A54" s="9">
        <f t="shared" si="3"/>
        <v>52</v>
      </c>
      <c r="B54" s="8">
        <f t="shared" si="0"/>
        <v>5</v>
      </c>
      <c r="C54" s="8">
        <f t="shared" si="1"/>
        <v>4</v>
      </c>
      <c r="D54" s="8">
        <f>IF((Cash_Flow!$N53+IF($A54=Assumptions!$B$19,Assumptions!$B$18,0)+IF($A54=Assumptions!$B$23,Assumptions!$B$22,0))&gt;=Assumptions!$B$4*Assumptions!$B$15,INT((Cash_Flow!$N53+IF($A54=Assumptions!$B$19,Assumptions!$B$18,0)+IF($A54=Assumptions!$B$23,Assumptions!$B$22,0))/Assumptions!$B$4),0)</f>
        <v>5</v>
      </c>
      <c r="E54" s="8">
        <f>IF($A54&gt;Assumptions!$B$7,INDEX($D$3:$D$62,MATCH($A54-Assumptions!$B$7,$A$3:$A$62,0)),0)</f>
        <v>0</v>
      </c>
      <c r="F54" s="8">
        <f t="shared" si="4"/>
        <v>10</v>
      </c>
      <c r="G54" s="8">
        <f t="shared" si="5"/>
        <v>25</v>
      </c>
      <c r="H54" s="8">
        <f t="shared" si="2"/>
        <v>35</v>
      </c>
      <c r="I54" s="8">
        <f t="shared" si="6"/>
        <v>91</v>
      </c>
      <c r="J54" s="8">
        <f>_xlfn.LET(
    _xlpm.PrevMonth,$A53,
    _xlpm.PrevCars,$G53,
    _xlpm.PrevGrossProfit,Income_Statement!$J53,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54" s="8">
        <f t="shared" si="7"/>
        <v>66</v>
      </c>
    </row>
    <row r="55" spans="1:11" x14ac:dyDescent="0.25">
      <c r="A55" s="9">
        <f t="shared" si="3"/>
        <v>53</v>
      </c>
      <c r="B55" s="8">
        <f t="shared" si="0"/>
        <v>5</v>
      </c>
      <c r="C55" s="8">
        <f t="shared" si="1"/>
        <v>5</v>
      </c>
      <c r="D55" s="8">
        <f>IF((Cash_Flow!$N54+IF($A55=Assumptions!$B$19,Assumptions!$B$18,0)+IF($A55=Assumptions!$B$23,Assumptions!$B$22,0))&gt;=Assumptions!$B$4*Assumptions!$B$15,INT((Cash_Flow!$N54+IF($A55=Assumptions!$B$19,Assumptions!$B$18,0)+IF($A55=Assumptions!$B$23,Assumptions!$B$22,0))/Assumptions!$B$4),0)</f>
        <v>0</v>
      </c>
      <c r="E55" s="8">
        <f>IF($A55&gt;Assumptions!$B$7,INDEX($D$3:$D$62,MATCH($A55-Assumptions!$B$7,$A$3:$A$62,0)),0)</f>
        <v>5</v>
      </c>
      <c r="F55" s="8">
        <f t="shared" si="4"/>
        <v>5</v>
      </c>
      <c r="G55" s="8">
        <f t="shared" si="5"/>
        <v>30</v>
      </c>
      <c r="H55" s="8">
        <f t="shared" si="2"/>
        <v>35</v>
      </c>
      <c r="I55" s="8">
        <f t="shared" si="6"/>
        <v>96</v>
      </c>
      <c r="J55" s="8">
        <f>_xlfn.LET(
    _xlpm.PrevMonth,$A54,
    _xlpm.PrevCars,$G54,
    _xlpm.PrevGrossProfit,Income_Statement!$J54,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5" s="8">
        <f t="shared" si="7"/>
        <v>66</v>
      </c>
    </row>
    <row r="56" spans="1:11" x14ac:dyDescent="0.25">
      <c r="A56" s="9">
        <f t="shared" si="3"/>
        <v>54</v>
      </c>
      <c r="B56" s="8">
        <f t="shared" si="0"/>
        <v>5</v>
      </c>
      <c r="C56" s="8">
        <f t="shared" si="1"/>
        <v>6</v>
      </c>
      <c r="D56" s="8">
        <f>IF((Cash_Flow!$N55+IF($A56=Assumptions!$B$19,Assumptions!$B$18,0)+IF($A56=Assumptions!$B$23,Assumptions!$B$22,0))&gt;=Assumptions!$B$4*Assumptions!$B$15,INT((Cash_Flow!$N55+IF($A56=Assumptions!$B$19,Assumptions!$B$18,0)+IF($A56=Assumptions!$B$23,Assumptions!$B$22,0))/Assumptions!$B$4),0)</f>
        <v>6</v>
      </c>
      <c r="E56" s="8">
        <f>IF($A56&gt;Assumptions!$B$7,INDEX($D$3:$D$62,MATCH($A56-Assumptions!$B$7,$A$3:$A$62,0)),0)</f>
        <v>0</v>
      </c>
      <c r="F56" s="8">
        <f t="shared" si="4"/>
        <v>11</v>
      </c>
      <c r="G56" s="8">
        <f t="shared" si="5"/>
        <v>25</v>
      </c>
      <c r="H56" s="8">
        <f t="shared" si="2"/>
        <v>36</v>
      </c>
      <c r="I56" s="8">
        <f t="shared" si="6"/>
        <v>96</v>
      </c>
      <c r="J56" s="8">
        <f>_xlfn.LET(
    _xlpm.PrevMonth,$A55,
    _xlpm.PrevCars,$G55,
    _xlpm.PrevGrossProfit,Income_Statement!$J55,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5</v>
      </c>
      <c r="K56" s="8">
        <f>$J56+$K55</f>
        <v>71</v>
      </c>
    </row>
    <row r="57" spans="1:11" x14ac:dyDescent="0.25">
      <c r="A57" s="9">
        <f t="shared" si="3"/>
        <v>55</v>
      </c>
      <c r="B57" s="8">
        <f t="shared" si="0"/>
        <v>5</v>
      </c>
      <c r="C57" s="8">
        <f t="shared" si="1"/>
        <v>7</v>
      </c>
      <c r="D57" s="8">
        <f>IF((Cash_Flow!$N56+IF($A57=Assumptions!$B$19,Assumptions!$B$18,0)+IF($A57=Assumptions!$B$23,Assumptions!$B$22,0))&gt;=Assumptions!$B$4*Assumptions!$B$15,INT((Cash_Flow!$N56+IF($A57=Assumptions!$B$19,Assumptions!$B$18,0)+IF($A57=Assumptions!$B$23,Assumptions!$B$22,0))/Assumptions!$B$4),0)</f>
        <v>0</v>
      </c>
      <c r="E57" s="8">
        <f>IF($A57&gt;Assumptions!$B$7,INDEX($D$3:$D$62,MATCH($A57-Assumptions!$B$7,$A$3:$A$62,0)),0)</f>
        <v>5</v>
      </c>
      <c r="F57" s="8">
        <f t="shared" si="4"/>
        <v>6</v>
      </c>
      <c r="G57" s="8">
        <f t="shared" si="5"/>
        <v>30</v>
      </c>
      <c r="H57" s="8">
        <f t="shared" si="2"/>
        <v>36</v>
      </c>
      <c r="I57" s="8">
        <f t="shared" si="6"/>
        <v>101</v>
      </c>
      <c r="J57" s="8">
        <f>_xlfn.LET(
    _xlpm.PrevMonth,$A56,
    _xlpm.PrevCars,$G56,
    _xlpm.PrevGrossProfit,Income_Statement!$J56,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7" s="8">
        <f t="shared" si="7"/>
        <v>71</v>
      </c>
    </row>
    <row r="58" spans="1:11" x14ac:dyDescent="0.25">
      <c r="A58" s="9">
        <f t="shared" si="3"/>
        <v>56</v>
      </c>
      <c r="B58" s="8">
        <f t="shared" si="0"/>
        <v>5</v>
      </c>
      <c r="C58" s="8">
        <f t="shared" si="1"/>
        <v>8</v>
      </c>
      <c r="D58" s="8">
        <f>IF((Cash_Flow!$N57+IF($A58=Assumptions!$B$19,Assumptions!$B$18,0)+IF($A58=Assumptions!$B$23,Assumptions!$B$22,0))&gt;=Assumptions!$B$4*Assumptions!$B$15,INT((Cash_Flow!$N57+IF($A58=Assumptions!$B$19,Assumptions!$B$18,0)+IF($A58=Assumptions!$B$23,Assumptions!$B$22,0))/Assumptions!$B$4),0)</f>
        <v>6</v>
      </c>
      <c r="E58" s="8">
        <f>IF($A58&gt;Assumptions!$B$7,INDEX($D$3:$D$62,MATCH($A58-Assumptions!$B$7,$A$3:$A$62,0)),0)</f>
        <v>0</v>
      </c>
      <c r="F58" s="8">
        <f t="shared" si="4"/>
        <v>12</v>
      </c>
      <c r="G58" s="8">
        <f t="shared" si="5"/>
        <v>25</v>
      </c>
      <c r="H58" s="8">
        <f t="shared" si="2"/>
        <v>37</v>
      </c>
      <c r="I58" s="8">
        <f t="shared" si="6"/>
        <v>101</v>
      </c>
      <c r="J58" s="8">
        <f>_xlfn.LET(
    _xlpm.PrevMonth,$A57,
    _xlpm.PrevCars,$G57,
    _xlpm.PrevGrossProfit,Income_Statement!$J57,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5</v>
      </c>
      <c r="K58" s="8">
        <f t="shared" si="7"/>
        <v>76</v>
      </c>
    </row>
    <row r="59" spans="1:11" x14ac:dyDescent="0.25">
      <c r="A59" s="9">
        <f t="shared" si="3"/>
        <v>57</v>
      </c>
      <c r="B59" s="8">
        <f t="shared" si="0"/>
        <v>5</v>
      </c>
      <c r="C59" s="8">
        <f t="shared" si="1"/>
        <v>9</v>
      </c>
      <c r="D59" s="8">
        <f>IF((Cash_Flow!$N58+IF($A59=Assumptions!$B$19,Assumptions!$B$18,0)+IF($A59=Assumptions!$B$23,Assumptions!$B$22,0))&gt;=Assumptions!$B$4*Assumptions!$B$15,INT((Cash_Flow!$N58+IF($A59=Assumptions!$B$19,Assumptions!$B$18,0)+IF($A59=Assumptions!$B$23,Assumptions!$B$22,0))/Assumptions!$B$4),0)</f>
        <v>0</v>
      </c>
      <c r="E59" s="8">
        <f>IF($A59&gt;Assumptions!$B$7,INDEX($D$3:$D$62,MATCH($A59-Assumptions!$B$7,$A$3:$A$62,0)),0)</f>
        <v>6</v>
      </c>
      <c r="F59" s="8">
        <f t="shared" si="4"/>
        <v>6</v>
      </c>
      <c r="G59" s="8">
        <f t="shared" si="5"/>
        <v>31</v>
      </c>
      <c r="H59" s="8">
        <f t="shared" si="2"/>
        <v>37</v>
      </c>
      <c r="I59" s="8">
        <f t="shared" si="6"/>
        <v>107</v>
      </c>
      <c r="J59" s="8">
        <f>_xlfn.LET(
    _xlpm.PrevMonth,$A58,
    _xlpm.PrevCars,$G58,
    _xlpm.PrevGrossProfit,Income_Statement!$J58,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59" s="8">
        <f t="shared" si="7"/>
        <v>76</v>
      </c>
    </row>
    <row r="60" spans="1:11" x14ac:dyDescent="0.25">
      <c r="A60" s="9">
        <f t="shared" si="3"/>
        <v>58</v>
      </c>
      <c r="B60" s="8">
        <f t="shared" si="0"/>
        <v>5</v>
      </c>
      <c r="C60" s="8">
        <f t="shared" si="1"/>
        <v>10</v>
      </c>
      <c r="D60" s="8">
        <f>IF((Cash_Flow!$N59+IF($A60=Assumptions!$B$19,Assumptions!$B$18,0)+IF($A60=Assumptions!$B$23,Assumptions!$B$22,0))&gt;=Assumptions!$B$4*Assumptions!$B$15,INT((Cash_Flow!$N59+IF($A60=Assumptions!$B$19,Assumptions!$B$18,0)+IF($A60=Assumptions!$B$23,Assumptions!$B$22,0))/Assumptions!$B$4),0)</f>
        <v>5</v>
      </c>
      <c r="E60" s="8">
        <f>IF($A60&gt;Assumptions!$B$7,INDEX($D$3:$D$62,MATCH($A60-Assumptions!$B$7,$A$3:$A$62,0)),0)</f>
        <v>0</v>
      </c>
      <c r="F60" s="8">
        <f t="shared" si="4"/>
        <v>11</v>
      </c>
      <c r="G60" s="8">
        <f t="shared" si="5"/>
        <v>26</v>
      </c>
      <c r="H60" s="8">
        <f t="shared" si="2"/>
        <v>37</v>
      </c>
      <c r="I60" s="8">
        <f t="shared" si="6"/>
        <v>107</v>
      </c>
      <c r="J60" s="8">
        <f>_xlfn.LET(
    _xlpm.PrevMonth,$A59,
    _xlpm.PrevCars,$G59,
    _xlpm.PrevGrossProfit,Income_Statement!$J59,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5</v>
      </c>
      <c r="K60" s="8">
        <f t="shared" si="7"/>
        <v>81</v>
      </c>
    </row>
    <row r="61" spans="1:11" x14ac:dyDescent="0.25">
      <c r="A61" s="9">
        <f t="shared" si="3"/>
        <v>59</v>
      </c>
      <c r="B61" s="8">
        <f t="shared" si="0"/>
        <v>5</v>
      </c>
      <c r="C61" s="8">
        <f t="shared" si="1"/>
        <v>11</v>
      </c>
      <c r="D61" s="8">
        <f>IF((Cash_Flow!$N60+IF($A61=Assumptions!$B$19,Assumptions!$B$18,0)+IF($A61=Assumptions!$B$23,Assumptions!$B$22,0))&gt;=Assumptions!$B$4*Assumptions!$B$15,INT((Cash_Flow!$N60+IF($A61=Assumptions!$B$19,Assumptions!$B$18,0)+IF($A61=Assumptions!$B$23,Assumptions!$B$22,0))/Assumptions!$B$4),0)</f>
        <v>0</v>
      </c>
      <c r="E61" s="8">
        <f>IF($A61&gt;Assumptions!$B$7,INDEX($D$3:$D$62,MATCH($A61-Assumptions!$B$7,$A$3:$A$62,0)),0)</f>
        <v>6</v>
      </c>
      <c r="F61" s="8">
        <f t="shared" si="4"/>
        <v>5</v>
      </c>
      <c r="G61" s="8">
        <f t="shared" si="5"/>
        <v>32</v>
      </c>
      <c r="H61" s="8">
        <f t="shared" si="2"/>
        <v>37</v>
      </c>
      <c r="I61" s="8">
        <f t="shared" si="6"/>
        <v>113</v>
      </c>
      <c r="J61" s="8">
        <f>_xlfn.LET(
    _xlpm.PrevMonth,$A60,
    _xlpm.PrevCars,$G60,
    _xlpm.PrevGrossProfit,Income_Statement!$J60,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0</v>
      </c>
      <c r="K61" s="8">
        <f t="shared" si="7"/>
        <v>81</v>
      </c>
    </row>
    <row r="62" spans="1:11" x14ac:dyDescent="0.25">
      <c r="A62" s="9">
        <f t="shared" si="3"/>
        <v>60</v>
      </c>
      <c r="B62" s="8">
        <f t="shared" si="0"/>
        <v>5</v>
      </c>
      <c r="C62" s="8">
        <f t="shared" si="1"/>
        <v>12</v>
      </c>
      <c r="D62" s="8">
        <f>IF((Cash_Flow!$N61+IF($A62=Assumptions!$B$19,Assumptions!$B$18,0)+IF($A62=Assumptions!$B$23,Assumptions!$B$22,0))&gt;=Assumptions!$B$4*Assumptions!$B$15,INT((Cash_Flow!$N61+IF($A62=Assumptions!$B$19,Assumptions!$B$18,0)+IF($A62=Assumptions!$B$23,Assumptions!$B$22,0))/Assumptions!$B$4),0)</f>
        <v>6</v>
      </c>
      <c r="E62" s="8">
        <f>IF($A62&gt;Assumptions!$B$7,INDEX($D$3:$D$62,MATCH($A62-Assumptions!$B$7,$A$3:$A$62,0)),0)</f>
        <v>0</v>
      </c>
      <c r="F62" s="8">
        <f t="shared" si="4"/>
        <v>11</v>
      </c>
      <c r="G62" s="8">
        <f t="shared" si="5"/>
        <v>28</v>
      </c>
      <c r="H62" s="8">
        <f t="shared" si="2"/>
        <v>39</v>
      </c>
      <c r="I62" s="8">
        <f t="shared" si="6"/>
        <v>113</v>
      </c>
      <c r="J62" s="8">
        <f>_xlfn.LET(
    _xlpm.PrevMonth,$A61,
    _xlpm.PrevCars,$G61,
    _xlpm.PrevGrossProfit,Income_Statement!$J61,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>4</v>
      </c>
      <c r="K62" s="8">
        <f t="shared" si="7"/>
        <v>85</v>
      </c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63"/>
  <sheetViews>
    <sheetView showGridLines="0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T9" sqref="T9"/>
    </sheetView>
  </sheetViews>
  <sheetFormatPr defaultColWidth="8.7109375" defaultRowHeight="15" customHeight="1" x14ac:dyDescent="0.25"/>
  <cols>
    <col min="1" max="1" width="10" customWidth="1"/>
    <col min="2" max="16" width="22" customWidth="1"/>
    <col min="17" max="17" width="14" customWidth="1"/>
    <col min="18" max="18" width="11.28515625" bestFit="1" customWidth="1"/>
    <col min="19" max="19" width="10.85546875" bestFit="1" customWidth="1"/>
  </cols>
  <sheetData>
    <row r="1" spans="1:19" ht="17.25" customHeight="1" x14ac:dyDescent="0.3">
      <c r="A1" s="20" t="s">
        <v>99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9" ht="31.5" customHeight="1" x14ac:dyDescent="0.25">
      <c r="A2" s="2" t="s">
        <v>50</v>
      </c>
      <c r="B2" s="2" t="s">
        <v>58</v>
      </c>
      <c r="C2" s="2" t="s">
        <v>59</v>
      </c>
      <c r="D2" s="15" t="s">
        <v>60</v>
      </c>
      <c r="E2" s="2" t="s">
        <v>61</v>
      </c>
      <c r="F2" s="2" t="s">
        <v>62</v>
      </c>
      <c r="G2" s="2" t="s">
        <v>63</v>
      </c>
      <c r="H2" s="2" t="s">
        <v>64</v>
      </c>
      <c r="I2" s="2" t="s">
        <v>96</v>
      </c>
      <c r="J2" s="2" t="s">
        <v>65</v>
      </c>
      <c r="K2" s="2" t="s">
        <v>66</v>
      </c>
      <c r="L2" s="2" t="s">
        <v>67</v>
      </c>
      <c r="M2" s="2" t="s">
        <v>116</v>
      </c>
      <c r="N2" s="2" t="s">
        <v>115</v>
      </c>
      <c r="O2" s="2" t="s">
        <v>68</v>
      </c>
      <c r="P2" s="2" t="s">
        <v>69</v>
      </c>
    </row>
    <row r="3" spans="1:19" x14ac:dyDescent="0.25">
      <c r="A3" s="9">
        <f>Fleet_Schedule!A3</f>
        <v>1</v>
      </c>
      <c r="B3" s="10">
        <f>Assumptions!$B$17</f>
        <v>250000</v>
      </c>
      <c r="C3" s="10">
        <f>IF($A3=Assumptions!$B$19,Assumptions!$B$18,0)</f>
        <v>0</v>
      </c>
      <c r="D3" s="10">
        <f>(Fleet_Schedule!$G3*Assumptions!$B$5)+SUM(C3)</f>
        <v>120000</v>
      </c>
      <c r="E3" s="10">
        <f>Fleet_Schedule!G3*Assumptions!$B$13</f>
        <v>67280</v>
      </c>
      <c r="F3" s="10">
        <f>IF(AND($A3&gt;=Assumptions!$B$28,$A3&lt;Assumptions!$B$28+Assumptions!$B$26),($O3+$C3)*Assumptions!$B$27,0)</f>
        <v>0</v>
      </c>
      <c r="G3" s="10">
        <f>IF(AND($A3&gt;=Assumptions!$B$28,$A3&lt;Assumptions!$B$28+Assumptions!$B$26),MIN($O3+$C3,Assumptions!$B$20-$F3),0)</f>
        <v>0</v>
      </c>
      <c r="H3" s="10">
        <f>Income_Statement!$P3</f>
        <v>16870.400000000001</v>
      </c>
      <c r="I3" s="10">
        <f>IF($A3&lt;Assumptions!$B$33,Assumptions!$B$29*(Fleet_Schedule!$G3),Assumptions!$B$29*(Fleet_Schedule!$G3-(Assumptions!$B$18/Assumptions!$B$4)))</f>
        <v>12000</v>
      </c>
      <c r="J3" s="10">
        <f>$D3-$E3-$F3-$G3-$H3-$I3</f>
        <v>23849.599999999999</v>
      </c>
      <c r="K3" s="10">
        <f>Fleet_Schedule!$D3*Assumptions!$B$4</f>
        <v>0</v>
      </c>
      <c r="L3" s="10">
        <f>$J3-$K3</f>
        <v>23849.599999999999</v>
      </c>
      <c r="M3" s="10">
        <v>0</v>
      </c>
      <c r="N3" s="10">
        <f>$M3+$L3</f>
        <v>23849.599999999999</v>
      </c>
      <c r="O3" s="10">
        <v>0</v>
      </c>
      <c r="P3" s="10">
        <f t="shared" ref="P3:P34" si="0">O3+C3-G3</f>
        <v>0</v>
      </c>
      <c r="Q3" s="14"/>
      <c r="R3" s="14"/>
      <c r="S3" s="14"/>
    </row>
    <row r="4" spans="1:19" x14ac:dyDescent="0.25">
      <c r="A4" s="9">
        <f>Fleet_Schedule!A4</f>
        <v>2</v>
      </c>
      <c r="B4" s="10">
        <f>IF($A4=Assumptions!$B$23,Assumptions!$B$22,0)</f>
        <v>0</v>
      </c>
      <c r="C4" s="10">
        <f>IF($A4=Assumptions!$B$19,Assumptions!$B$18,0)</f>
        <v>0</v>
      </c>
      <c r="D4" s="10">
        <f>(Fleet_Schedule!$G4*Assumptions!$B$5)+SUM(B4:C4)</f>
        <v>120000</v>
      </c>
      <c r="E4" s="10">
        <f>Fleet_Schedule!G4*Assumptions!$B$13</f>
        <v>67280</v>
      </c>
      <c r="F4" s="10">
        <f>IF(AND($A4&gt;=Assumptions!$B$28,$A4&lt;Assumptions!$B$28+Assumptions!$B$26),($O4+$C4)*Assumptions!$B$27,0)</f>
        <v>0</v>
      </c>
      <c r="G4" s="10">
        <f>IF(AND($A4&gt;=Assumptions!$B$28,$A4&lt;Assumptions!$B$28+Assumptions!$B$26),MIN($O4+$C4,Assumptions!$B$20-$F4),0)</f>
        <v>0</v>
      </c>
      <c r="H4" s="10">
        <f>Income_Statement!$P4</f>
        <v>16870.400000000001</v>
      </c>
      <c r="I4" s="10">
        <f>IF($A4&lt;Assumptions!$B$33,Assumptions!$B$29*(Fleet_Schedule!$G4),Assumptions!$B$29*(Fleet_Schedule!$G4-(Assumptions!$B$18/Assumptions!$B$4)))</f>
        <v>12000</v>
      </c>
      <c r="J4" s="10">
        <f t="shared" ref="J4:J62" si="1">$D4-$E4-$F4-$G4-$H4-$I4</f>
        <v>23849.599999999999</v>
      </c>
      <c r="K4" s="10">
        <f>Fleet_Schedule!$D4*Assumptions!$B$4</f>
        <v>0</v>
      </c>
      <c r="L4" s="10">
        <f t="shared" ref="L4:L62" si="2">$J4-$K4</f>
        <v>23849.599999999999</v>
      </c>
      <c r="M4" s="10">
        <f>$N3</f>
        <v>23849.599999999999</v>
      </c>
      <c r="N4" s="10">
        <f t="shared" ref="N4:N62" si="3">$M4+$L4</f>
        <v>47699.199999999997</v>
      </c>
      <c r="O4" s="10">
        <f t="shared" ref="O4:O35" si="4">P3</f>
        <v>0</v>
      </c>
      <c r="P4" s="10">
        <f t="shared" si="0"/>
        <v>0</v>
      </c>
      <c r="Q4" s="14"/>
      <c r="R4" s="14"/>
      <c r="S4" s="14"/>
    </row>
    <row r="5" spans="1:19" x14ac:dyDescent="0.25">
      <c r="A5" s="9">
        <f>Fleet_Schedule!A5</f>
        <v>3</v>
      </c>
      <c r="B5" s="10">
        <f>IF($A5=Assumptions!$B$23,Assumptions!$B$22,0)</f>
        <v>0</v>
      </c>
      <c r="C5" s="10">
        <f>IF($A5=Assumptions!$B$19,Assumptions!$B$18,0)</f>
        <v>0</v>
      </c>
      <c r="D5" s="10">
        <f>(Fleet_Schedule!$G5*Assumptions!$B$5)+SUM(B5:C5)</f>
        <v>120000</v>
      </c>
      <c r="E5" s="10">
        <f>Fleet_Schedule!G5*Assumptions!$B$13</f>
        <v>67280</v>
      </c>
      <c r="F5" s="10">
        <f>IF(AND($A5&gt;=Assumptions!$B$28,$A5&lt;Assumptions!$B$28+Assumptions!$B$26),($O5+$C5)*Assumptions!$B$27,0)</f>
        <v>0</v>
      </c>
      <c r="G5" s="10">
        <f>IF(AND($A5&gt;=Assumptions!$B$28,$A5&lt;Assumptions!$B$28+Assumptions!$B$26),MIN($O5+$C5,Assumptions!$B$20-$F5),0)</f>
        <v>0</v>
      </c>
      <c r="H5" s="10">
        <f>Income_Statement!$P5</f>
        <v>16870.400000000001</v>
      </c>
      <c r="I5" s="10">
        <f>IF($A5&lt;Assumptions!$B$33,Assumptions!$B$29*(Fleet_Schedule!$G5),Assumptions!$B$29*(Fleet_Schedule!$G5-(Assumptions!$B$18/Assumptions!$B$4)))</f>
        <v>12000</v>
      </c>
      <c r="J5" s="10">
        <f t="shared" si="1"/>
        <v>23849.599999999999</v>
      </c>
      <c r="K5" s="10">
        <f>Fleet_Schedule!$D5*Assumptions!$B$4</f>
        <v>0</v>
      </c>
      <c r="L5" s="10">
        <f t="shared" si="2"/>
        <v>23849.599999999999</v>
      </c>
      <c r="M5" s="10">
        <f t="shared" ref="M5:M62" si="5">$N4</f>
        <v>47699.199999999997</v>
      </c>
      <c r="N5" s="10">
        <f t="shared" si="3"/>
        <v>71548.799999999988</v>
      </c>
      <c r="O5" s="10">
        <f t="shared" si="4"/>
        <v>0</v>
      </c>
      <c r="P5" s="10">
        <f t="shared" si="0"/>
        <v>0</v>
      </c>
      <c r="Q5" s="14"/>
      <c r="S5" s="14"/>
    </row>
    <row r="6" spans="1:19" x14ac:dyDescent="0.25">
      <c r="A6" s="9">
        <f>Fleet_Schedule!A6</f>
        <v>4</v>
      </c>
      <c r="B6" s="10">
        <f>IF($A6=Assumptions!$B$23,Assumptions!$B$22,0)</f>
        <v>0</v>
      </c>
      <c r="C6" s="10">
        <f>IF($A6=Assumptions!$B$19,Assumptions!$B$18,0)</f>
        <v>0</v>
      </c>
      <c r="D6" s="10">
        <f>(Fleet_Schedule!$G6*Assumptions!$B$5)+SUM(B6:C6)</f>
        <v>120000</v>
      </c>
      <c r="E6" s="10">
        <f>Fleet_Schedule!G6*Assumptions!$B$13</f>
        <v>67280</v>
      </c>
      <c r="F6" s="10">
        <f>IF(AND($A6&gt;=Assumptions!$B$28,$A6&lt;Assumptions!$B$28+Assumptions!$B$26),($O6+$C6)*Assumptions!$B$27,0)</f>
        <v>0</v>
      </c>
      <c r="G6" s="10">
        <f>IF(AND($A6&gt;=Assumptions!$B$28,$A6&lt;Assumptions!$B$28+Assumptions!$B$26),MIN($O6+$C6,Assumptions!$B$20-$F6),0)</f>
        <v>0</v>
      </c>
      <c r="H6" s="10">
        <f>Income_Statement!$P6</f>
        <v>16870.400000000001</v>
      </c>
      <c r="I6" s="10">
        <f>IF($A6&lt;Assumptions!$B$33,Assumptions!$B$29*(Fleet_Schedule!$G6),Assumptions!$B$29*(Fleet_Schedule!$G6-(Assumptions!$B$18/Assumptions!$B$4)))</f>
        <v>12000</v>
      </c>
      <c r="J6" s="10">
        <f t="shared" si="1"/>
        <v>23849.599999999999</v>
      </c>
      <c r="K6" s="10">
        <f>Fleet_Schedule!$D6*Assumptions!$B$4</f>
        <v>0</v>
      </c>
      <c r="L6" s="10">
        <f t="shared" si="2"/>
        <v>23849.599999999999</v>
      </c>
      <c r="M6" s="10">
        <f t="shared" si="5"/>
        <v>71548.799999999988</v>
      </c>
      <c r="N6" s="10">
        <f t="shared" si="3"/>
        <v>95398.399999999994</v>
      </c>
      <c r="O6" s="10">
        <f t="shared" si="4"/>
        <v>0</v>
      </c>
      <c r="P6" s="10">
        <f t="shared" si="0"/>
        <v>0</v>
      </c>
      <c r="Q6" s="14"/>
      <c r="S6" s="14"/>
    </row>
    <row r="7" spans="1:19" x14ac:dyDescent="0.25">
      <c r="A7" s="9">
        <f>Fleet_Schedule!A7</f>
        <v>5</v>
      </c>
      <c r="B7" s="10">
        <f>IF($A7=Assumptions!$B$23,Assumptions!$B$22,0)</f>
        <v>250000</v>
      </c>
      <c r="C7" s="10">
        <f>IF($A7=Assumptions!$B$19,Assumptions!$B$18,0)</f>
        <v>250000</v>
      </c>
      <c r="D7" s="10">
        <f>(Fleet_Schedule!$G7*Assumptions!$B$5)+SUM(B7:C7)</f>
        <v>620000</v>
      </c>
      <c r="E7" s="10">
        <f>Fleet_Schedule!G7*Assumptions!$B$13</f>
        <v>67280</v>
      </c>
      <c r="F7" s="10">
        <f>IF(AND($A7&gt;=Assumptions!$B$28,$A7&lt;Assumptions!$B$28+Assumptions!$B$26),($O7+$C7)*Assumptions!$B$27,0)</f>
        <v>2083.3333333333335</v>
      </c>
      <c r="G7" s="10">
        <f>IF(AND($A7&gt;=Assumptions!$B$28,$A7&lt;Assumptions!$B$28+Assumptions!$B$26),MIN($O7+$C7,Assumptions!$B$20-$F7),0)</f>
        <v>3684.7685132138809</v>
      </c>
      <c r="H7" s="10">
        <f>Income_Statement!$P7</f>
        <v>16203.733333333334</v>
      </c>
      <c r="I7" s="10">
        <f>IF($A7&lt;Assumptions!$B$33,Assumptions!$B$29*(Fleet_Schedule!$G7),Assumptions!$B$29*(Fleet_Schedule!$G7-(Assumptions!$B$18/Assumptions!$B$4)))</f>
        <v>12000</v>
      </c>
      <c r="J7" s="10">
        <f t="shared" si="1"/>
        <v>518748.16482011951</v>
      </c>
      <c r="K7" s="10">
        <f>Fleet_Schedule!$D7*Assumptions!$B$4</f>
        <v>540000</v>
      </c>
      <c r="L7" s="10">
        <f t="shared" si="2"/>
        <v>-21251.835179880494</v>
      </c>
      <c r="M7" s="10">
        <f t="shared" si="5"/>
        <v>95398.399999999994</v>
      </c>
      <c r="N7" s="10">
        <f t="shared" si="3"/>
        <v>74146.5648201195</v>
      </c>
      <c r="O7" s="10">
        <f t="shared" si="4"/>
        <v>0</v>
      </c>
      <c r="P7" s="10">
        <f t="shared" si="0"/>
        <v>246315.23148678613</v>
      </c>
      <c r="Q7" s="14"/>
      <c r="S7" s="14"/>
    </row>
    <row r="8" spans="1:19" x14ac:dyDescent="0.25">
      <c r="A8" s="9">
        <f>Fleet_Schedule!A8</f>
        <v>6</v>
      </c>
      <c r="B8" s="10">
        <f>IF($A8=Assumptions!$B$23,Assumptions!$B$22,0)</f>
        <v>0</v>
      </c>
      <c r="C8" s="10">
        <f>IF($A8=Assumptions!$B$19,Assumptions!$B$18,0)</f>
        <v>0</v>
      </c>
      <c r="D8" s="10">
        <f>(Fleet_Schedule!$G8*Assumptions!$B$5)+SUM(B8:C8)</f>
        <v>120000</v>
      </c>
      <c r="E8" s="10">
        <f>Fleet_Schedule!G8*Assumptions!$B$13</f>
        <v>67280</v>
      </c>
      <c r="F8" s="10">
        <f>IF(AND($A8&gt;=Assumptions!$B$28,$A8&lt;Assumptions!$B$28+Assumptions!$B$26),($O8+$C8)*Assumptions!$B$27,0)</f>
        <v>2052.626929056551</v>
      </c>
      <c r="G8" s="10">
        <f>IF(AND($A8&gt;=Assumptions!$B$28,$A8&lt;Assumptions!$B$28+Assumptions!$B$26),MIN($O8+$C8,Assumptions!$B$20-$F8),0)</f>
        <v>3715.4749174906633</v>
      </c>
      <c r="H8" s="10">
        <f>Income_Statement!$P8</f>
        <v>16213.559382701904</v>
      </c>
      <c r="I8" s="10">
        <f>IF($A8&lt;Assumptions!$B$33,Assumptions!$B$29*(Fleet_Schedule!$G8),Assumptions!$B$29*(Fleet_Schedule!$G8-(Assumptions!$B$18/Assumptions!$B$4)))</f>
        <v>12000</v>
      </c>
      <c r="J8" s="10">
        <f t="shared" si="1"/>
        <v>18738.338770750881</v>
      </c>
      <c r="K8" s="10">
        <f>Fleet_Schedule!$D8*Assumptions!$B$4</f>
        <v>0</v>
      </c>
      <c r="L8" s="10">
        <f t="shared" si="2"/>
        <v>18738.338770750881</v>
      </c>
      <c r="M8" s="10">
        <f t="shared" si="5"/>
        <v>74146.5648201195</v>
      </c>
      <c r="N8" s="10">
        <f t="shared" si="3"/>
        <v>92884.903590870381</v>
      </c>
      <c r="O8" s="10">
        <f t="shared" si="4"/>
        <v>246315.23148678613</v>
      </c>
      <c r="P8" s="10">
        <f t="shared" si="0"/>
        <v>242599.75656929545</v>
      </c>
      <c r="S8" s="14"/>
    </row>
    <row r="9" spans="1:19" x14ac:dyDescent="0.25">
      <c r="A9" s="9">
        <f>Fleet_Schedule!A9</f>
        <v>7</v>
      </c>
      <c r="B9" s="10">
        <f>IF($A9=Assumptions!$B$23,Assumptions!$B$22,0)</f>
        <v>0</v>
      </c>
      <c r="C9" s="10">
        <f>IF($A9=Assumptions!$B$19,Assumptions!$B$18,0)</f>
        <v>0</v>
      </c>
      <c r="D9" s="10">
        <f>(Fleet_Schedule!$G9*Assumptions!$B$5)+SUM(B9:C9)</f>
        <v>120000</v>
      </c>
      <c r="E9" s="10">
        <f>Fleet_Schedule!G9*Assumptions!$B$13</f>
        <v>67280</v>
      </c>
      <c r="F9" s="10">
        <f>IF(AND($A9&gt;=Assumptions!$B$28,$A9&lt;Assumptions!$B$28+Assumptions!$B$26),($O9+$C9)*Assumptions!$B$27,0)</f>
        <v>2021.6646380774621</v>
      </c>
      <c r="G9" s="10">
        <f>IF(AND($A9&gt;=Assumptions!$B$28,$A9&lt;Assumptions!$B$28+Assumptions!$B$26),MIN($O9+$C9,Assumptions!$B$20-$F9),0)</f>
        <v>3746.4372084697525</v>
      </c>
      <c r="H9" s="10">
        <f>Income_Statement!$P9</f>
        <v>16223.467315815213</v>
      </c>
      <c r="I9" s="10">
        <f>IF($A9&lt;Assumptions!$B$33,Assumptions!$B$29*(Fleet_Schedule!$G9),Assumptions!$B$29*(Fleet_Schedule!$G9-(Assumptions!$B$18/Assumptions!$B$4)))</f>
        <v>12000</v>
      </c>
      <c r="J9" s="10">
        <f t="shared" si="1"/>
        <v>18728.43083763757</v>
      </c>
      <c r="K9" s="10">
        <f>Fleet_Schedule!$D9*Assumptions!$B$4</f>
        <v>0</v>
      </c>
      <c r="L9" s="10">
        <f t="shared" si="2"/>
        <v>18728.43083763757</v>
      </c>
      <c r="M9" s="10">
        <f t="shared" si="5"/>
        <v>92884.903590870381</v>
      </c>
      <c r="N9" s="10">
        <f t="shared" si="3"/>
        <v>111613.33442850795</v>
      </c>
      <c r="O9" s="10">
        <f t="shared" si="4"/>
        <v>242599.75656929545</v>
      </c>
      <c r="P9" s="10">
        <f t="shared" si="0"/>
        <v>238853.3193608257</v>
      </c>
      <c r="S9" s="14"/>
    </row>
    <row r="10" spans="1:19" x14ac:dyDescent="0.25">
      <c r="A10" s="9">
        <f>Fleet_Schedule!A10</f>
        <v>8</v>
      </c>
      <c r="B10" s="10">
        <f>IF($A10=Assumptions!$B$23,Assumptions!$B$22,0)</f>
        <v>0</v>
      </c>
      <c r="C10" s="10">
        <f>IF($A10=Assumptions!$B$19,Assumptions!$B$18,0)</f>
        <v>0</v>
      </c>
      <c r="D10" s="10">
        <f>(Fleet_Schedule!$G10*Assumptions!$B$5)+SUM(B10:C10)</f>
        <v>390000</v>
      </c>
      <c r="E10" s="10">
        <f>Fleet_Schedule!G10*Assumptions!$B$13</f>
        <v>218660</v>
      </c>
      <c r="F10" s="10">
        <f>IF(AND($A10&gt;=Assumptions!$B$28,$A10&lt;Assumptions!$B$28+Assumptions!$B$26),($O10+$C10)*Assumptions!$B$27,0)</f>
        <v>1990.4443280068808</v>
      </c>
      <c r="G10" s="10">
        <f>IF(AND($A10&gt;=Assumptions!$B$28,$A10&lt;Assumptions!$B$28+Assumptions!$B$26),MIN($O10+$C10,Assumptions!$B$20-$F10),0)</f>
        <v>3777.6575185403335</v>
      </c>
      <c r="H10" s="10">
        <f>Income_Statement!$P10</f>
        <v>54191.857815037802</v>
      </c>
      <c r="I10" s="10">
        <f>IF($A10&lt;Assumptions!$B$33,Assumptions!$B$29*(Fleet_Schedule!$G10),Assumptions!$B$29*(Fleet_Schedule!$G10-(Assumptions!$B$18/Assumptions!$B$4)))</f>
        <v>26499.999999999996</v>
      </c>
      <c r="J10" s="10">
        <f t="shared" si="1"/>
        <v>84880.040338414983</v>
      </c>
      <c r="K10" s="10">
        <f>Fleet_Schedule!$D10*Assumptions!$B$4</f>
        <v>0</v>
      </c>
      <c r="L10" s="10">
        <f t="shared" si="2"/>
        <v>84880.040338414983</v>
      </c>
      <c r="M10" s="10">
        <f t="shared" si="5"/>
        <v>111613.33442850795</v>
      </c>
      <c r="N10" s="10">
        <f t="shared" si="3"/>
        <v>196493.37476692293</v>
      </c>
      <c r="O10" s="10">
        <f t="shared" si="4"/>
        <v>238853.3193608257</v>
      </c>
      <c r="P10" s="10">
        <f t="shared" si="0"/>
        <v>235075.66184228536</v>
      </c>
      <c r="S10" s="14"/>
    </row>
    <row r="11" spans="1:19" x14ac:dyDescent="0.25">
      <c r="A11" s="9">
        <f>Fleet_Schedule!A11</f>
        <v>9</v>
      </c>
      <c r="B11" s="10">
        <f>IF($A11=Assumptions!$B$23,Assumptions!$B$22,0)</f>
        <v>0</v>
      </c>
      <c r="C11" s="10">
        <f>IF($A11=Assumptions!$B$19,Assumptions!$B$18,0)</f>
        <v>0</v>
      </c>
      <c r="D11" s="10">
        <f>(Fleet_Schedule!$G11*Assumptions!$B$5)+SUM(B11:C11)</f>
        <v>390000</v>
      </c>
      <c r="E11" s="10">
        <f>Fleet_Schedule!G11*Assumptions!$B$13</f>
        <v>218660</v>
      </c>
      <c r="F11" s="10">
        <f>IF(AND($A11&gt;=Assumptions!$B$28,$A11&lt;Assumptions!$B$28+Assumptions!$B$26),($O11+$C11)*Assumptions!$B$27,0)</f>
        <v>1958.9638486857114</v>
      </c>
      <c r="G11" s="10">
        <f>IF(AND($A11&gt;=Assumptions!$B$28,$A11&lt;Assumptions!$B$28+Assumptions!$B$26),MIN($O11+$C11,Assumptions!$B$20-$F11),0)</f>
        <v>3809.1379978615032</v>
      </c>
      <c r="H11" s="10">
        <f>Income_Statement!$P11</f>
        <v>54201.931568420579</v>
      </c>
      <c r="I11" s="10">
        <f>IF($A11&lt;Assumptions!$B$33,Assumptions!$B$29*(Fleet_Schedule!$G11),Assumptions!$B$29*(Fleet_Schedule!$G11-(Assumptions!$B$18/Assumptions!$B$4)))</f>
        <v>26499.999999999996</v>
      </c>
      <c r="J11" s="10">
        <f t="shared" si="1"/>
        <v>84869.966585032205</v>
      </c>
      <c r="K11" s="10">
        <f>Fleet_Schedule!$D11*Assumptions!$B$4</f>
        <v>0</v>
      </c>
      <c r="L11" s="10">
        <f t="shared" si="2"/>
        <v>84869.966585032205</v>
      </c>
      <c r="M11" s="10">
        <f t="shared" si="5"/>
        <v>196493.37476692293</v>
      </c>
      <c r="N11" s="10">
        <f t="shared" si="3"/>
        <v>281363.34135195514</v>
      </c>
      <c r="O11" s="10">
        <f t="shared" si="4"/>
        <v>235075.66184228536</v>
      </c>
      <c r="P11" s="10">
        <f t="shared" si="0"/>
        <v>231266.52384442385</v>
      </c>
      <c r="S11" s="14"/>
    </row>
    <row r="12" spans="1:19" x14ac:dyDescent="0.25">
      <c r="A12" s="9">
        <f>Fleet_Schedule!A12</f>
        <v>10</v>
      </c>
      <c r="B12" s="10">
        <f>IF($A12=Assumptions!$B$23,Assumptions!$B$22,0)</f>
        <v>0</v>
      </c>
      <c r="C12" s="10">
        <f>IF($A12=Assumptions!$B$19,Assumptions!$B$18,0)</f>
        <v>0</v>
      </c>
      <c r="D12" s="10">
        <f>(Fleet_Schedule!$G12*Assumptions!$B$5)+SUM(B12:C12)</f>
        <v>390000</v>
      </c>
      <c r="E12" s="10">
        <f>Fleet_Schedule!G12*Assumptions!$B$13</f>
        <v>218660</v>
      </c>
      <c r="F12" s="10">
        <f>IF(AND($A12&gt;=Assumptions!$B$28,$A12&lt;Assumptions!$B$28+Assumptions!$B$26),($O12+$C12)*Assumptions!$B$27,0)</f>
        <v>1927.2210320368654</v>
      </c>
      <c r="G12" s="10">
        <f>IF(AND($A12&gt;=Assumptions!$B$28,$A12&lt;Assumptions!$B$28+Assumptions!$B$26),MIN($O12+$C12,Assumptions!$B$20-$F12),0)</f>
        <v>3840.880814510349</v>
      </c>
      <c r="H12" s="10">
        <f>Income_Statement!$P12</f>
        <v>54212.089269748198</v>
      </c>
      <c r="I12" s="10">
        <f>IF($A12&lt;Assumptions!$B$33,Assumptions!$B$29*(Fleet_Schedule!$G12),Assumptions!$B$29*(Fleet_Schedule!$G12-(Assumptions!$B$18/Assumptions!$B$4)))</f>
        <v>26499.999999999996</v>
      </c>
      <c r="J12" s="10">
        <f t="shared" si="1"/>
        <v>84859.808883704594</v>
      </c>
      <c r="K12" s="10">
        <f>Fleet_Schedule!$D12*Assumptions!$B$4</f>
        <v>240000</v>
      </c>
      <c r="L12" s="10">
        <f t="shared" si="2"/>
        <v>-155140.19111629541</v>
      </c>
      <c r="M12" s="10">
        <f t="shared" si="5"/>
        <v>281363.34135195514</v>
      </c>
      <c r="N12" s="10">
        <f t="shared" si="3"/>
        <v>126223.15023565973</v>
      </c>
      <c r="O12" s="10">
        <f t="shared" si="4"/>
        <v>231266.52384442385</v>
      </c>
      <c r="P12" s="10">
        <f t="shared" si="0"/>
        <v>227425.64302991351</v>
      </c>
      <c r="S12" s="14"/>
    </row>
    <row r="13" spans="1:19" x14ac:dyDescent="0.25">
      <c r="A13" s="9">
        <f>Fleet_Schedule!A13</f>
        <v>11</v>
      </c>
      <c r="B13" s="10">
        <f>IF($A13=Assumptions!$B$23,Assumptions!$B$22,0)</f>
        <v>0</v>
      </c>
      <c r="C13" s="10">
        <f>IF($A13=Assumptions!$B$19,Assumptions!$B$18,0)</f>
        <v>0</v>
      </c>
      <c r="D13" s="10">
        <f>(Fleet_Schedule!$G13*Assumptions!$B$5)+SUM(B13:C13)</f>
        <v>390000</v>
      </c>
      <c r="E13" s="10">
        <f>Fleet_Schedule!G13*Assumptions!$B$13</f>
        <v>218660</v>
      </c>
      <c r="F13" s="10">
        <f>IF(AND($A13&gt;=Assumptions!$B$28,$A13&lt;Assumptions!$B$28+Assumptions!$B$26),($O13+$C13)*Assumptions!$B$27,0)</f>
        <v>1895.2136919159459</v>
      </c>
      <c r="G13" s="10">
        <f>IF(AND($A13&gt;=Assumptions!$B$28,$A13&lt;Assumptions!$B$28+Assumptions!$B$26),MIN($O13+$C13,Assumptions!$B$20-$F13),0)</f>
        <v>3872.8881546312687</v>
      </c>
      <c r="H13" s="10">
        <f>Income_Statement!$P13</f>
        <v>54222.331618586904</v>
      </c>
      <c r="I13" s="10">
        <f>IF($A13&lt;Assumptions!$B$33,Assumptions!$B$29*(Fleet_Schedule!$G13),Assumptions!$B$29*(Fleet_Schedule!$G13-(Assumptions!$B$18/Assumptions!$B$4)))</f>
        <v>26499.999999999996</v>
      </c>
      <c r="J13" s="10">
        <f t="shared" si="1"/>
        <v>84849.56653486588</v>
      </c>
      <c r="K13" s="10">
        <f>Fleet_Schedule!$D13*Assumptions!$B$4</f>
        <v>0</v>
      </c>
      <c r="L13" s="10">
        <f t="shared" si="2"/>
        <v>84849.56653486588</v>
      </c>
      <c r="M13" s="10">
        <f t="shared" si="5"/>
        <v>126223.15023565973</v>
      </c>
      <c r="N13" s="10">
        <f t="shared" si="3"/>
        <v>211072.71677052561</v>
      </c>
      <c r="O13" s="10">
        <f t="shared" si="4"/>
        <v>227425.64302991351</v>
      </c>
      <c r="P13" s="10">
        <f t="shared" si="0"/>
        <v>223552.75487528223</v>
      </c>
      <c r="S13" s="14"/>
    </row>
    <row r="14" spans="1:19" x14ac:dyDescent="0.25">
      <c r="A14" s="9">
        <f>Fleet_Schedule!A14</f>
        <v>12</v>
      </c>
      <c r="B14" s="10">
        <f>IF($A14=Assumptions!$B$23,Assumptions!$B$22,0)</f>
        <v>0</v>
      </c>
      <c r="C14" s="10">
        <f>IF($A14=Assumptions!$B$19,Assumptions!$B$18,0)</f>
        <v>0</v>
      </c>
      <c r="D14" s="10">
        <f>(Fleet_Schedule!$G14*Assumptions!$B$5)+SUM(B14:C14)</f>
        <v>270000</v>
      </c>
      <c r="E14" s="10">
        <f>Fleet_Schedule!G14*Assumptions!$B$13</f>
        <v>151380</v>
      </c>
      <c r="F14" s="10">
        <f>IF(AND($A14&gt;=Assumptions!$B$28,$A14&lt;Assumptions!$B$28+Assumptions!$B$26),($O14+$C14)*Assumptions!$B$27,0)</f>
        <v>1862.9396239606851</v>
      </c>
      <c r="G14" s="10">
        <f>IF(AND($A14&gt;=Assumptions!$B$28,$A14&lt;Assumptions!$B$28+Assumptions!$B$26),MIN($O14+$C14,Assumptions!$B$20-$F14),0)</f>
        <v>3905.1622225865294</v>
      </c>
      <c r="H14" s="10">
        <f>Income_Statement!$P14</f>
        <v>37362.259320332581</v>
      </c>
      <c r="I14" s="10">
        <f>IF($A14&lt;Assumptions!$B$33,Assumptions!$B$29*(Fleet_Schedule!$G14),Assumptions!$B$29*(Fleet_Schedule!$G14-(Assumptions!$B$18/Assumptions!$B$4)))</f>
        <v>14500</v>
      </c>
      <c r="J14" s="10">
        <f t="shared" si="1"/>
        <v>60989.638833120203</v>
      </c>
      <c r="K14" s="10">
        <f>Fleet_Schedule!$D14*Assumptions!$B$4</f>
        <v>0</v>
      </c>
      <c r="L14" s="10">
        <f t="shared" si="2"/>
        <v>60989.638833120203</v>
      </c>
      <c r="M14" s="10">
        <f t="shared" si="5"/>
        <v>211072.71677052561</v>
      </c>
      <c r="N14" s="10">
        <f t="shared" si="3"/>
        <v>272062.35560364579</v>
      </c>
      <c r="O14" s="10">
        <f t="shared" si="4"/>
        <v>223552.75487528223</v>
      </c>
      <c r="P14" s="10">
        <f t="shared" si="0"/>
        <v>219647.59265269569</v>
      </c>
      <c r="S14" s="14"/>
    </row>
    <row r="15" spans="1:19" x14ac:dyDescent="0.25">
      <c r="A15" s="9">
        <f>Fleet_Schedule!A15</f>
        <v>13</v>
      </c>
      <c r="B15" s="10">
        <f>IF($A15=Assumptions!$B$23,Assumptions!$B$22,0)</f>
        <v>0</v>
      </c>
      <c r="C15" s="10">
        <f>IF($A15=Assumptions!$B$19,Assumptions!$B$18,0)</f>
        <v>0</v>
      </c>
      <c r="D15" s="10">
        <f>(Fleet_Schedule!$G15*Assumptions!$B$5)+SUM(B15:C15)</f>
        <v>390000</v>
      </c>
      <c r="E15" s="10">
        <f>Fleet_Schedule!G15*Assumptions!$B$13</f>
        <v>218660</v>
      </c>
      <c r="F15" s="10">
        <f>IF(AND($A15&gt;=Assumptions!$B$28,$A15&lt;Assumptions!$B$28+Assumptions!$B$26),($O15+$C15)*Assumptions!$B$27,0)</f>
        <v>1830.3966054391308</v>
      </c>
      <c r="G15" s="10">
        <f>IF(AND($A15&gt;=Assumptions!$B$28,$A15&lt;Assumptions!$B$28+Assumptions!$B$26),MIN($O15+$C15,Assumptions!$B$20-$F15),0)</f>
        <v>3937.7052411080836</v>
      </c>
      <c r="H15" s="10">
        <f>Income_Statement!$P15</f>
        <v>54243.073086259479</v>
      </c>
      <c r="I15" s="10">
        <f>IF($A15&lt;Assumptions!$B$33,Assumptions!$B$29*(Fleet_Schedule!$G15),Assumptions!$B$29*(Fleet_Schedule!$G15-(Assumptions!$B$18/Assumptions!$B$4)))</f>
        <v>26499.999999999996</v>
      </c>
      <c r="J15" s="10">
        <f t="shared" si="1"/>
        <v>84828.825067193306</v>
      </c>
      <c r="K15" s="10">
        <f>Fleet_Schedule!$D15*Assumptions!$B$4</f>
        <v>240000</v>
      </c>
      <c r="L15" s="10">
        <f t="shared" si="2"/>
        <v>-155171.17493280669</v>
      </c>
      <c r="M15" s="10">
        <f t="shared" si="5"/>
        <v>272062.35560364579</v>
      </c>
      <c r="N15" s="10">
        <f t="shared" si="3"/>
        <v>116891.18067083909</v>
      </c>
      <c r="O15" s="10">
        <f t="shared" si="4"/>
        <v>219647.59265269569</v>
      </c>
      <c r="P15" s="10">
        <f t="shared" si="0"/>
        <v>215709.88741158761</v>
      </c>
      <c r="S15" s="14"/>
    </row>
    <row r="16" spans="1:19" x14ac:dyDescent="0.25">
      <c r="A16" s="9">
        <f>Fleet_Schedule!A16</f>
        <v>14</v>
      </c>
      <c r="B16" s="10">
        <f>IF($A16=Assumptions!$B$23,Assumptions!$B$22,0)</f>
        <v>0</v>
      </c>
      <c r="C16" s="10">
        <f>IF($A16=Assumptions!$B$19,Assumptions!$B$18,0)</f>
        <v>0</v>
      </c>
      <c r="D16" s="10">
        <f>(Fleet_Schedule!$G16*Assumptions!$B$5)+SUM(B16:C16)</f>
        <v>390000</v>
      </c>
      <c r="E16" s="10">
        <f>Fleet_Schedule!G16*Assumptions!$B$13</f>
        <v>218660</v>
      </c>
      <c r="F16" s="10">
        <f>IF(AND($A16&gt;=Assumptions!$B$28,$A16&lt;Assumptions!$B$28+Assumptions!$B$26),($O16+$C16)*Assumptions!$B$27,0)</f>
        <v>1797.5823950965635</v>
      </c>
      <c r="G16" s="10">
        <f>IF(AND($A16&gt;=Assumptions!$B$28,$A16&lt;Assumptions!$B$28+Assumptions!$B$26),MIN($O16+$C16,Assumptions!$B$20-$F16),0)</f>
        <v>3970.5194514506511</v>
      </c>
      <c r="H16" s="10">
        <f>Income_Statement!$P16</f>
        <v>54253.573633569096</v>
      </c>
      <c r="I16" s="10">
        <f>IF($A16&lt;Assumptions!$B$33,Assumptions!$B$29*(Fleet_Schedule!$G16),Assumptions!$B$29*(Fleet_Schedule!$G16-(Assumptions!$B$18/Assumptions!$B$4)))</f>
        <v>26499.999999999996</v>
      </c>
      <c r="J16" s="10">
        <f t="shared" si="1"/>
        <v>84818.324519883696</v>
      </c>
      <c r="K16" s="10">
        <f>Fleet_Schedule!$D16*Assumptions!$B$4</f>
        <v>0</v>
      </c>
      <c r="L16" s="10">
        <f t="shared" si="2"/>
        <v>84818.324519883696</v>
      </c>
      <c r="M16" s="10">
        <f t="shared" si="5"/>
        <v>116891.18067083909</v>
      </c>
      <c r="N16" s="10">
        <f t="shared" si="3"/>
        <v>201709.50519072279</v>
      </c>
      <c r="O16" s="10">
        <f t="shared" si="4"/>
        <v>215709.88741158761</v>
      </c>
      <c r="P16" s="10">
        <f t="shared" si="0"/>
        <v>211739.36796013697</v>
      </c>
      <c r="S16" s="14"/>
    </row>
    <row r="17" spans="1:19" x14ac:dyDescent="0.25">
      <c r="A17" s="9">
        <f>Fleet_Schedule!A17</f>
        <v>15</v>
      </c>
      <c r="B17" s="10">
        <f>IF($A17=Assumptions!$B$23,Assumptions!$B$22,0)</f>
        <v>0</v>
      </c>
      <c r="C17" s="10">
        <f>IF($A17=Assumptions!$B$19,Assumptions!$B$18,0)</f>
        <v>0</v>
      </c>
      <c r="D17" s="10">
        <f>(Fleet_Schedule!$G17*Assumptions!$B$5)+SUM(B17:C17)</f>
        <v>390000</v>
      </c>
      <c r="E17" s="10">
        <f>Fleet_Schedule!G17*Assumptions!$B$13</f>
        <v>218660</v>
      </c>
      <c r="F17" s="10">
        <f>IF(AND($A17&gt;=Assumptions!$B$28,$A17&lt;Assumptions!$B$28+Assumptions!$B$26),($O17+$C17)*Assumptions!$B$27,0)</f>
        <v>1764.4947330011414</v>
      </c>
      <c r="G17" s="10">
        <f>IF(AND($A17&gt;=Assumptions!$B$28,$A17&lt;Assumptions!$B$28+Assumptions!$B$26),MIN($O17+$C17,Assumptions!$B$20-$F17),0)</f>
        <v>4003.6071135460729</v>
      </c>
      <c r="H17" s="10">
        <f>Income_Statement!$P17</f>
        <v>54264.161685439642</v>
      </c>
      <c r="I17" s="10">
        <f>IF($A17&lt;Assumptions!$B$33,Assumptions!$B$29*(Fleet_Schedule!$G17),Assumptions!$B$29*(Fleet_Schedule!$G17-(Assumptions!$B$18/Assumptions!$B$4)))</f>
        <v>26499.999999999996</v>
      </c>
      <c r="J17" s="10">
        <f t="shared" si="1"/>
        <v>84807.736468013143</v>
      </c>
      <c r="K17" s="10">
        <f>Fleet_Schedule!$D17*Assumptions!$B$4</f>
        <v>0</v>
      </c>
      <c r="L17" s="10">
        <f t="shared" si="2"/>
        <v>84807.736468013143</v>
      </c>
      <c r="M17" s="10">
        <f t="shared" si="5"/>
        <v>201709.50519072279</v>
      </c>
      <c r="N17" s="10">
        <f t="shared" si="3"/>
        <v>286517.2416587359</v>
      </c>
      <c r="O17" s="10">
        <f t="shared" si="4"/>
        <v>211739.36796013697</v>
      </c>
      <c r="P17" s="10">
        <f t="shared" si="0"/>
        <v>207735.76084659089</v>
      </c>
      <c r="S17" s="14"/>
    </row>
    <row r="18" spans="1:19" x14ac:dyDescent="0.25">
      <c r="A18" s="9">
        <f>Fleet_Schedule!A18</f>
        <v>16</v>
      </c>
      <c r="B18" s="10">
        <f>IF($A18=Assumptions!$B$23,Assumptions!$B$22,0)</f>
        <v>0</v>
      </c>
      <c r="C18" s="10">
        <f>IF($A18=Assumptions!$B$19,Assumptions!$B$18,0)</f>
        <v>0</v>
      </c>
      <c r="D18" s="10">
        <f>(Fleet_Schedule!$G18*Assumptions!$B$5)+SUM(B18:C18)</f>
        <v>510000</v>
      </c>
      <c r="E18" s="10">
        <f>Fleet_Schedule!G18*Assumptions!$B$13</f>
        <v>285940</v>
      </c>
      <c r="F18" s="10">
        <f>IF(AND($A18&gt;=Assumptions!$B$28,$A18&lt;Assumptions!$B$28+Assumptions!$B$26),($O18+$C18)*Assumptions!$B$27,0)</f>
        <v>1731.1313403882573</v>
      </c>
      <c r="G18" s="10">
        <f>IF(AND($A18&gt;=Assumptions!$B$28,$A18&lt;Assumptions!$B$28+Assumptions!$B$26),MIN($O18+$C18,Assumptions!$B$20-$F18),0)</f>
        <v>4036.9705061589571</v>
      </c>
      <c r="H18" s="10">
        <f>Income_Statement!$P18</f>
        <v>71145.237971075752</v>
      </c>
      <c r="I18" s="10">
        <f>IF($A18&lt;Assumptions!$B$33,Assumptions!$B$29*(Fleet_Schedule!$G18),Assumptions!$B$29*(Fleet_Schedule!$G18-(Assumptions!$B$18/Assumptions!$B$4)))</f>
        <v>38500</v>
      </c>
      <c r="J18" s="10">
        <f t="shared" si="1"/>
        <v>108646.66018237703</v>
      </c>
      <c r="K18" s="10">
        <f>Fleet_Schedule!$D18*Assumptions!$B$4</f>
        <v>240000</v>
      </c>
      <c r="L18" s="10">
        <f t="shared" si="2"/>
        <v>-131353.33981762297</v>
      </c>
      <c r="M18" s="10">
        <f t="shared" si="5"/>
        <v>286517.2416587359</v>
      </c>
      <c r="N18" s="10">
        <f t="shared" si="3"/>
        <v>155163.90184111294</v>
      </c>
      <c r="O18" s="10">
        <f t="shared" si="4"/>
        <v>207735.76084659089</v>
      </c>
      <c r="P18" s="10">
        <f t="shared" si="0"/>
        <v>203698.79034043194</v>
      </c>
      <c r="S18" s="14"/>
    </row>
    <row r="19" spans="1:19" x14ac:dyDescent="0.25">
      <c r="A19" s="9">
        <f>Fleet_Schedule!A19</f>
        <v>17</v>
      </c>
      <c r="B19" s="10">
        <f>IF($A19=Assumptions!$B$23,Assumptions!$B$22,0)</f>
        <v>0</v>
      </c>
      <c r="C19" s="10">
        <f>IF($A19=Assumptions!$B$19,Assumptions!$B$18,0)</f>
        <v>0</v>
      </c>
      <c r="D19" s="10">
        <f>(Fleet_Schedule!$G19*Assumptions!$B$5)+SUM(B19:C19)</f>
        <v>510000</v>
      </c>
      <c r="E19" s="10">
        <f>Fleet_Schedule!G19*Assumptions!$B$13</f>
        <v>285940</v>
      </c>
      <c r="F19" s="10">
        <f>IF(AND($A19&gt;=Assumptions!$B$28,$A19&lt;Assumptions!$B$28+Assumptions!$B$26),($O19+$C19)*Assumptions!$B$27,0)</f>
        <v>1697.4899195035994</v>
      </c>
      <c r="G19" s="10">
        <f>IF(AND($A19&gt;=Assumptions!$B$28,$A19&lt;Assumptions!$B$28+Assumptions!$B$26),MIN($O19+$C19,Assumptions!$B$20-$F19),0)</f>
        <v>4070.6119270436147</v>
      </c>
      <c r="H19" s="10">
        <f>Income_Statement!$P19</f>
        <v>71156.003225758846</v>
      </c>
      <c r="I19" s="10">
        <f>IF($A19&lt;Assumptions!$B$33,Assumptions!$B$29*(Fleet_Schedule!$G19),Assumptions!$B$29*(Fleet_Schedule!$G19-(Assumptions!$B$18/Assumptions!$B$4)))</f>
        <v>38500</v>
      </c>
      <c r="J19" s="10">
        <f t="shared" si="1"/>
        <v>108635.89492769394</v>
      </c>
      <c r="K19" s="10">
        <f>Fleet_Schedule!$D19*Assumptions!$B$4</f>
        <v>0</v>
      </c>
      <c r="L19" s="10">
        <f t="shared" si="2"/>
        <v>108635.89492769394</v>
      </c>
      <c r="M19" s="10">
        <f t="shared" si="5"/>
        <v>155163.90184111294</v>
      </c>
      <c r="N19" s="10">
        <f t="shared" si="3"/>
        <v>263799.79676880687</v>
      </c>
      <c r="O19" s="10">
        <f t="shared" si="4"/>
        <v>203698.79034043194</v>
      </c>
      <c r="P19" s="10">
        <f t="shared" si="0"/>
        <v>199628.17841338832</v>
      </c>
      <c r="S19" s="14"/>
    </row>
    <row r="20" spans="1:19" x14ac:dyDescent="0.25">
      <c r="A20" s="9">
        <f>Fleet_Schedule!A20</f>
        <v>18</v>
      </c>
      <c r="B20" s="10">
        <f>IF($A20=Assumptions!$B$23,Assumptions!$B$22,0)</f>
        <v>0</v>
      </c>
      <c r="C20" s="10">
        <f>IF($A20=Assumptions!$B$19,Assumptions!$B$18,0)</f>
        <v>0</v>
      </c>
      <c r="D20" s="10">
        <f>(Fleet_Schedule!$G20*Assumptions!$B$5)+SUM(B20:C20)</f>
        <v>510000</v>
      </c>
      <c r="E20" s="10">
        <f>Fleet_Schedule!G20*Assumptions!$B$13</f>
        <v>285940</v>
      </c>
      <c r="F20" s="10">
        <f>IF(AND($A20&gt;=Assumptions!$B$28,$A20&lt;Assumptions!$B$28+Assumptions!$B$26),($O20+$C20)*Assumptions!$B$27,0)</f>
        <v>1663.5681534449027</v>
      </c>
      <c r="G20" s="10">
        <f>IF(AND($A20&gt;=Assumptions!$B$28,$A20&lt;Assumptions!$B$28+Assumptions!$B$26),MIN($O20+$C20,Assumptions!$B$20-$F20),0)</f>
        <v>4104.5336931023121</v>
      </c>
      <c r="H20" s="10">
        <f>Income_Statement!$P20</f>
        <v>71166.858190897634</v>
      </c>
      <c r="I20" s="10">
        <f>IF($A20&lt;Assumptions!$B$33,Assumptions!$B$29*(Fleet_Schedule!$G20),Assumptions!$B$29*(Fleet_Schedule!$G20-(Assumptions!$B$18/Assumptions!$B$4)))</f>
        <v>38500</v>
      </c>
      <c r="J20" s="10">
        <f t="shared" si="1"/>
        <v>108625.03996255517</v>
      </c>
      <c r="K20" s="10">
        <f>Fleet_Schedule!$D20*Assumptions!$B$4</f>
        <v>240000</v>
      </c>
      <c r="L20" s="10">
        <f t="shared" si="2"/>
        <v>-131374.96003744483</v>
      </c>
      <c r="M20" s="10">
        <f t="shared" si="5"/>
        <v>263799.79676880687</v>
      </c>
      <c r="N20" s="10">
        <f t="shared" si="3"/>
        <v>132424.83673136204</v>
      </c>
      <c r="O20" s="10">
        <f t="shared" si="4"/>
        <v>199628.17841338832</v>
      </c>
      <c r="P20" s="10">
        <f t="shared" si="0"/>
        <v>195523.64472028601</v>
      </c>
      <c r="S20" s="14"/>
    </row>
    <row r="21" spans="1:19" x14ac:dyDescent="0.25">
      <c r="A21" s="9">
        <f>Fleet_Schedule!A21</f>
        <v>19</v>
      </c>
      <c r="B21" s="10">
        <f>IF($A21=Assumptions!$B$23,Assumptions!$B$22,0)</f>
        <v>0</v>
      </c>
      <c r="C21" s="10">
        <f>IF($A21=Assumptions!$B$19,Assumptions!$B$18,0)</f>
        <v>0</v>
      </c>
      <c r="D21" s="10">
        <f>(Fleet_Schedule!$G21*Assumptions!$B$5)+SUM(B21:C21)</f>
        <v>360000</v>
      </c>
      <c r="E21" s="10">
        <f>Fleet_Schedule!G21*Assumptions!$B$13</f>
        <v>201840</v>
      </c>
      <c r="F21" s="10">
        <f>IF(AND($A21&gt;=Assumptions!$B$28,$A21&lt;Assumptions!$B$28+Assumptions!$B$26),($O21+$C21)*Assumptions!$B$27,0)</f>
        <v>1629.3637060023834</v>
      </c>
      <c r="G21" s="10">
        <f>IF(AND($A21&gt;=Assumptions!$B$28,$A21&lt;Assumptions!$B$28+Assumptions!$B$26),MIN($O21+$C21,Assumptions!$B$20-$F21),0)</f>
        <v>4138.7381405448305</v>
      </c>
      <c r="H21" s="10">
        <f>Income_Statement!$P21</f>
        <v>50089.803614079239</v>
      </c>
      <c r="I21" s="10">
        <f>IF($A21&lt;Assumptions!$B$33,Assumptions!$B$29*(Fleet_Schedule!$G21),Assumptions!$B$29*(Fleet_Schedule!$G21-(Assumptions!$B$18/Assumptions!$B$4)))</f>
        <v>23500</v>
      </c>
      <c r="J21" s="10">
        <f t="shared" si="1"/>
        <v>78802.094539373546</v>
      </c>
      <c r="K21" s="10">
        <f>Fleet_Schedule!$D21*Assumptions!$B$4</f>
        <v>0</v>
      </c>
      <c r="L21" s="10">
        <f t="shared" si="2"/>
        <v>78802.094539373546</v>
      </c>
      <c r="M21" s="10">
        <f t="shared" si="5"/>
        <v>132424.83673136204</v>
      </c>
      <c r="N21" s="10">
        <f t="shared" si="3"/>
        <v>211226.93127073557</v>
      </c>
      <c r="O21" s="10">
        <f t="shared" si="4"/>
        <v>195523.64472028601</v>
      </c>
      <c r="P21" s="10">
        <f t="shared" si="0"/>
        <v>191384.90657974119</v>
      </c>
      <c r="S21" s="14"/>
    </row>
    <row r="22" spans="1:19" x14ac:dyDescent="0.25">
      <c r="A22" s="9">
        <f>Fleet_Schedule!A22</f>
        <v>20</v>
      </c>
      <c r="B22" s="10">
        <f>IF($A22=Assumptions!$B$23,Assumptions!$B$22,0)</f>
        <v>0</v>
      </c>
      <c r="C22" s="10">
        <f>IF($A22=Assumptions!$B$19,Assumptions!$B$18,0)</f>
        <v>0</v>
      </c>
      <c r="D22" s="10">
        <f>(Fleet_Schedule!$G22*Assumptions!$B$5)+SUM(B22:C22)</f>
        <v>360000</v>
      </c>
      <c r="E22" s="10">
        <f>Fleet_Schedule!G22*Assumptions!$B$13</f>
        <v>201840</v>
      </c>
      <c r="F22" s="10">
        <f>IF(AND($A22&gt;=Assumptions!$B$28,$A22&lt;Assumptions!$B$28+Assumptions!$B$26),($O22+$C22)*Assumptions!$B$27,0)</f>
        <v>1594.8742214978433</v>
      </c>
      <c r="G22" s="10">
        <f>IF(AND($A22&gt;=Assumptions!$B$28,$A22&lt;Assumptions!$B$28+Assumptions!$B$26),MIN($O22+$C22,Assumptions!$B$20-$F22),0)</f>
        <v>4173.2276250493705</v>
      </c>
      <c r="H22" s="10">
        <f>Income_Statement!$P22</f>
        <v>50100.840249120687</v>
      </c>
      <c r="I22" s="10">
        <f>IF($A22&lt;Assumptions!$B$33,Assumptions!$B$29*(Fleet_Schedule!$G22),Assumptions!$B$29*(Fleet_Schedule!$G22-(Assumptions!$B$18/Assumptions!$B$4)))</f>
        <v>23500</v>
      </c>
      <c r="J22" s="10">
        <f t="shared" si="1"/>
        <v>78791.05790433209</v>
      </c>
      <c r="K22" s="10">
        <f>Fleet_Schedule!$D22*Assumptions!$B$4</f>
        <v>0</v>
      </c>
      <c r="L22" s="10">
        <f t="shared" si="2"/>
        <v>78791.05790433209</v>
      </c>
      <c r="M22" s="10">
        <f t="shared" si="5"/>
        <v>211226.93127073557</v>
      </c>
      <c r="N22" s="10">
        <f t="shared" si="3"/>
        <v>290017.98917506763</v>
      </c>
      <c r="O22" s="10">
        <f t="shared" si="4"/>
        <v>191384.90657974119</v>
      </c>
      <c r="P22" s="10">
        <f t="shared" si="0"/>
        <v>187211.67895469183</v>
      </c>
      <c r="S22" s="14"/>
    </row>
    <row r="23" spans="1:19" x14ac:dyDescent="0.25">
      <c r="A23" s="9">
        <f>Fleet_Schedule!A23</f>
        <v>21</v>
      </c>
      <c r="B23" s="10">
        <f>IF($A23=Assumptions!$B$23,Assumptions!$B$22,0)</f>
        <v>0</v>
      </c>
      <c r="C23" s="10">
        <f>IF($A23=Assumptions!$B$19,Assumptions!$B$18,0)</f>
        <v>0</v>
      </c>
      <c r="D23" s="10">
        <f>(Fleet_Schedule!$G23*Assumptions!$B$5)+SUM(B23:C23)</f>
        <v>480000</v>
      </c>
      <c r="E23" s="10">
        <f>Fleet_Schedule!G23*Assumptions!$B$13</f>
        <v>269120</v>
      </c>
      <c r="F23" s="10">
        <f>IF(AND($A23&gt;=Assumptions!$B$28,$A23&lt;Assumptions!$B$28+Assumptions!$B$26),($O23+$C23)*Assumptions!$B$27,0)</f>
        <v>1560.0973246224319</v>
      </c>
      <c r="G23" s="10">
        <f>IF(AND($A23&gt;=Assumptions!$B$28,$A23&lt;Assumptions!$B$28+Assumptions!$B$26),MIN($O23+$C23,Assumptions!$B$20-$F23),0)</f>
        <v>4208.0045219247822</v>
      </c>
      <c r="H23" s="10">
        <f>Income_Statement!$P23</f>
        <v>66982.368856120826</v>
      </c>
      <c r="I23" s="10">
        <f>IF($A23&lt;Assumptions!$B$33,Assumptions!$B$29*(Fleet_Schedule!$G23),Assumptions!$B$29*(Fleet_Schedule!$G23-(Assumptions!$B$18/Assumptions!$B$4)))</f>
        <v>35500</v>
      </c>
      <c r="J23" s="10">
        <f t="shared" si="1"/>
        <v>102629.52929733196</v>
      </c>
      <c r="K23" s="10">
        <f>Fleet_Schedule!$D23*Assumptions!$B$4</f>
        <v>240000</v>
      </c>
      <c r="L23" s="10">
        <f t="shared" si="2"/>
        <v>-137370.47070266804</v>
      </c>
      <c r="M23" s="10">
        <f t="shared" si="5"/>
        <v>290017.98917506763</v>
      </c>
      <c r="N23" s="10">
        <f t="shared" si="3"/>
        <v>152647.51847239959</v>
      </c>
      <c r="O23" s="10">
        <f t="shared" si="4"/>
        <v>187211.67895469183</v>
      </c>
      <c r="P23" s="10">
        <f t="shared" si="0"/>
        <v>183003.67443276706</v>
      </c>
      <c r="S23" s="14"/>
    </row>
    <row r="24" spans="1:19" x14ac:dyDescent="0.25">
      <c r="A24" s="9">
        <f>Fleet_Schedule!A24</f>
        <v>22</v>
      </c>
      <c r="B24" s="10">
        <f>IF($A24=Assumptions!$B$23,Assumptions!$B$22,0)</f>
        <v>0</v>
      </c>
      <c r="C24" s="10">
        <f>IF($A24=Assumptions!$B$19,Assumptions!$B$18,0)</f>
        <v>0</v>
      </c>
      <c r="D24" s="10">
        <f>(Fleet_Schedule!$G24*Assumptions!$B$5)+SUM(B24:C24)</f>
        <v>480000</v>
      </c>
      <c r="E24" s="10">
        <f>Fleet_Schedule!G24*Assumptions!$B$13</f>
        <v>269120</v>
      </c>
      <c r="F24" s="10">
        <f>IF(AND($A24&gt;=Assumptions!$B$28,$A24&lt;Assumptions!$B$28+Assumptions!$B$26),($O24+$C24)*Assumptions!$B$27,0)</f>
        <v>1525.0306202730587</v>
      </c>
      <c r="G24" s="10">
        <f>IF(AND($A24&gt;=Assumptions!$B$28,$A24&lt;Assumptions!$B$28+Assumptions!$B$26),MIN($O24+$C24,Assumptions!$B$20-$F24),0)</f>
        <v>4243.0712262741554</v>
      </c>
      <c r="H24" s="10">
        <f>Income_Statement!$P24</f>
        <v>66993.590201512619</v>
      </c>
      <c r="I24" s="10">
        <f>IF($A24&lt;Assumptions!$B$33,Assumptions!$B$29*(Fleet_Schedule!$G24),Assumptions!$B$29*(Fleet_Schedule!$G24-(Assumptions!$B$18/Assumptions!$B$4)))</f>
        <v>35500</v>
      </c>
      <c r="J24" s="10">
        <f t="shared" si="1"/>
        <v>102618.30795194017</v>
      </c>
      <c r="K24" s="10">
        <f>Fleet_Schedule!$D24*Assumptions!$B$4</f>
        <v>0</v>
      </c>
      <c r="L24" s="10">
        <f t="shared" si="2"/>
        <v>102618.30795194017</v>
      </c>
      <c r="M24" s="10">
        <f t="shared" si="5"/>
        <v>152647.51847239959</v>
      </c>
      <c r="N24" s="10">
        <f t="shared" si="3"/>
        <v>255265.82642433976</v>
      </c>
      <c r="O24" s="10">
        <f t="shared" si="4"/>
        <v>183003.67443276706</v>
      </c>
      <c r="P24" s="10">
        <f t="shared" si="0"/>
        <v>178760.6032064929</v>
      </c>
      <c r="S24" s="14"/>
    </row>
    <row r="25" spans="1:19" x14ac:dyDescent="0.25">
      <c r="A25" s="9">
        <f>Fleet_Schedule!A25</f>
        <v>23</v>
      </c>
      <c r="B25" s="10">
        <f>IF($A25=Assumptions!$B$23,Assumptions!$B$22,0)</f>
        <v>0</v>
      </c>
      <c r="C25" s="10">
        <f>IF($A25=Assumptions!$B$19,Assumptions!$B$18,0)</f>
        <v>0</v>
      </c>
      <c r="D25" s="10">
        <f>(Fleet_Schedule!$G25*Assumptions!$B$5)+SUM(B25:C25)</f>
        <v>480000</v>
      </c>
      <c r="E25" s="10">
        <f>Fleet_Schedule!G25*Assumptions!$B$13</f>
        <v>269120</v>
      </c>
      <c r="F25" s="10">
        <f>IF(AND($A25&gt;=Assumptions!$B$28,$A25&lt;Assumptions!$B$28+Assumptions!$B$26),($O25+$C25)*Assumptions!$B$27,0)</f>
        <v>1489.6716933874409</v>
      </c>
      <c r="G25" s="10">
        <f>IF(AND($A25&gt;=Assumptions!$B$28,$A25&lt;Assumptions!$B$28+Assumptions!$B$26),MIN($O25+$C25,Assumptions!$B$20-$F25),0)</f>
        <v>4278.4301531597739</v>
      </c>
      <c r="H25" s="10">
        <f>Income_Statement!$P25</f>
        <v>67004.905058116026</v>
      </c>
      <c r="I25" s="10">
        <f>IF($A25&lt;Assumptions!$B$33,Assumptions!$B$29*(Fleet_Schedule!$G25),Assumptions!$B$29*(Fleet_Schedule!$G25-(Assumptions!$B$18/Assumptions!$B$4)))</f>
        <v>35500</v>
      </c>
      <c r="J25" s="10">
        <f t="shared" si="1"/>
        <v>102606.99309533677</v>
      </c>
      <c r="K25" s="10">
        <f>Fleet_Schedule!$D25*Assumptions!$B$4</f>
        <v>240000</v>
      </c>
      <c r="L25" s="10">
        <f t="shared" si="2"/>
        <v>-137393.00690466323</v>
      </c>
      <c r="M25" s="10">
        <f t="shared" si="5"/>
        <v>255265.82642433976</v>
      </c>
      <c r="N25" s="10">
        <f t="shared" si="3"/>
        <v>117872.81951967653</v>
      </c>
      <c r="O25" s="10">
        <f t="shared" si="4"/>
        <v>178760.6032064929</v>
      </c>
      <c r="P25" s="10">
        <f t="shared" si="0"/>
        <v>174482.17305333313</v>
      </c>
      <c r="S25" s="14"/>
    </row>
    <row r="26" spans="1:19" x14ac:dyDescent="0.25">
      <c r="A26" s="9">
        <f>Fleet_Schedule!A26</f>
        <v>24</v>
      </c>
      <c r="B26" s="10">
        <f>IF($A26=Assumptions!$B$23,Assumptions!$B$22,0)</f>
        <v>0</v>
      </c>
      <c r="C26" s="10">
        <f>IF($A26=Assumptions!$B$19,Assumptions!$B$18,0)</f>
        <v>0</v>
      </c>
      <c r="D26" s="10">
        <f>(Fleet_Schedule!$G26*Assumptions!$B$5)+SUM(B26:C26)</f>
        <v>480000</v>
      </c>
      <c r="E26" s="10">
        <f>Fleet_Schedule!G26*Assumptions!$B$13</f>
        <v>269120</v>
      </c>
      <c r="F26" s="10">
        <f>IF(AND($A26&gt;=Assumptions!$B$28,$A26&lt;Assumptions!$B$28+Assumptions!$B$26),($O26+$C26)*Assumptions!$B$27,0)</f>
        <v>1454.018108777776</v>
      </c>
      <c r="G26" s="10">
        <f>IF(AND($A26&gt;=Assumptions!$B$28,$A26&lt;Assumptions!$B$28+Assumptions!$B$26),MIN($O26+$C26,Assumptions!$B$20-$F26),0)</f>
        <v>4314.0837377694388</v>
      </c>
      <c r="H26" s="10">
        <f>Income_Statement!$P26</f>
        <v>67016.314205191113</v>
      </c>
      <c r="I26" s="10">
        <f>IF($A26&lt;Assumptions!$B$33,Assumptions!$B$29*(Fleet_Schedule!$G26),Assumptions!$B$29*(Fleet_Schedule!$G26-(Assumptions!$B$18/Assumptions!$B$4)))</f>
        <v>35500</v>
      </c>
      <c r="J26" s="10">
        <f t="shared" si="1"/>
        <v>102595.58394826169</v>
      </c>
      <c r="K26" s="10">
        <f>Fleet_Schedule!$D26*Assumptions!$B$4</f>
        <v>0</v>
      </c>
      <c r="L26" s="10">
        <f t="shared" si="2"/>
        <v>102595.58394826169</v>
      </c>
      <c r="M26" s="10">
        <f t="shared" si="5"/>
        <v>117872.81951967653</v>
      </c>
      <c r="N26" s="10">
        <f t="shared" si="3"/>
        <v>220468.40346793822</v>
      </c>
      <c r="O26" s="10">
        <f t="shared" si="4"/>
        <v>174482.17305333313</v>
      </c>
      <c r="P26" s="10">
        <f t="shared" si="0"/>
        <v>170168.0893155637</v>
      </c>
      <c r="S26" s="14"/>
    </row>
    <row r="27" spans="1:19" x14ac:dyDescent="0.25">
      <c r="A27" s="9">
        <f>Fleet_Schedule!A27</f>
        <v>25</v>
      </c>
      <c r="B27" s="10">
        <f>IF($A27=Assumptions!$B$23,Assumptions!$B$22,0)</f>
        <v>0</v>
      </c>
      <c r="C27" s="10">
        <f>IF($A27=Assumptions!$B$19,Assumptions!$B$18,0)</f>
        <v>0</v>
      </c>
      <c r="D27" s="10">
        <f>(Fleet_Schedule!$G27*Assumptions!$B$5)+SUM(B27:C27)</f>
        <v>480000</v>
      </c>
      <c r="E27" s="10">
        <f>Fleet_Schedule!G27*Assumptions!$B$13</f>
        <v>269120</v>
      </c>
      <c r="F27" s="10">
        <f>IF(AND($A27&gt;=Assumptions!$B$28,$A27&lt;Assumptions!$B$28+Assumptions!$B$26),($O27+$C27)*Assumptions!$B$27,0)</f>
        <v>1418.0674109630309</v>
      </c>
      <c r="G27" s="10">
        <f>IF(AND($A27&gt;=Assumptions!$B$28,$A27&lt;Assumptions!$B$28+Assumptions!$B$26),MIN($O27+$C27,Assumptions!$B$20-$F27),0)</f>
        <v>4350.0344355841835</v>
      </c>
      <c r="H27" s="10">
        <f>Income_Statement!$P27</f>
        <v>67027.818428491824</v>
      </c>
      <c r="I27" s="10">
        <f>IF($A27&lt;Assumptions!$B$33,Assumptions!$B$29*(Fleet_Schedule!$G27),Assumptions!$B$29*(Fleet_Schedule!$G27-(Assumptions!$B$18/Assumptions!$B$4)))</f>
        <v>35500</v>
      </c>
      <c r="J27" s="10">
        <f t="shared" si="1"/>
        <v>102584.07972496096</v>
      </c>
      <c r="K27" s="10">
        <f>Fleet_Schedule!$D27*Assumptions!$B$4</f>
        <v>0</v>
      </c>
      <c r="L27" s="10">
        <f t="shared" si="2"/>
        <v>102584.07972496096</v>
      </c>
      <c r="M27" s="10">
        <f t="shared" si="5"/>
        <v>220468.40346793822</v>
      </c>
      <c r="N27" s="10">
        <f t="shared" si="3"/>
        <v>323052.48319289915</v>
      </c>
      <c r="O27" s="10">
        <f t="shared" si="4"/>
        <v>170168.0893155637</v>
      </c>
      <c r="P27" s="10">
        <f t="shared" si="0"/>
        <v>165818.05487997952</v>
      </c>
      <c r="S27" s="14"/>
    </row>
    <row r="28" spans="1:19" x14ac:dyDescent="0.25">
      <c r="A28" s="9">
        <f>Fleet_Schedule!A28</f>
        <v>26</v>
      </c>
      <c r="B28" s="10">
        <f>IF($A28=Assumptions!$B$23,Assumptions!$B$22,0)</f>
        <v>0</v>
      </c>
      <c r="C28" s="10">
        <f>IF($A28=Assumptions!$B$19,Assumptions!$B$18,0)</f>
        <v>0</v>
      </c>
      <c r="D28" s="10">
        <f>(Fleet_Schedule!$G28*Assumptions!$B$5)+SUM(B28:C28)</f>
        <v>600000</v>
      </c>
      <c r="E28" s="10">
        <f>Fleet_Schedule!G28*Assumptions!$B$13</f>
        <v>336400</v>
      </c>
      <c r="F28" s="10">
        <f>IF(AND($A28&gt;=Assumptions!$B$28,$A28&lt;Assumptions!$B$28+Assumptions!$B$26),($O28+$C28)*Assumptions!$B$27,0)</f>
        <v>1381.8171239998294</v>
      </c>
      <c r="G28" s="10">
        <f>IF(AND($A28&gt;=Assumptions!$B$28,$A28&lt;Assumptions!$B$28+Assumptions!$B$26),MIN($O28+$C28,Assumptions!$B$20-$F28),0)</f>
        <v>4386.2847225473852</v>
      </c>
      <c r="H28" s="10">
        <f>Income_Statement!$P28</f>
        <v>83909.818520320056</v>
      </c>
      <c r="I28" s="10">
        <f>IF($A28&lt;Assumptions!$B$33,Assumptions!$B$29*(Fleet_Schedule!$G28),Assumptions!$B$29*(Fleet_Schedule!$G28-(Assumptions!$B$18/Assumptions!$B$4)))</f>
        <v>47500</v>
      </c>
      <c r="J28" s="10">
        <f t="shared" si="1"/>
        <v>126422.07963313273</v>
      </c>
      <c r="K28" s="10">
        <f>Fleet_Schedule!$D28*Assumptions!$B$4</f>
        <v>300000</v>
      </c>
      <c r="L28" s="10">
        <f t="shared" si="2"/>
        <v>-173577.92036686727</v>
      </c>
      <c r="M28" s="10">
        <f t="shared" si="5"/>
        <v>323052.48319289915</v>
      </c>
      <c r="N28" s="10">
        <f t="shared" si="3"/>
        <v>149474.56282603188</v>
      </c>
      <c r="O28" s="10">
        <f t="shared" si="4"/>
        <v>165818.05487997952</v>
      </c>
      <c r="P28" s="10">
        <f t="shared" si="0"/>
        <v>161431.77015743213</v>
      </c>
      <c r="S28" s="14"/>
    </row>
    <row r="29" spans="1:19" x14ac:dyDescent="0.25">
      <c r="A29" s="9">
        <f>Fleet_Schedule!A29</f>
        <v>27</v>
      </c>
      <c r="B29" s="10">
        <f>IF($A29=Assumptions!$B$23,Assumptions!$B$22,0)</f>
        <v>0</v>
      </c>
      <c r="C29" s="10">
        <f>IF($A29=Assumptions!$B$19,Assumptions!$B$18,0)</f>
        <v>0</v>
      </c>
      <c r="D29" s="10">
        <f>(Fleet_Schedule!$G29*Assumptions!$B$5)+SUM(B29:C29)</f>
        <v>480000</v>
      </c>
      <c r="E29" s="10">
        <f>Fleet_Schedule!G29*Assumptions!$B$13</f>
        <v>269120</v>
      </c>
      <c r="F29" s="10">
        <f>IF(AND($A29&gt;=Assumptions!$B$28,$A29&lt;Assumptions!$B$28+Assumptions!$B$26),($O29+$C29)*Assumptions!$B$27,0)</f>
        <v>1345.2647513119343</v>
      </c>
      <c r="G29" s="10">
        <f>IF(AND($A29&gt;=Assumptions!$B$28,$A29&lt;Assumptions!$B$28+Assumptions!$B$26),MIN($O29+$C29,Assumptions!$B$20-$F29),0)</f>
        <v>4422.8370952352798</v>
      </c>
      <c r="H29" s="10">
        <f>Income_Statement!$P29</f>
        <v>67051.115279580175</v>
      </c>
      <c r="I29" s="10">
        <f>IF($A29&lt;Assumptions!$B$33,Assumptions!$B$29*(Fleet_Schedule!$G29),Assumptions!$B$29*(Fleet_Schedule!$G29-(Assumptions!$B$18/Assumptions!$B$4)))</f>
        <v>35500</v>
      </c>
      <c r="J29" s="10">
        <f t="shared" si="1"/>
        <v>102560.78287387261</v>
      </c>
      <c r="K29" s="10">
        <f>Fleet_Schedule!$D29*Assumptions!$B$4</f>
        <v>0</v>
      </c>
      <c r="L29" s="10">
        <f t="shared" si="2"/>
        <v>102560.78287387261</v>
      </c>
      <c r="M29" s="10">
        <f t="shared" si="5"/>
        <v>149474.56282603188</v>
      </c>
      <c r="N29" s="10">
        <f t="shared" si="3"/>
        <v>252035.34569990449</v>
      </c>
      <c r="O29" s="10">
        <f t="shared" si="4"/>
        <v>161431.77015743213</v>
      </c>
      <c r="P29" s="10">
        <f t="shared" si="0"/>
        <v>157008.93306219685</v>
      </c>
      <c r="S29" s="14"/>
    </row>
    <row r="30" spans="1:19" x14ac:dyDescent="0.25">
      <c r="A30" s="9">
        <f>Fleet_Schedule!A30</f>
        <v>28</v>
      </c>
      <c r="B30" s="10">
        <f>IF($A30=Assumptions!$B$23,Assumptions!$B$22,0)</f>
        <v>0</v>
      </c>
      <c r="C30" s="10">
        <f>IF($A30=Assumptions!$B$19,Assumptions!$B$18,0)</f>
        <v>0</v>
      </c>
      <c r="D30" s="10">
        <f>(Fleet_Schedule!$G30*Assumptions!$B$5)+SUM(B30:C30)</f>
        <v>480000</v>
      </c>
      <c r="E30" s="10">
        <f>Fleet_Schedule!G30*Assumptions!$B$13</f>
        <v>269120</v>
      </c>
      <c r="F30" s="10">
        <f>IF(AND($A30&gt;=Assumptions!$B$28,$A30&lt;Assumptions!$B$28+Assumptions!$B$26),($O30+$C30)*Assumptions!$B$27,0)</f>
        <v>1308.4077755183071</v>
      </c>
      <c r="G30" s="10">
        <f>IF(AND($A30&gt;=Assumptions!$B$28,$A30&lt;Assumptions!$B$28+Assumptions!$B$26),MIN($O30+$C30,Assumptions!$B$20-$F30),0)</f>
        <v>4459.6940710289073</v>
      </c>
      <c r="H30" s="10">
        <f>Income_Statement!$P30</f>
        <v>67062.909511834136</v>
      </c>
      <c r="I30" s="10">
        <f>IF($A30&lt;Assumptions!$B$33,Assumptions!$B$29*(Fleet_Schedule!$G30),Assumptions!$B$29*(Fleet_Schedule!$G30-(Assumptions!$B$18/Assumptions!$B$4)))</f>
        <v>35500</v>
      </c>
      <c r="J30" s="10">
        <f t="shared" si="1"/>
        <v>102548.98864161863</v>
      </c>
      <c r="K30" s="10">
        <f>Fleet_Schedule!$D30*Assumptions!$B$4</f>
        <v>240000</v>
      </c>
      <c r="L30" s="10">
        <f t="shared" si="2"/>
        <v>-137451.01135838137</v>
      </c>
      <c r="M30" s="10">
        <f t="shared" si="5"/>
        <v>252035.34569990449</v>
      </c>
      <c r="N30" s="10">
        <f t="shared" si="3"/>
        <v>114584.33434152312</v>
      </c>
      <c r="O30" s="10">
        <f t="shared" si="4"/>
        <v>157008.93306219685</v>
      </c>
      <c r="P30" s="10">
        <f t="shared" si="0"/>
        <v>152549.23899116795</v>
      </c>
      <c r="S30" s="14"/>
    </row>
    <row r="31" spans="1:19" x14ac:dyDescent="0.25">
      <c r="A31" s="9">
        <f>Fleet_Schedule!A31</f>
        <v>29</v>
      </c>
      <c r="B31" s="10">
        <f>IF($A31=Assumptions!$B$23,Assumptions!$B$22,0)</f>
        <v>0</v>
      </c>
      <c r="C31" s="10">
        <f>IF($A31=Assumptions!$B$19,Assumptions!$B$18,0)</f>
        <v>0</v>
      </c>
      <c r="D31" s="10">
        <f>(Fleet_Schedule!$G31*Assumptions!$B$5)+SUM(B31:C31)</f>
        <v>630000</v>
      </c>
      <c r="E31" s="10">
        <f>Fleet_Schedule!G31*Assumptions!$B$13</f>
        <v>353220</v>
      </c>
      <c r="F31" s="10">
        <f>IF(AND($A31&gt;=Assumptions!$B$28,$A31&lt;Assumptions!$B$28+Assumptions!$B$26),($O31+$C31)*Assumptions!$B$27,0)</f>
        <v>1271.2436582597329</v>
      </c>
      <c r="G31" s="10">
        <f>IF(AND($A31&gt;=Assumptions!$B$28,$A31&lt;Assumptions!$B$28+Assumptions!$B$26),MIN($O31+$C31,Assumptions!$B$20-$F31),0)</f>
        <v>4496.8581882874814</v>
      </c>
      <c r="H31" s="10">
        <f>Income_Statement!$P31</f>
        <v>88162.802029356884</v>
      </c>
      <c r="I31" s="10">
        <f>IF($A31&lt;Assumptions!$B$33,Assumptions!$B$29*(Fleet_Schedule!$G31),Assumptions!$B$29*(Fleet_Schedule!$G31-(Assumptions!$B$18/Assumptions!$B$4)))</f>
        <v>50500</v>
      </c>
      <c r="J31" s="10">
        <f t="shared" si="1"/>
        <v>132349.0961240959</v>
      </c>
      <c r="K31" s="10">
        <f>Fleet_Schedule!$D31*Assumptions!$B$4</f>
        <v>0</v>
      </c>
      <c r="L31" s="10">
        <f t="shared" si="2"/>
        <v>132349.0961240959</v>
      </c>
      <c r="M31" s="10">
        <f t="shared" si="5"/>
        <v>114584.33434152312</v>
      </c>
      <c r="N31" s="10">
        <f t="shared" si="3"/>
        <v>246933.43046561902</v>
      </c>
      <c r="O31" s="10">
        <f t="shared" si="4"/>
        <v>152549.23899116795</v>
      </c>
      <c r="P31" s="10">
        <f t="shared" si="0"/>
        <v>148052.38080288048</v>
      </c>
      <c r="S31" s="14"/>
    </row>
    <row r="32" spans="1:19" x14ac:dyDescent="0.25">
      <c r="A32" s="9">
        <f>Fleet_Schedule!A32</f>
        <v>30</v>
      </c>
      <c r="B32" s="10">
        <f>IF($A32=Assumptions!$B$23,Assumptions!$B$22,0)</f>
        <v>0</v>
      </c>
      <c r="C32" s="10">
        <f>IF($A32=Assumptions!$B$19,Assumptions!$B$18,0)</f>
        <v>0</v>
      </c>
      <c r="D32" s="10">
        <f>(Fleet_Schedule!$G32*Assumptions!$B$5)+SUM(B32:C32)</f>
        <v>510000</v>
      </c>
      <c r="E32" s="10">
        <f>Fleet_Schedule!G32*Assumptions!$B$13</f>
        <v>285940</v>
      </c>
      <c r="F32" s="10">
        <f>IF(AND($A32&gt;=Assumptions!$B$28,$A32&lt;Assumptions!$B$28+Assumptions!$B$26),($O32+$C32)*Assumptions!$B$27,0)</f>
        <v>1233.769840024004</v>
      </c>
      <c r="G32" s="10">
        <f>IF(AND($A32&gt;=Assumptions!$B$28,$A32&lt;Assumptions!$B$28+Assumptions!$B$26),MIN($O32+$C32,Assumptions!$B$20-$F32),0)</f>
        <v>4534.3320065232101</v>
      </c>
      <c r="H32" s="10">
        <f>Income_Statement!$P32</f>
        <v>71304.393651192324</v>
      </c>
      <c r="I32" s="10">
        <f>IF($A32&lt;Assumptions!$B$33,Assumptions!$B$29*(Fleet_Schedule!$G32),Assumptions!$B$29*(Fleet_Schedule!$G32-(Assumptions!$B$18/Assumptions!$B$4)))</f>
        <v>38500</v>
      </c>
      <c r="J32" s="10">
        <f t="shared" si="1"/>
        <v>108487.50450226048</v>
      </c>
      <c r="K32" s="10">
        <f>Fleet_Schedule!$D32*Assumptions!$B$4</f>
        <v>240000</v>
      </c>
      <c r="L32" s="10">
        <f t="shared" si="2"/>
        <v>-131512.49549773952</v>
      </c>
      <c r="M32" s="10">
        <f t="shared" si="5"/>
        <v>246933.43046561902</v>
      </c>
      <c r="N32" s="10">
        <f t="shared" si="3"/>
        <v>115420.9349678795</v>
      </c>
      <c r="O32" s="10">
        <f t="shared" si="4"/>
        <v>148052.38080288048</v>
      </c>
      <c r="P32" s="10">
        <f t="shared" si="0"/>
        <v>143518.04879635727</v>
      </c>
      <c r="S32" s="14"/>
    </row>
    <row r="33" spans="1:19" x14ac:dyDescent="0.25">
      <c r="A33" s="9">
        <f>Fleet_Schedule!A33</f>
        <v>31</v>
      </c>
      <c r="B33" s="10">
        <f>IF($A33=Assumptions!$B$23,Assumptions!$B$22,0)</f>
        <v>0</v>
      </c>
      <c r="C33" s="10">
        <f>IF($A33=Assumptions!$B$19,Assumptions!$B$18,0)</f>
        <v>0</v>
      </c>
      <c r="D33" s="10">
        <f>(Fleet_Schedule!$G33*Assumptions!$B$5)+SUM(B33:C33)</f>
        <v>630000</v>
      </c>
      <c r="E33" s="10">
        <f>Fleet_Schedule!G33*Assumptions!$B$13</f>
        <v>353220</v>
      </c>
      <c r="F33" s="10">
        <f>IF(AND($A33&gt;=Assumptions!$B$28,$A33&lt;Assumptions!$B$28+Assumptions!$B$26),($O33+$C33)*Assumptions!$B$27,0)</f>
        <v>1195.9837399696439</v>
      </c>
      <c r="G33" s="10">
        <f>IF(AND($A33&gt;=Assumptions!$B$28,$A33&lt;Assumptions!$B$28+Assumptions!$B$26),MIN($O33+$C33,Assumptions!$B$20-$F33),0)</f>
        <v>4572.1181065775709</v>
      </c>
      <c r="H33" s="10">
        <f>Income_Statement!$P33</f>
        <v>88186.885203209706</v>
      </c>
      <c r="I33" s="10">
        <f>IF($A33&lt;Assumptions!$B$33,Assumptions!$B$29*(Fleet_Schedule!$G33),Assumptions!$B$29*(Fleet_Schedule!$G33-(Assumptions!$B$18/Assumptions!$B$4)))</f>
        <v>50500</v>
      </c>
      <c r="J33" s="10">
        <f t="shared" si="1"/>
        <v>132325.01295024308</v>
      </c>
      <c r="K33" s="10">
        <f>Fleet_Schedule!$D33*Assumptions!$B$4</f>
        <v>0</v>
      </c>
      <c r="L33" s="10">
        <f t="shared" si="2"/>
        <v>132325.01295024308</v>
      </c>
      <c r="M33" s="10">
        <f t="shared" si="5"/>
        <v>115420.9349678795</v>
      </c>
      <c r="N33" s="10">
        <f t="shared" si="3"/>
        <v>247745.94791812258</v>
      </c>
      <c r="O33" s="10">
        <f t="shared" si="4"/>
        <v>143518.04879635727</v>
      </c>
      <c r="P33" s="10">
        <f t="shared" si="0"/>
        <v>138945.93068977969</v>
      </c>
      <c r="S33" s="14"/>
    </row>
    <row r="34" spans="1:19" x14ac:dyDescent="0.25">
      <c r="A34" s="9">
        <f>Fleet_Schedule!A34</f>
        <v>32</v>
      </c>
      <c r="B34" s="10">
        <f>IF($A34=Assumptions!$B$23,Assumptions!$B$22,0)</f>
        <v>0</v>
      </c>
      <c r="C34" s="10">
        <f>IF($A34=Assumptions!$B$19,Assumptions!$B$18,0)</f>
        <v>0</v>
      </c>
      <c r="D34" s="10">
        <f>(Fleet_Schedule!$G34*Assumptions!$B$5)+SUM(B34:C34)</f>
        <v>510000</v>
      </c>
      <c r="E34" s="10">
        <f>Fleet_Schedule!G34*Assumptions!$B$13</f>
        <v>285940</v>
      </c>
      <c r="F34" s="10">
        <f>IF(AND($A34&gt;=Assumptions!$B$28,$A34&lt;Assumptions!$B$28+Assumptions!$B$26),($O34+$C34)*Assumptions!$B$27,0)</f>
        <v>1157.8827557481641</v>
      </c>
      <c r="G34" s="10">
        <f>IF(AND($A34&gt;=Assumptions!$B$28,$A34&lt;Assumptions!$B$28+Assumptions!$B$26),MIN($O34+$C34,Assumptions!$B$20-$F34),0)</f>
        <v>4610.2190907990498</v>
      </c>
      <c r="H34" s="10">
        <f>Income_Statement!$P34</f>
        <v>71328.677518160592</v>
      </c>
      <c r="I34" s="10">
        <f>IF($A34&lt;Assumptions!$B$33,Assumptions!$B$29*(Fleet_Schedule!$G34),Assumptions!$B$29*(Fleet_Schedule!$G34-(Assumptions!$B$18/Assumptions!$B$4)))</f>
        <v>38500</v>
      </c>
      <c r="J34" s="10">
        <f t="shared" si="1"/>
        <v>108463.22063529218</v>
      </c>
      <c r="K34" s="10">
        <f>Fleet_Schedule!$D34*Assumptions!$B$4</f>
        <v>240000</v>
      </c>
      <c r="L34" s="10">
        <f t="shared" si="2"/>
        <v>-131536.77936470782</v>
      </c>
      <c r="M34" s="10">
        <f t="shared" si="5"/>
        <v>247745.94791812258</v>
      </c>
      <c r="N34" s="10">
        <f t="shared" si="3"/>
        <v>116209.16855341475</v>
      </c>
      <c r="O34" s="10">
        <f t="shared" si="4"/>
        <v>138945.93068977969</v>
      </c>
      <c r="P34" s="10">
        <f t="shared" si="0"/>
        <v>134335.71159898065</v>
      </c>
      <c r="S34" s="14"/>
    </row>
    <row r="35" spans="1:19" x14ac:dyDescent="0.25">
      <c r="A35" s="9">
        <f>Fleet_Schedule!A35</f>
        <v>33</v>
      </c>
      <c r="B35" s="10">
        <f>IF($A35=Assumptions!$B$23,Assumptions!$B$22,0)</f>
        <v>0</v>
      </c>
      <c r="C35" s="10">
        <f>IF($A35=Assumptions!$B$19,Assumptions!$B$18,0)</f>
        <v>0</v>
      </c>
      <c r="D35" s="10">
        <f>(Fleet_Schedule!$G35*Assumptions!$B$5)+SUM(B35:C35)</f>
        <v>630000</v>
      </c>
      <c r="E35" s="10">
        <f>Fleet_Schedule!G35*Assumptions!$B$13</f>
        <v>353220</v>
      </c>
      <c r="F35" s="10">
        <f>IF(AND($A35&gt;=Assumptions!$B$28,$A35&lt;Assumptions!$B$28+Assumptions!$B$26),($O35+$C35)*Assumptions!$B$27,0)</f>
        <v>1119.4642633248386</v>
      </c>
      <c r="G35" s="10">
        <f>IF(AND($A35&gt;=Assumptions!$B$28,$A35&lt;Assumptions!$B$28+Assumptions!$B$26),MIN($O35+$C35,Assumptions!$B$20-$F35),0)</f>
        <v>4648.6375832223757</v>
      </c>
      <c r="H35" s="10">
        <f>Income_Statement!$P35</f>
        <v>88211.371435736044</v>
      </c>
      <c r="I35" s="10">
        <f>IF($A35&lt;Assumptions!$B$33,Assumptions!$B$29*(Fleet_Schedule!$G35),Assumptions!$B$29*(Fleet_Schedule!$G35-(Assumptions!$B$18/Assumptions!$B$4)))</f>
        <v>50500</v>
      </c>
      <c r="J35" s="10">
        <f t="shared" si="1"/>
        <v>132300.52671771674</v>
      </c>
      <c r="K35" s="10">
        <f>Fleet_Schedule!$D35*Assumptions!$B$4</f>
        <v>0</v>
      </c>
      <c r="L35" s="10">
        <f t="shared" si="2"/>
        <v>132300.52671771674</v>
      </c>
      <c r="M35" s="10">
        <f t="shared" si="5"/>
        <v>116209.16855341475</v>
      </c>
      <c r="N35" s="10">
        <f t="shared" si="3"/>
        <v>248509.6952711315</v>
      </c>
      <c r="O35" s="10">
        <f t="shared" si="4"/>
        <v>134335.71159898065</v>
      </c>
      <c r="P35" s="10">
        <f t="shared" ref="P35:P62" si="6">O35+C35-G35</f>
        <v>129687.07401575828</v>
      </c>
      <c r="S35" s="14"/>
    </row>
    <row r="36" spans="1:19" x14ac:dyDescent="0.25">
      <c r="A36" s="9">
        <f>Fleet_Schedule!A36</f>
        <v>34</v>
      </c>
      <c r="B36" s="10">
        <f>IF($A36=Assumptions!$B$23,Assumptions!$B$22,0)</f>
        <v>0</v>
      </c>
      <c r="C36" s="10">
        <f>IF($A36=Assumptions!$B$19,Assumptions!$B$18,0)</f>
        <v>0</v>
      </c>
      <c r="D36" s="10">
        <f>(Fleet_Schedule!$G36*Assumptions!$B$5)+SUM(B36:C36)</f>
        <v>630000</v>
      </c>
      <c r="E36" s="10">
        <f>Fleet_Schedule!G36*Assumptions!$B$13</f>
        <v>353220</v>
      </c>
      <c r="F36" s="10">
        <f>IF(AND($A36&gt;=Assumptions!$B$28,$A36&lt;Assumptions!$B$28+Assumptions!$B$26),($O36+$C36)*Assumptions!$B$27,0)</f>
        <v>1080.7256167979856</v>
      </c>
      <c r="G36" s="10">
        <f>IF(AND($A36&gt;=Assumptions!$B$28,$A36&lt;Assumptions!$B$28+Assumptions!$B$26),MIN($O36+$C36,Assumptions!$B$20-$F36),0)</f>
        <v>4687.3762297492285</v>
      </c>
      <c r="H36" s="10">
        <f>Income_Statement!$P36</f>
        <v>88223.767802624643</v>
      </c>
      <c r="I36" s="10">
        <f>IF($A36&lt;Assumptions!$B$33,Assumptions!$B$29*(Fleet_Schedule!$G36),Assumptions!$B$29*(Fleet_Schedule!$G36-(Assumptions!$B$18/Assumptions!$B$4)))</f>
        <v>50500</v>
      </c>
      <c r="J36" s="10">
        <f t="shared" si="1"/>
        <v>132288.13035082814</v>
      </c>
      <c r="K36" s="10">
        <f>Fleet_Schedule!$D36*Assumptions!$B$4</f>
        <v>240000</v>
      </c>
      <c r="L36" s="10">
        <f t="shared" si="2"/>
        <v>-107711.86964917186</v>
      </c>
      <c r="M36" s="10">
        <f t="shared" si="5"/>
        <v>248509.6952711315</v>
      </c>
      <c r="N36" s="10">
        <f t="shared" si="3"/>
        <v>140797.82562195964</v>
      </c>
      <c r="O36" s="10">
        <f t="shared" ref="O36:O62" si="7">P35</f>
        <v>129687.07401575828</v>
      </c>
      <c r="P36" s="10">
        <f t="shared" si="6"/>
        <v>124999.69778600906</v>
      </c>
      <c r="S36" s="14"/>
    </row>
    <row r="37" spans="1:19" x14ac:dyDescent="0.25">
      <c r="A37" s="9">
        <f>Fleet_Schedule!A37</f>
        <v>35</v>
      </c>
      <c r="B37" s="10">
        <f>IF($A37=Assumptions!$B$23,Assumptions!$B$22,0)</f>
        <v>0</v>
      </c>
      <c r="C37" s="10">
        <f>IF($A37=Assumptions!$B$19,Assumptions!$B$18,0)</f>
        <v>0</v>
      </c>
      <c r="D37" s="10">
        <f>(Fleet_Schedule!$G37*Assumptions!$B$5)+SUM(B37:C37)</f>
        <v>630000</v>
      </c>
      <c r="E37" s="10">
        <f>Fleet_Schedule!G37*Assumptions!$B$13</f>
        <v>353220</v>
      </c>
      <c r="F37" s="10">
        <f>IF(AND($A37&gt;=Assumptions!$B$28,$A37&lt;Assumptions!$B$28+Assumptions!$B$26),($O37+$C37)*Assumptions!$B$27,0)</f>
        <v>1041.6641482167422</v>
      </c>
      <c r="G37" s="10">
        <f>IF(AND($A37&gt;=Assumptions!$B$28,$A37&lt;Assumptions!$B$28+Assumptions!$B$26),MIN($O37+$C37,Assumptions!$B$20-$F37),0)</f>
        <v>4726.4376983304719</v>
      </c>
      <c r="H37" s="10">
        <f>Income_Statement!$P37</f>
        <v>88236.267472570646</v>
      </c>
      <c r="I37" s="10">
        <f>IF($A37&lt;Assumptions!$B$33,Assumptions!$B$29*(Fleet_Schedule!$G37),Assumptions!$B$29*(Fleet_Schedule!$G37-(Assumptions!$B$18/Assumptions!$B$4)))</f>
        <v>50500</v>
      </c>
      <c r="J37" s="10">
        <f t="shared" si="1"/>
        <v>132275.63068088214</v>
      </c>
      <c r="K37" s="10">
        <f>Fleet_Schedule!$D37*Assumptions!$B$4</f>
        <v>0</v>
      </c>
      <c r="L37" s="10">
        <f t="shared" si="2"/>
        <v>132275.63068088214</v>
      </c>
      <c r="M37" s="10">
        <f t="shared" si="5"/>
        <v>140797.82562195964</v>
      </c>
      <c r="N37" s="10">
        <f t="shared" si="3"/>
        <v>273073.45630284178</v>
      </c>
      <c r="O37" s="10">
        <f t="shared" si="7"/>
        <v>124999.69778600906</v>
      </c>
      <c r="P37" s="10">
        <f t="shared" si="6"/>
        <v>120273.26008767859</v>
      </c>
      <c r="S37" s="14"/>
    </row>
    <row r="38" spans="1:19" x14ac:dyDescent="0.25">
      <c r="A38" s="9">
        <f>Fleet_Schedule!A38</f>
        <v>36</v>
      </c>
      <c r="B38" s="10">
        <f>IF($A38=Assumptions!$B$23,Assumptions!$B$22,0)</f>
        <v>0</v>
      </c>
      <c r="C38" s="10">
        <f>IF($A38=Assumptions!$B$19,Assumptions!$B$18,0)</f>
        <v>0</v>
      </c>
      <c r="D38" s="10">
        <f>(Fleet_Schedule!$G38*Assumptions!$B$5)+SUM(B38:C38)</f>
        <v>630000</v>
      </c>
      <c r="E38" s="10">
        <f>Fleet_Schedule!G38*Assumptions!$B$13</f>
        <v>353220</v>
      </c>
      <c r="F38" s="10">
        <f>IF(AND($A38&gt;=Assumptions!$B$28,$A38&lt;Assumptions!$B$28+Assumptions!$B$26),($O38+$C38)*Assumptions!$B$27,0)</f>
        <v>1002.2771673973216</v>
      </c>
      <c r="G38" s="10">
        <f>IF(AND($A38&gt;=Assumptions!$B$28,$A38&lt;Assumptions!$B$28+Assumptions!$B$26),MIN($O38+$C38,Assumptions!$B$20-$F38),0)</f>
        <v>4765.8246791498932</v>
      </c>
      <c r="H38" s="10">
        <f>Income_Statement!$P38</f>
        <v>88248.871306432862</v>
      </c>
      <c r="I38" s="10">
        <f>IF($A38&lt;Assumptions!$B$33,Assumptions!$B$29*(Fleet_Schedule!$G38),Assumptions!$B$29*(Fleet_Schedule!$G38-(Assumptions!$B$18/Assumptions!$B$4)))</f>
        <v>50500</v>
      </c>
      <c r="J38" s="10">
        <f t="shared" si="1"/>
        <v>132263.02684701991</v>
      </c>
      <c r="K38" s="10">
        <f>Fleet_Schedule!$D38*Assumptions!$B$4</f>
        <v>240000</v>
      </c>
      <c r="L38" s="10">
        <f t="shared" si="2"/>
        <v>-107736.97315298009</v>
      </c>
      <c r="M38" s="10">
        <f t="shared" si="5"/>
        <v>273073.45630284178</v>
      </c>
      <c r="N38" s="10">
        <f t="shared" si="3"/>
        <v>165336.48314986168</v>
      </c>
      <c r="O38" s="10">
        <f t="shared" si="7"/>
        <v>120273.26008767859</v>
      </c>
      <c r="P38" s="10">
        <f t="shared" si="6"/>
        <v>115507.43540852869</v>
      </c>
      <c r="S38" s="14"/>
    </row>
    <row r="39" spans="1:19" x14ac:dyDescent="0.25">
      <c r="A39" s="9">
        <f>Fleet_Schedule!A39</f>
        <v>37</v>
      </c>
      <c r="B39" s="10">
        <f>IF($A39=Assumptions!$B$23,Assumptions!$B$22,0)</f>
        <v>0</v>
      </c>
      <c r="C39" s="10">
        <f>IF($A39=Assumptions!$B$19,Assumptions!$B$18,0)</f>
        <v>0</v>
      </c>
      <c r="D39" s="10">
        <f>(Fleet_Schedule!$G39*Assumptions!$B$5)+SUM(B39:C39)</f>
        <v>630000</v>
      </c>
      <c r="E39" s="10">
        <f>Fleet_Schedule!G39*Assumptions!$B$13</f>
        <v>353220</v>
      </c>
      <c r="F39" s="10">
        <f>IF(AND($A39&gt;=Assumptions!$B$28,$A39&lt;Assumptions!$B$28+Assumptions!$B$26),($O39+$C39)*Assumptions!$B$27,0)</f>
        <v>962.56196173773913</v>
      </c>
      <c r="G39" s="10">
        <f>IF(AND($A39&gt;=Assumptions!$B$28,$A39&lt;Assumptions!$B$28+Assumptions!$B$26),MIN($O39+$C39,Assumptions!$B$20-$F39),0)</f>
        <v>4805.5398848094756</v>
      </c>
      <c r="H39" s="10">
        <f>Income_Statement!$P39</f>
        <v>88261.580172243921</v>
      </c>
      <c r="I39" s="10">
        <f>IF($A39&lt;Assumptions!$B$33,Assumptions!$B$29*(Fleet_Schedule!$G39),Assumptions!$B$29*(Fleet_Schedule!$G39-(Assumptions!$B$18/Assumptions!$B$4)))</f>
        <v>50500</v>
      </c>
      <c r="J39" s="10">
        <f t="shared" si="1"/>
        <v>132250.31798120885</v>
      </c>
      <c r="K39" s="10">
        <f>Fleet_Schedule!$D39*Assumptions!$B$4</f>
        <v>0</v>
      </c>
      <c r="L39" s="10">
        <f t="shared" si="2"/>
        <v>132250.31798120885</v>
      </c>
      <c r="M39" s="10">
        <f t="shared" si="5"/>
        <v>165336.48314986168</v>
      </c>
      <c r="N39" s="10">
        <f t="shared" si="3"/>
        <v>297586.80113107053</v>
      </c>
      <c r="O39" s="10">
        <f t="shared" si="7"/>
        <v>115507.43540852869</v>
      </c>
      <c r="P39" s="10">
        <f t="shared" si="6"/>
        <v>110701.89552371921</v>
      </c>
      <c r="S39" s="14"/>
    </row>
    <row r="40" spans="1:19" x14ac:dyDescent="0.25">
      <c r="A40" s="9">
        <f>Fleet_Schedule!A40</f>
        <v>38</v>
      </c>
      <c r="B40" s="10">
        <f>IF($A40=Assumptions!$B$23,Assumptions!$B$22,0)</f>
        <v>0</v>
      </c>
      <c r="C40" s="10">
        <f>IF($A40=Assumptions!$B$19,Assumptions!$B$18,0)</f>
        <v>0</v>
      </c>
      <c r="D40" s="10">
        <f>(Fleet_Schedule!$G40*Assumptions!$B$5)+SUM(B40:C40)</f>
        <v>630000</v>
      </c>
      <c r="E40" s="10">
        <f>Fleet_Schedule!G40*Assumptions!$B$13</f>
        <v>353220</v>
      </c>
      <c r="F40" s="10">
        <f>IF(AND($A40&gt;=Assumptions!$B$28,$A40&lt;Assumptions!$B$28+Assumptions!$B$26),($O40+$C40)*Assumptions!$B$27,0)</f>
        <v>922.51579603099344</v>
      </c>
      <c r="G40" s="10">
        <f>IF(AND($A40&gt;=Assumptions!$B$28,$A40&lt;Assumptions!$B$28+Assumptions!$B$26),MIN($O40+$C40,Assumptions!$B$20-$F40),0)</f>
        <v>4845.5860505162209</v>
      </c>
      <c r="H40" s="10">
        <f>Income_Statement!$P40</f>
        <v>88274.394945270091</v>
      </c>
      <c r="I40" s="10">
        <f>IF($A40&lt;Assumptions!$B$33,Assumptions!$B$29*(Fleet_Schedule!$G40),Assumptions!$B$29*(Fleet_Schedule!$G40-(Assumptions!$B$18/Assumptions!$B$4)))</f>
        <v>50500</v>
      </c>
      <c r="J40" s="10">
        <f t="shared" si="1"/>
        <v>132237.50320818269</v>
      </c>
      <c r="K40" s="10">
        <f>Fleet_Schedule!$D40*Assumptions!$B$4</f>
        <v>240000</v>
      </c>
      <c r="L40" s="10">
        <f t="shared" si="2"/>
        <v>-107762.49679181731</v>
      </c>
      <c r="M40" s="10">
        <f t="shared" si="5"/>
        <v>297586.80113107053</v>
      </c>
      <c r="N40" s="10">
        <f t="shared" si="3"/>
        <v>189824.30433925323</v>
      </c>
      <c r="O40" s="10">
        <f t="shared" si="7"/>
        <v>110701.89552371921</v>
      </c>
      <c r="P40" s="10">
        <f t="shared" si="6"/>
        <v>105856.30947320299</v>
      </c>
      <c r="S40" s="14"/>
    </row>
    <row r="41" spans="1:19" x14ac:dyDescent="0.25">
      <c r="A41" s="9">
        <f>Fleet_Schedule!A41</f>
        <v>39</v>
      </c>
      <c r="B41" s="10">
        <f>IF($A41=Assumptions!$B$23,Assumptions!$B$22,0)</f>
        <v>0</v>
      </c>
      <c r="C41" s="10">
        <f>IF($A41=Assumptions!$B$19,Assumptions!$B$18,0)</f>
        <v>0</v>
      </c>
      <c r="D41" s="10">
        <f>(Fleet_Schedule!$G41*Assumptions!$B$5)+SUM(B41:C41)</f>
        <v>750000</v>
      </c>
      <c r="E41" s="10">
        <f>Fleet_Schedule!G41*Assumptions!$B$13</f>
        <v>420500</v>
      </c>
      <c r="F41" s="10">
        <f>IF(AND($A41&gt;=Assumptions!$B$28,$A41&lt;Assumptions!$B$28+Assumptions!$B$26),($O41+$C41)*Assumptions!$B$27,0)</f>
        <v>882.13591227669156</v>
      </c>
      <c r="G41" s="10">
        <f>IF(AND($A41&gt;=Assumptions!$B$28,$A41&lt;Assumptions!$B$28+Assumptions!$B$26),MIN($O41+$C41,Assumptions!$B$20-$F41),0)</f>
        <v>4885.9659342705227</v>
      </c>
      <c r="H41" s="10">
        <f>Income_Statement!$P41</f>
        <v>105157.71650807146</v>
      </c>
      <c r="I41" s="10">
        <f>IF($A41&lt;Assumptions!$B$33,Assumptions!$B$29*(Fleet_Schedule!$G41),Assumptions!$B$29*(Fleet_Schedule!$G41-(Assumptions!$B$18/Assumptions!$B$4)))</f>
        <v>62500</v>
      </c>
      <c r="J41" s="10">
        <f t="shared" si="1"/>
        <v>156074.18164538132</v>
      </c>
      <c r="K41" s="10">
        <f>Fleet_Schedule!$D41*Assumptions!$B$4</f>
        <v>0</v>
      </c>
      <c r="L41" s="10">
        <f t="shared" si="2"/>
        <v>156074.18164538132</v>
      </c>
      <c r="M41" s="10">
        <f t="shared" si="5"/>
        <v>189824.30433925323</v>
      </c>
      <c r="N41" s="10">
        <f t="shared" si="3"/>
        <v>345898.48598463455</v>
      </c>
      <c r="O41" s="10">
        <f t="shared" si="7"/>
        <v>105856.30947320299</v>
      </c>
      <c r="P41" s="10">
        <f t="shared" si="6"/>
        <v>100970.34353893246</v>
      </c>
      <c r="S41" s="14"/>
    </row>
    <row r="42" spans="1:19" x14ac:dyDescent="0.25">
      <c r="A42" s="9">
        <f>Fleet_Schedule!A42</f>
        <v>40</v>
      </c>
      <c r="B42" s="10">
        <f>IF($A42=Assumptions!$B$23,Assumptions!$B$22,0)</f>
        <v>0</v>
      </c>
      <c r="C42" s="10">
        <f>IF($A42=Assumptions!$B$19,Assumptions!$B$18,0)</f>
        <v>0</v>
      </c>
      <c r="D42" s="10">
        <f>(Fleet_Schedule!$G42*Assumptions!$B$5)+SUM(B42:C42)</f>
        <v>600000</v>
      </c>
      <c r="E42" s="10">
        <f>Fleet_Schedule!G42*Assumptions!$B$13</f>
        <v>336400</v>
      </c>
      <c r="F42" s="10">
        <f>IF(AND($A42&gt;=Assumptions!$B$28,$A42&lt;Assumptions!$B$28+Assumptions!$B$26),($O42+$C42)*Assumptions!$B$27,0)</f>
        <v>841.41952949110384</v>
      </c>
      <c r="G42" s="10">
        <f>IF(AND($A42&gt;=Assumptions!$B$28,$A42&lt;Assumptions!$B$28+Assumptions!$B$26),MIN($O42+$C42,Assumptions!$B$20-$F42),0)</f>
        <v>4926.6823170561102</v>
      </c>
      <c r="H42" s="10">
        <f>Income_Statement!$P42</f>
        <v>84082.745750562855</v>
      </c>
      <c r="I42" s="10">
        <f>IF($A42&lt;Assumptions!$B$33,Assumptions!$B$29*(Fleet_Schedule!$G42),Assumptions!$B$29*(Fleet_Schedule!$G42-(Assumptions!$B$18/Assumptions!$B$4)))</f>
        <v>47500</v>
      </c>
      <c r="J42" s="10">
        <f t="shared" si="1"/>
        <v>126249.15240288991</v>
      </c>
      <c r="K42" s="10">
        <f>Fleet_Schedule!$D42*Assumptions!$B$4</f>
        <v>300000</v>
      </c>
      <c r="L42" s="10">
        <f t="shared" si="2"/>
        <v>-173750.84759711009</v>
      </c>
      <c r="M42" s="10">
        <f t="shared" si="5"/>
        <v>345898.48598463455</v>
      </c>
      <c r="N42" s="10">
        <f t="shared" si="3"/>
        <v>172147.63838752446</v>
      </c>
      <c r="O42" s="10">
        <f t="shared" si="7"/>
        <v>100970.34353893246</v>
      </c>
      <c r="P42" s="10">
        <f t="shared" si="6"/>
        <v>96043.661221876348</v>
      </c>
      <c r="S42" s="14"/>
    </row>
    <row r="43" spans="1:19" x14ac:dyDescent="0.25">
      <c r="A43" s="9">
        <f>Fleet_Schedule!A43</f>
        <v>41</v>
      </c>
      <c r="B43" s="10">
        <f>IF($A43=Assumptions!$B$23,Assumptions!$B$22,0)</f>
        <v>0</v>
      </c>
      <c r="C43" s="10">
        <f>IF($A43=Assumptions!$B$19,Assumptions!$B$18,0)</f>
        <v>0</v>
      </c>
      <c r="D43" s="10">
        <f>(Fleet_Schedule!$G43*Assumptions!$B$5)+SUM(B43:C43)</f>
        <v>720000</v>
      </c>
      <c r="E43" s="10">
        <f>Fleet_Schedule!G43*Assumptions!$B$13</f>
        <v>403680</v>
      </c>
      <c r="F43" s="10">
        <f>IF(AND($A43&gt;=Assumptions!$B$28,$A43&lt;Assumptions!$B$28+Assumptions!$B$26),($O43+$C43)*Assumptions!$B$27,0)</f>
        <v>800.36384351563618</v>
      </c>
      <c r="G43" s="10">
        <f>IF(AND($A43&gt;=Assumptions!$B$28,$A43&lt;Assumptions!$B$28+Assumptions!$B$26),MIN($O43+$C43,Assumptions!$B$20-$F43),0)</f>
        <v>4967.738003031578</v>
      </c>
      <c r="H43" s="10">
        <f>Income_Statement!$P43</f>
        <v>100966.283570075</v>
      </c>
      <c r="I43" s="10">
        <f>IF($A43&lt;Assumptions!$B$33,Assumptions!$B$29*(Fleet_Schedule!$G43),Assumptions!$B$29*(Fleet_Schedule!$G43-(Assumptions!$B$18/Assumptions!$B$4)))</f>
        <v>59500</v>
      </c>
      <c r="J43" s="10">
        <f t="shared" si="1"/>
        <v>150085.61458337778</v>
      </c>
      <c r="K43" s="10">
        <f>Fleet_Schedule!$D43*Assumptions!$B$4</f>
        <v>0</v>
      </c>
      <c r="L43" s="10">
        <f t="shared" si="2"/>
        <v>150085.61458337778</v>
      </c>
      <c r="M43" s="10">
        <f t="shared" si="5"/>
        <v>172147.63838752446</v>
      </c>
      <c r="N43" s="10">
        <f t="shared" si="3"/>
        <v>322233.25297090225</v>
      </c>
      <c r="O43" s="10">
        <f t="shared" si="7"/>
        <v>96043.661221876348</v>
      </c>
      <c r="P43" s="10">
        <f t="shared" si="6"/>
        <v>91075.923218844764</v>
      </c>
      <c r="S43" s="14"/>
    </row>
    <row r="44" spans="1:19" x14ac:dyDescent="0.25">
      <c r="A44" s="9">
        <f>Fleet_Schedule!A44</f>
        <v>42</v>
      </c>
      <c r="B44" s="10">
        <f>IF($A44=Assumptions!$B$23,Assumptions!$B$22,0)</f>
        <v>0</v>
      </c>
      <c r="C44" s="10">
        <f>IF($A44=Assumptions!$B$19,Assumptions!$B$18,0)</f>
        <v>0</v>
      </c>
      <c r="D44" s="10">
        <f>(Fleet_Schedule!$G44*Assumptions!$B$5)+SUM(B44:C44)</f>
        <v>600000</v>
      </c>
      <c r="E44" s="10">
        <f>Fleet_Schedule!G44*Assumptions!$B$13</f>
        <v>336400</v>
      </c>
      <c r="F44" s="10">
        <f>IF(AND($A44&gt;=Assumptions!$B$28,$A44&lt;Assumptions!$B$28+Assumptions!$B$26),($O44+$C44)*Assumptions!$B$27,0)</f>
        <v>758.96602682370633</v>
      </c>
      <c r="G44" s="10">
        <f>IF(AND($A44&gt;=Assumptions!$B$28,$A44&lt;Assumptions!$B$28+Assumptions!$B$26),MIN($O44+$C44,Assumptions!$B$20-$F44),0)</f>
        <v>5009.1358197235077</v>
      </c>
      <c r="H44" s="10">
        <f>Income_Statement!$P44</f>
        <v>84109.130871416404</v>
      </c>
      <c r="I44" s="10">
        <f>IF($A44&lt;Assumptions!$B$33,Assumptions!$B$29*(Fleet_Schedule!$G44),Assumptions!$B$29*(Fleet_Schedule!$G44-(Assumptions!$B$18/Assumptions!$B$4)))</f>
        <v>47500</v>
      </c>
      <c r="J44" s="10">
        <f t="shared" si="1"/>
        <v>126222.76728203637</v>
      </c>
      <c r="K44" s="10">
        <f>Fleet_Schedule!$D44*Assumptions!$B$4</f>
        <v>300000</v>
      </c>
      <c r="L44" s="10">
        <f t="shared" si="2"/>
        <v>-173777.23271796363</v>
      </c>
      <c r="M44" s="10">
        <f t="shared" si="5"/>
        <v>322233.25297090225</v>
      </c>
      <c r="N44" s="10">
        <f t="shared" si="3"/>
        <v>148456.02025293862</v>
      </c>
      <c r="O44" s="10">
        <f t="shared" si="7"/>
        <v>91075.923218844764</v>
      </c>
      <c r="P44" s="10">
        <f t="shared" si="6"/>
        <v>86066.787399121255</v>
      </c>
      <c r="S44" s="14"/>
    </row>
    <row r="45" spans="1:19" x14ac:dyDescent="0.25">
      <c r="A45" s="9">
        <f>Fleet_Schedule!A45</f>
        <v>43</v>
      </c>
      <c r="B45" s="10">
        <f>IF($A45=Assumptions!$B$23,Assumptions!$B$22,0)</f>
        <v>0</v>
      </c>
      <c r="C45" s="10">
        <f>IF($A45=Assumptions!$B$19,Assumptions!$B$18,0)</f>
        <v>0</v>
      </c>
      <c r="D45" s="10">
        <f>(Fleet_Schedule!$G45*Assumptions!$B$5)+SUM(B45:C45)</f>
        <v>750000</v>
      </c>
      <c r="E45" s="10">
        <f>Fleet_Schedule!G45*Assumptions!$B$13</f>
        <v>420500</v>
      </c>
      <c r="F45" s="10">
        <f>IF(AND($A45&gt;=Assumptions!$B$28,$A45&lt;Assumptions!$B$28+Assumptions!$B$26),($O45+$C45)*Assumptions!$B$27,0)</f>
        <v>717.22322832601049</v>
      </c>
      <c r="G45" s="10">
        <f>IF(AND($A45&gt;=Assumptions!$B$28,$A45&lt;Assumptions!$B$28+Assumptions!$B$26),MIN($O45+$C45,Assumptions!$B$20-$F45),0)</f>
        <v>5050.8786182212043</v>
      </c>
      <c r="H45" s="10">
        <f>Income_Statement!$P45</f>
        <v>105210.48856693567</v>
      </c>
      <c r="I45" s="10">
        <f>IF($A45&lt;Assumptions!$B$33,Assumptions!$B$29*(Fleet_Schedule!$G45),Assumptions!$B$29*(Fleet_Schedule!$G45-(Assumptions!$B$18/Assumptions!$B$4)))</f>
        <v>62500</v>
      </c>
      <c r="J45" s="10">
        <f t="shared" si="1"/>
        <v>156021.40958651711</v>
      </c>
      <c r="K45" s="10">
        <f>Fleet_Schedule!$D45*Assumptions!$B$4</f>
        <v>0</v>
      </c>
      <c r="L45" s="10">
        <f t="shared" si="2"/>
        <v>156021.40958651711</v>
      </c>
      <c r="M45" s="10">
        <f t="shared" si="5"/>
        <v>148456.02025293862</v>
      </c>
      <c r="N45" s="10">
        <f t="shared" si="3"/>
        <v>304477.42983945576</v>
      </c>
      <c r="O45" s="10">
        <f t="shared" si="7"/>
        <v>86066.787399121255</v>
      </c>
      <c r="P45" s="10">
        <f t="shared" si="6"/>
        <v>81015.908780900048</v>
      </c>
      <c r="S45" s="14"/>
    </row>
    <row r="46" spans="1:19" x14ac:dyDescent="0.25">
      <c r="A46" s="9">
        <f>Fleet_Schedule!A46</f>
        <v>44</v>
      </c>
      <c r="B46" s="10">
        <f>IF($A46=Assumptions!$B$23,Assumptions!$B$22,0)</f>
        <v>0</v>
      </c>
      <c r="C46" s="10">
        <f>IF($A46=Assumptions!$B$19,Assumptions!$B$18,0)</f>
        <v>0</v>
      </c>
      <c r="D46" s="10">
        <f>(Fleet_Schedule!$G46*Assumptions!$B$5)+SUM(B46:C46)</f>
        <v>630000</v>
      </c>
      <c r="E46" s="10">
        <f>Fleet_Schedule!G46*Assumptions!$B$13</f>
        <v>353220</v>
      </c>
      <c r="F46" s="10">
        <f>IF(AND($A46&gt;=Assumptions!$B$28,$A46&lt;Assumptions!$B$28+Assumptions!$B$26),($O46+$C46)*Assumptions!$B$27,0)</f>
        <v>675.13257317416708</v>
      </c>
      <c r="G46" s="10">
        <f>IF(AND($A46&gt;=Assumptions!$B$28,$A46&lt;Assumptions!$B$28+Assumptions!$B$26),MIN($O46+$C46,Assumptions!$B$20-$F46),0)</f>
        <v>5092.9692733730471</v>
      </c>
      <c r="H46" s="10">
        <f>Income_Statement!$P46</f>
        <v>88353.55757658428</v>
      </c>
      <c r="I46" s="10">
        <f>IF($A46&lt;Assumptions!$B$33,Assumptions!$B$29*(Fleet_Schedule!$G46),Assumptions!$B$29*(Fleet_Schedule!$G46-(Assumptions!$B$18/Assumptions!$B$4)))</f>
        <v>50500</v>
      </c>
      <c r="J46" s="10">
        <f t="shared" si="1"/>
        <v>132158.34057686856</v>
      </c>
      <c r="K46" s="10">
        <f>Fleet_Schedule!$D46*Assumptions!$B$4</f>
        <v>300000</v>
      </c>
      <c r="L46" s="10">
        <f t="shared" si="2"/>
        <v>-167841.65942313144</v>
      </c>
      <c r="M46" s="10">
        <f t="shared" si="5"/>
        <v>304477.42983945576</v>
      </c>
      <c r="N46" s="10">
        <f t="shared" si="3"/>
        <v>136635.77041632432</v>
      </c>
      <c r="O46" s="10">
        <f t="shared" si="7"/>
        <v>81015.908780900048</v>
      </c>
      <c r="P46" s="10">
        <f t="shared" si="6"/>
        <v>75922.939507527</v>
      </c>
      <c r="S46" s="14"/>
    </row>
    <row r="47" spans="1:19" x14ac:dyDescent="0.25">
      <c r="A47" s="9">
        <f>Fleet_Schedule!A47</f>
        <v>45</v>
      </c>
      <c r="B47" s="10">
        <f>IF($A47=Assumptions!$B$23,Assumptions!$B$22,0)</f>
        <v>0</v>
      </c>
      <c r="C47" s="10">
        <f>IF($A47=Assumptions!$B$19,Assumptions!$B$18,0)</f>
        <v>0</v>
      </c>
      <c r="D47" s="10">
        <f>(Fleet_Schedule!$G47*Assumptions!$B$5)+SUM(B47:C47)</f>
        <v>780000</v>
      </c>
      <c r="E47" s="10">
        <f>Fleet_Schedule!G47*Assumptions!$B$13</f>
        <v>437320</v>
      </c>
      <c r="F47" s="10">
        <f>IF(AND($A47&gt;=Assumptions!$B$28,$A47&lt;Assumptions!$B$28+Assumptions!$B$26),($O47+$C47)*Assumptions!$B$27,0)</f>
        <v>632.69116256272503</v>
      </c>
      <c r="G47" s="10">
        <f>IF(AND($A47&gt;=Assumptions!$B$28,$A47&lt;Assumptions!$B$28+Assumptions!$B$26),MIN($O47+$C47,Assumptions!$B$20-$F47),0)</f>
        <v>5135.410683984489</v>
      </c>
      <c r="H47" s="10">
        <f>Income_Statement!$P47</f>
        <v>109455.13882797994</v>
      </c>
      <c r="I47" s="10">
        <f>IF($A47&lt;Assumptions!$B$33,Assumptions!$B$29*(Fleet_Schedule!$G47),Assumptions!$B$29*(Fleet_Schedule!$G47-(Assumptions!$B$18/Assumptions!$B$4)))</f>
        <v>65500</v>
      </c>
      <c r="J47" s="10">
        <f t="shared" si="1"/>
        <v>161956.7593254729</v>
      </c>
      <c r="K47" s="10">
        <f>Fleet_Schedule!$D47*Assumptions!$B$4</f>
        <v>0</v>
      </c>
      <c r="L47" s="10">
        <f t="shared" si="2"/>
        <v>161956.7593254729</v>
      </c>
      <c r="M47" s="10">
        <f t="shared" si="5"/>
        <v>136635.77041632432</v>
      </c>
      <c r="N47" s="10">
        <f t="shared" si="3"/>
        <v>298592.52974179725</v>
      </c>
      <c r="O47" s="10">
        <f t="shared" si="7"/>
        <v>75922.939507527</v>
      </c>
      <c r="P47" s="10">
        <f t="shared" si="6"/>
        <v>70787.528823542511</v>
      </c>
      <c r="S47" s="14"/>
    </row>
    <row r="48" spans="1:19" x14ac:dyDescent="0.25">
      <c r="A48" s="9">
        <f>Fleet_Schedule!A48</f>
        <v>46</v>
      </c>
      <c r="B48" s="10">
        <f>IF($A48=Assumptions!$B$23,Assumptions!$B$22,0)</f>
        <v>0</v>
      </c>
      <c r="C48" s="10">
        <f>IF($A48=Assumptions!$B$19,Assumptions!$B$18,0)</f>
        <v>0</v>
      </c>
      <c r="D48" s="10">
        <f>(Fleet_Schedule!$G48*Assumptions!$B$5)+SUM(B48:C48)</f>
        <v>660000</v>
      </c>
      <c r="E48" s="10">
        <f>Fleet_Schedule!G48*Assumptions!$B$13</f>
        <v>370040</v>
      </c>
      <c r="F48" s="10">
        <f>IF(AND($A48&gt;=Assumptions!$B$28,$A48&lt;Assumptions!$B$28+Assumptions!$B$26),($O48+$C48)*Assumptions!$B$27,0)</f>
        <v>589.89607352952089</v>
      </c>
      <c r="G48" s="10">
        <f>IF(AND($A48&gt;=Assumptions!$B$28,$A48&lt;Assumptions!$B$28+Assumptions!$B$26),MIN($O48+$C48,Assumptions!$B$20-$F48),0)</f>
        <v>5178.205773017693</v>
      </c>
      <c r="H48" s="10">
        <f>Income_Statement!$P48</f>
        <v>92598.433256470569</v>
      </c>
      <c r="I48" s="10">
        <f>IF($A48&lt;Assumptions!$B$33,Assumptions!$B$29*(Fleet_Schedule!$G48),Assumptions!$B$29*(Fleet_Schedule!$G48-(Assumptions!$B$18/Assumptions!$B$4)))</f>
        <v>53500</v>
      </c>
      <c r="J48" s="10">
        <f t="shared" si="1"/>
        <v>138093.46489698222</v>
      </c>
      <c r="K48" s="10">
        <f>Fleet_Schedule!$D48*Assumptions!$B$4</f>
        <v>240000</v>
      </c>
      <c r="L48" s="10">
        <f t="shared" si="2"/>
        <v>-101906.53510301778</v>
      </c>
      <c r="M48" s="10">
        <f t="shared" si="5"/>
        <v>298592.52974179725</v>
      </c>
      <c r="N48" s="10">
        <f t="shared" si="3"/>
        <v>196685.99463877946</v>
      </c>
      <c r="O48" s="10">
        <f t="shared" si="7"/>
        <v>70787.528823542511</v>
      </c>
      <c r="P48" s="10">
        <f t="shared" si="6"/>
        <v>65609.323050524821</v>
      </c>
      <c r="S48" s="14"/>
    </row>
    <row r="49" spans="1:19" x14ac:dyDescent="0.25">
      <c r="A49" s="9">
        <f>Fleet_Schedule!A49</f>
        <v>47</v>
      </c>
      <c r="B49" s="10">
        <f>IF($A49=Assumptions!$B$23,Assumptions!$B$22,0)</f>
        <v>0</v>
      </c>
      <c r="C49" s="10">
        <f>IF($A49=Assumptions!$B$19,Assumptions!$B$18,0)</f>
        <v>0</v>
      </c>
      <c r="D49" s="10">
        <f>(Fleet_Schedule!$G49*Assumptions!$B$5)+SUM(B49:C49)</f>
        <v>810000</v>
      </c>
      <c r="E49" s="10">
        <f>Fleet_Schedule!G49*Assumptions!$B$13</f>
        <v>454140</v>
      </c>
      <c r="F49" s="10">
        <f>IF(AND($A49&gt;=Assumptions!$B$28,$A49&lt;Assumptions!$B$28+Assumptions!$B$26),($O49+$C49)*Assumptions!$B$27,0)</f>
        <v>546.74435875437348</v>
      </c>
      <c r="G49" s="10">
        <f>IF(AND($A49&gt;=Assumptions!$B$28,$A49&lt;Assumptions!$B$28+Assumptions!$B$26),MIN($O49+$C49,Assumptions!$B$20-$F49),0)</f>
        <v>5221.3574877928404</v>
      </c>
      <c r="H49" s="10">
        <f>Income_Statement!$P49</f>
        <v>113700.2418051986</v>
      </c>
      <c r="I49" s="10">
        <f>IF($A49&lt;Assumptions!$B$33,Assumptions!$B$29*(Fleet_Schedule!$G49),Assumptions!$B$29*(Fleet_Schedule!$G49-(Assumptions!$B$18/Assumptions!$B$4)))</f>
        <v>68500</v>
      </c>
      <c r="J49" s="10">
        <f t="shared" si="1"/>
        <v>167891.65634825418</v>
      </c>
      <c r="K49" s="10">
        <f>Fleet_Schedule!$D49*Assumptions!$B$4</f>
        <v>0</v>
      </c>
      <c r="L49" s="10">
        <f t="shared" si="2"/>
        <v>167891.65634825418</v>
      </c>
      <c r="M49" s="10">
        <f t="shared" si="5"/>
        <v>196685.99463877946</v>
      </c>
      <c r="N49" s="10">
        <f t="shared" si="3"/>
        <v>364577.65098703362</v>
      </c>
      <c r="O49" s="10">
        <f t="shared" si="7"/>
        <v>65609.323050524821</v>
      </c>
      <c r="P49" s="10">
        <f t="shared" si="6"/>
        <v>60387.965562731981</v>
      </c>
      <c r="S49" s="14"/>
    </row>
    <row r="50" spans="1:19" x14ac:dyDescent="0.25">
      <c r="A50" s="9">
        <f>Fleet_Schedule!A50</f>
        <v>48</v>
      </c>
      <c r="B50" s="10">
        <f>IF($A50=Assumptions!$B$23,Assumptions!$B$22,0)</f>
        <v>0</v>
      </c>
      <c r="C50" s="10">
        <f>IF($A50=Assumptions!$B$19,Assumptions!$B$18,0)</f>
        <v>0</v>
      </c>
      <c r="D50" s="10">
        <f>(Fleet_Schedule!$G50*Assumptions!$B$5)+SUM(B50:C50)</f>
        <v>690000</v>
      </c>
      <c r="E50" s="10">
        <f>Fleet_Schedule!G50*Assumptions!$B$13</f>
        <v>386860</v>
      </c>
      <c r="F50" s="10">
        <f>IF(AND($A50&gt;=Assumptions!$B$28,$A50&lt;Assumptions!$B$28+Assumptions!$B$26),($O50+$C50)*Assumptions!$B$27,0)</f>
        <v>503.23304635609981</v>
      </c>
      <c r="G50" s="10">
        <f>IF(AND($A50&gt;=Assumptions!$B$28,$A50&lt;Assumptions!$B$28+Assumptions!$B$26),MIN($O50+$C50,Assumptions!$B$20-$F50),0)</f>
        <v>5264.8688001911141</v>
      </c>
      <c r="H50" s="10">
        <f>Income_Statement!$P50</f>
        <v>96843.765425166042</v>
      </c>
      <c r="I50" s="10">
        <f>IF($A50&lt;Assumptions!$B$33,Assumptions!$B$29*(Fleet_Schedule!$G50),Assumptions!$B$29*(Fleet_Schedule!$G50-(Assumptions!$B$18/Assumptions!$B$4)))</f>
        <v>56500</v>
      </c>
      <c r="J50" s="10">
        <f t="shared" si="1"/>
        <v>144028.13272828673</v>
      </c>
      <c r="K50" s="10">
        <f>Fleet_Schedule!$D50*Assumptions!$B$4</f>
        <v>360000</v>
      </c>
      <c r="L50" s="10">
        <f t="shared" si="2"/>
        <v>-215971.86727171327</v>
      </c>
      <c r="M50" s="10">
        <f t="shared" si="5"/>
        <v>364577.65098703362</v>
      </c>
      <c r="N50" s="10">
        <f t="shared" si="3"/>
        <v>148605.78371532034</v>
      </c>
      <c r="O50" s="10">
        <f t="shared" si="7"/>
        <v>60387.965562731981</v>
      </c>
      <c r="P50" s="10">
        <f t="shared" si="6"/>
        <v>55123.096762540867</v>
      </c>
      <c r="Q50" s="14"/>
      <c r="S50" s="14"/>
    </row>
    <row r="51" spans="1:19" x14ac:dyDescent="0.25">
      <c r="A51" s="9">
        <f>Fleet_Schedule!A51</f>
        <v>49</v>
      </c>
      <c r="B51" s="10">
        <f>IF($A51=Assumptions!$B$23,Assumptions!$B$22,0)</f>
        <v>0</v>
      </c>
      <c r="C51" s="10">
        <f>IF($A51=Assumptions!$B$19,Assumptions!$B$18,0)</f>
        <v>0</v>
      </c>
      <c r="D51" s="10">
        <f>(Fleet_Schedule!$G51*Assumptions!$B$5)+SUM(B51:C51)</f>
        <v>810000</v>
      </c>
      <c r="E51" s="10">
        <f>Fleet_Schedule!G51*Assumptions!$B$13</f>
        <v>454140</v>
      </c>
      <c r="F51" s="10">
        <f>IF(AND($A51&gt;=Assumptions!$B$28,$A51&lt;Assumptions!$B$28+Assumptions!$B$26),($O51+$C51)*Assumptions!$B$27,0)</f>
        <v>459.35913968784052</v>
      </c>
      <c r="G51" s="10">
        <f>IF(AND($A51&gt;=Assumptions!$B$28,$A51&lt;Assumptions!$B$28+Assumptions!$B$26),MIN($O51+$C51,Assumptions!$B$20-$F51),0)</f>
        <v>5308.7427068593734</v>
      </c>
      <c r="H51" s="10">
        <f>Income_Statement!$P51</f>
        <v>113728.20507529989</v>
      </c>
      <c r="I51" s="10">
        <f>IF($A51&lt;Assumptions!$B$33,Assumptions!$B$29*(Fleet_Schedule!$G51),Assumptions!$B$29*(Fleet_Schedule!$G51-(Assumptions!$B$18/Assumptions!$B$4)))</f>
        <v>68500</v>
      </c>
      <c r="J51" s="10">
        <f t="shared" si="1"/>
        <v>167863.69307815289</v>
      </c>
      <c r="K51" s="10">
        <f>Fleet_Schedule!$D51*Assumptions!$B$4</f>
        <v>0</v>
      </c>
      <c r="L51" s="10">
        <f t="shared" si="2"/>
        <v>167863.69307815289</v>
      </c>
      <c r="M51" s="10">
        <f t="shared" si="5"/>
        <v>148605.78371532034</v>
      </c>
      <c r="N51" s="10">
        <f t="shared" si="3"/>
        <v>316469.47679347324</v>
      </c>
      <c r="O51" s="10">
        <f t="shared" si="7"/>
        <v>55123.096762540867</v>
      </c>
      <c r="P51" s="10">
        <f t="shared" si="6"/>
        <v>49814.354055681491</v>
      </c>
      <c r="S51" s="14"/>
    </row>
    <row r="52" spans="1:19" x14ac:dyDescent="0.25">
      <c r="A52" s="9">
        <f>Fleet_Schedule!A52</f>
        <v>50</v>
      </c>
      <c r="B52" s="10">
        <f>IF($A52=Assumptions!$B$23,Assumptions!$B$22,0)</f>
        <v>0</v>
      </c>
      <c r="C52" s="10">
        <f>IF($A52=Assumptions!$B$19,Assumptions!$B$18,0)</f>
        <v>0</v>
      </c>
      <c r="D52" s="10">
        <f>(Fleet_Schedule!$G52*Assumptions!$B$5)+SUM(B52:C52)</f>
        <v>690000</v>
      </c>
      <c r="E52" s="10">
        <f>Fleet_Schedule!G52*Assumptions!$B$13</f>
        <v>386860</v>
      </c>
      <c r="F52" s="10">
        <f>IF(AND($A52&gt;=Assumptions!$B$28,$A52&lt;Assumptions!$B$28+Assumptions!$B$26),($O52+$C52)*Assumptions!$B$27,0)</f>
        <v>415.1196171306791</v>
      </c>
      <c r="G52" s="10">
        <f>IF(AND($A52&gt;=Assumptions!$B$28,$A52&lt;Assumptions!$B$28+Assumptions!$B$26),MIN($O52+$C52,Assumptions!$B$20-$F52),0)</f>
        <v>5352.9822294165351</v>
      </c>
      <c r="H52" s="10">
        <f>Income_Statement!$P52</f>
        <v>96871.961722518186</v>
      </c>
      <c r="I52" s="10">
        <f>IF($A52&lt;Assumptions!$B$33,Assumptions!$B$29*(Fleet_Schedule!$G52),Assumptions!$B$29*(Fleet_Schedule!$G52-(Assumptions!$B$18/Assumptions!$B$4)))</f>
        <v>56500</v>
      </c>
      <c r="J52" s="10">
        <f t="shared" si="1"/>
        <v>143999.93643093458</v>
      </c>
      <c r="K52" s="10">
        <f>Fleet_Schedule!$D52*Assumptions!$B$4</f>
        <v>300000</v>
      </c>
      <c r="L52" s="10">
        <f t="shared" si="2"/>
        <v>-156000.06356906542</v>
      </c>
      <c r="M52" s="10">
        <f t="shared" si="5"/>
        <v>316469.47679347324</v>
      </c>
      <c r="N52" s="10">
        <f t="shared" si="3"/>
        <v>160469.41322440782</v>
      </c>
      <c r="O52" s="10">
        <f t="shared" si="7"/>
        <v>49814.354055681491</v>
      </c>
      <c r="P52" s="10">
        <f t="shared" si="6"/>
        <v>44461.371826264956</v>
      </c>
      <c r="S52" s="14"/>
    </row>
    <row r="53" spans="1:19" x14ac:dyDescent="0.25">
      <c r="A53" s="9">
        <f>Fleet_Schedule!A53</f>
        <v>51</v>
      </c>
      <c r="B53" s="10">
        <f>IF($A53=Assumptions!$B$23,Assumptions!$B$22,0)</f>
        <v>0</v>
      </c>
      <c r="C53" s="10">
        <f>IF($A53=Assumptions!$B$19,Assumptions!$B$18,0)</f>
        <v>0</v>
      </c>
      <c r="D53" s="10">
        <f>(Fleet_Schedule!$G53*Assumptions!$B$5)+SUM(B53:C53)</f>
        <v>870000</v>
      </c>
      <c r="E53" s="10">
        <f>Fleet_Schedule!G53*Assumptions!$B$13</f>
        <v>487780</v>
      </c>
      <c r="F53" s="10">
        <f>IF(AND($A53&gt;=Assumptions!$B$28,$A53&lt;Assumptions!$B$28+Assumptions!$B$26),($O53+$C53)*Assumptions!$B$27,0)</f>
        <v>370.5114318855413</v>
      </c>
      <c r="G53" s="10">
        <f>IF(AND($A53&gt;=Assumptions!$B$28,$A53&lt;Assumptions!$B$28+Assumptions!$B$26),MIN($O53+$C53,Assumptions!$B$20-$F53),0)</f>
        <v>5397.5904146616731</v>
      </c>
      <c r="H53" s="10">
        <f>Income_Statement!$P53</f>
        <v>122191.83634179663</v>
      </c>
      <c r="I53" s="10">
        <f>IF($A53&lt;Assumptions!$B$33,Assumptions!$B$29*(Fleet_Schedule!$G53),Assumptions!$B$29*(Fleet_Schedule!$G53-(Assumptions!$B$18/Assumptions!$B$4)))</f>
        <v>74500</v>
      </c>
      <c r="J53" s="10">
        <f t="shared" si="1"/>
        <v>179760.06181165617</v>
      </c>
      <c r="K53" s="10">
        <f>Fleet_Schedule!$D53*Assumptions!$B$4</f>
        <v>0</v>
      </c>
      <c r="L53" s="10">
        <f t="shared" si="2"/>
        <v>179760.06181165617</v>
      </c>
      <c r="M53" s="10">
        <f t="shared" si="5"/>
        <v>160469.41322440782</v>
      </c>
      <c r="N53" s="10">
        <f t="shared" si="3"/>
        <v>340229.47503606399</v>
      </c>
      <c r="O53" s="10">
        <f t="shared" si="7"/>
        <v>44461.371826264956</v>
      </c>
      <c r="P53" s="10">
        <f t="shared" si="6"/>
        <v>39063.781411603282</v>
      </c>
      <c r="S53" s="14"/>
    </row>
    <row r="54" spans="1:19" x14ac:dyDescent="0.25">
      <c r="A54" s="9">
        <f>Fleet_Schedule!A54</f>
        <v>52</v>
      </c>
      <c r="B54" s="10">
        <f>IF($A54=Assumptions!$B$23,Assumptions!$B$22,0)</f>
        <v>0</v>
      </c>
      <c r="C54" s="10">
        <f>IF($A54=Assumptions!$B$19,Assumptions!$B$18,0)</f>
        <v>0</v>
      </c>
      <c r="D54" s="10">
        <f>(Fleet_Schedule!$G54*Assumptions!$B$5)+SUM(B54:C54)</f>
        <v>750000</v>
      </c>
      <c r="E54" s="10">
        <f>Fleet_Schedule!G54*Assumptions!$B$13</f>
        <v>420500</v>
      </c>
      <c r="F54" s="10">
        <f>IF(AND($A54&gt;=Assumptions!$B$28,$A54&lt;Assumptions!$B$28+Assumptions!$B$26),($O54+$C54)*Assumptions!$B$27,0)</f>
        <v>325.5315117633607</v>
      </c>
      <c r="G54" s="10">
        <f>IF(AND($A54&gt;=Assumptions!$B$28,$A54&lt;Assumptions!$B$28+Assumptions!$B$26),MIN($O54+$C54,Assumptions!$B$20-$F54),0)</f>
        <v>5442.5703347838535</v>
      </c>
      <c r="H54" s="10">
        <f>Income_Statement!$P54</f>
        <v>105335.82991623573</v>
      </c>
      <c r="I54" s="10">
        <f>IF($A54&lt;Assumptions!$B$33,Assumptions!$B$29*(Fleet_Schedule!$G54),Assumptions!$B$29*(Fleet_Schedule!$G54-(Assumptions!$B$18/Assumptions!$B$4)))</f>
        <v>62500</v>
      </c>
      <c r="J54" s="10">
        <f t="shared" si="1"/>
        <v>155896.06823721706</v>
      </c>
      <c r="K54" s="10">
        <f>Fleet_Schedule!$D54*Assumptions!$B$4</f>
        <v>300000</v>
      </c>
      <c r="L54" s="10">
        <f t="shared" si="2"/>
        <v>-144103.93176278294</v>
      </c>
      <c r="M54" s="10">
        <f t="shared" si="5"/>
        <v>340229.47503606399</v>
      </c>
      <c r="N54" s="10">
        <f t="shared" si="3"/>
        <v>196125.54327328104</v>
      </c>
      <c r="O54" s="10">
        <f t="shared" si="7"/>
        <v>39063.781411603282</v>
      </c>
      <c r="P54" s="10">
        <f t="shared" si="6"/>
        <v>33621.211076819425</v>
      </c>
      <c r="S54" s="14"/>
    </row>
    <row r="55" spans="1:19" x14ac:dyDescent="0.25">
      <c r="A55" s="9">
        <f>Fleet_Schedule!A55</f>
        <v>53</v>
      </c>
      <c r="B55" s="10">
        <f>IF($A55=Assumptions!$B$23,Assumptions!$B$22,0)</f>
        <v>0</v>
      </c>
      <c r="C55" s="10">
        <f>IF($A55=Assumptions!$B$19,Assumptions!$B$18,0)</f>
        <v>0</v>
      </c>
      <c r="D55" s="10">
        <f>(Fleet_Schedule!$G55*Assumptions!$B$5)+SUM(B55:C55)</f>
        <v>900000</v>
      </c>
      <c r="E55" s="10">
        <f>Fleet_Schedule!G55*Assumptions!$B$13</f>
        <v>504600</v>
      </c>
      <c r="F55" s="10">
        <f>IF(AND($A55&gt;=Assumptions!$B$28,$A55&lt;Assumptions!$B$28+Assumptions!$B$26),($O55+$C55)*Assumptions!$B$27,0)</f>
        <v>280.17675897349523</v>
      </c>
      <c r="G55" s="10">
        <f>IF(AND($A55&gt;=Assumptions!$B$28,$A55&lt;Assumptions!$B$28+Assumptions!$B$26),MIN($O55+$C55,Assumptions!$B$20-$F55),0)</f>
        <v>5487.9250875737189</v>
      </c>
      <c r="H55" s="10">
        <f>Income_Statement!$P55</f>
        <v>126438.34343712848</v>
      </c>
      <c r="I55" s="10">
        <f>IF($A55&lt;Assumptions!$B$33,Assumptions!$B$29*(Fleet_Schedule!$G55),Assumptions!$B$29*(Fleet_Schedule!$G55-(Assumptions!$B$18/Assumptions!$B$4)))</f>
        <v>77500</v>
      </c>
      <c r="J55" s="10">
        <f t="shared" si="1"/>
        <v>185693.55471632432</v>
      </c>
      <c r="K55" s="10">
        <f>Fleet_Schedule!$D55*Assumptions!$B$4</f>
        <v>0</v>
      </c>
      <c r="L55" s="10">
        <f t="shared" si="2"/>
        <v>185693.55471632432</v>
      </c>
      <c r="M55" s="10">
        <f t="shared" si="5"/>
        <v>196125.54327328104</v>
      </c>
      <c r="N55" s="10">
        <f t="shared" si="3"/>
        <v>381819.09798960539</v>
      </c>
      <c r="O55" s="10">
        <f t="shared" si="7"/>
        <v>33621.211076819425</v>
      </c>
      <c r="P55" s="10">
        <f t="shared" si="6"/>
        <v>28133.285989245705</v>
      </c>
      <c r="S55" s="14"/>
    </row>
    <row r="56" spans="1:19" x14ac:dyDescent="0.25">
      <c r="A56" s="9">
        <f>Fleet_Schedule!A56</f>
        <v>54</v>
      </c>
      <c r="B56" s="10">
        <f>IF($A56=Assumptions!$B$23,Assumptions!$B$22,0)</f>
        <v>0</v>
      </c>
      <c r="C56" s="10">
        <f>IF($A56=Assumptions!$B$19,Assumptions!$B$18,0)</f>
        <v>0</v>
      </c>
      <c r="D56" s="10">
        <f>(Fleet_Schedule!$G56*Assumptions!$B$5)+SUM(B56:C56)</f>
        <v>750000</v>
      </c>
      <c r="E56" s="10">
        <f>Fleet_Schedule!G56*Assumptions!$B$13</f>
        <v>420500</v>
      </c>
      <c r="F56" s="10">
        <f>IF(AND($A56&gt;=Assumptions!$B$28,$A56&lt;Assumptions!$B$28+Assumptions!$B$26),($O56+$C56)*Assumptions!$B$27,0)</f>
        <v>234.44404991038087</v>
      </c>
      <c r="G56" s="10">
        <f>IF(AND($A56&gt;=Assumptions!$B$28,$A56&lt;Assumptions!$B$28+Assumptions!$B$26),MIN($O56+$C56,Assumptions!$B$20-$F56),0)</f>
        <v>5533.6577966368332</v>
      </c>
      <c r="H56" s="10">
        <f>Income_Statement!$P56</f>
        <v>105364.97790402867</v>
      </c>
      <c r="I56" s="10">
        <f>IF($A56&lt;Assumptions!$B$33,Assumptions!$B$29*(Fleet_Schedule!$G56),Assumptions!$B$29*(Fleet_Schedule!$G56-(Assumptions!$B$18/Assumptions!$B$4)))</f>
        <v>62500</v>
      </c>
      <c r="J56" s="10">
        <f t="shared" si="1"/>
        <v>155866.92024942412</v>
      </c>
      <c r="K56" s="10">
        <f>Fleet_Schedule!$D56*Assumptions!$B$4</f>
        <v>360000</v>
      </c>
      <c r="L56" s="10">
        <f t="shared" si="2"/>
        <v>-204133.07975057588</v>
      </c>
      <c r="M56" s="10">
        <f t="shared" si="5"/>
        <v>381819.09798960539</v>
      </c>
      <c r="N56" s="10">
        <f t="shared" si="3"/>
        <v>177686.01823902951</v>
      </c>
      <c r="O56" s="10">
        <f t="shared" si="7"/>
        <v>28133.285989245705</v>
      </c>
      <c r="P56" s="10">
        <f t="shared" si="6"/>
        <v>22599.62819260887</v>
      </c>
      <c r="S56" s="14"/>
    </row>
    <row r="57" spans="1:19" x14ac:dyDescent="0.25">
      <c r="A57" s="9">
        <f>Fleet_Schedule!A57</f>
        <v>55</v>
      </c>
      <c r="B57" s="10">
        <f>IF($A57=Assumptions!$B$23,Assumptions!$B$22,0)</f>
        <v>0</v>
      </c>
      <c r="C57" s="10">
        <f>IF($A57=Assumptions!$B$19,Assumptions!$B$18,0)</f>
        <v>0</v>
      </c>
      <c r="D57" s="10">
        <f>(Fleet_Schedule!$G57*Assumptions!$B$5)+SUM(B57:C57)</f>
        <v>900000</v>
      </c>
      <c r="E57" s="10">
        <f>Fleet_Schedule!G57*Assumptions!$B$13</f>
        <v>504600</v>
      </c>
      <c r="F57" s="10">
        <f>IF(AND($A57&gt;=Assumptions!$B$28,$A57&lt;Assumptions!$B$28+Assumptions!$B$26),($O57+$C57)*Assumptions!$B$27,0)</f>
        <v>188.33023493840724</v>
      </c>
      <c r="G57" s="10">
        <f>IF(AND($A57&gt;=Assumptions!$B$28,$A57&lt;Assumptions!$B$28+Assumptions!$B$26),MIN($O57+$C57,Assumptions!$B$20-$F57),0)</f>
        <v>5579.7716116088068</v>
      </c>
      <c r="H57" s="10">
        <f>Income_Statement!$P57</f>
        <v>126467.73432481971</v>
      </c>
      <c r="I57" s="10">
        <f>IF($A57&lt;Assumptions!$B$33,Assumptions!$B$29*(Fleet_Schedule!$G57),Assumptions!$B$29*(Fleet_Schedule!$G57-(Assumptions!$B$18/Assumptions!$B$4)))</f>
        <v>77500</v>
      </c>
      <c r="J57" s="10">
        <f t="shared" si="1"/>
        <v>185664.16382863309</v>
      </c>
      <c r="K57" s="10">
        <f>Fleet_Schedule!$D57*Assumptions!$B$4</f>
        <v>0</v>
      </c>
      <c r="L57" s="10">
        <f t="shared" si="2"/>
        <v>185664.16382863309</v>
      </c>
      <c r="M57" s="10">
        <f t="shared" si="5"/>
        <v>177686.01823902951</v>
      </c>
      <c r="N57" s="10">
        <f t="shared" si="3"/>
        <v>363350.18206766259</v>
      </c>
      <c r="O57" s="10">
        <f t="shared" si="7"/>
        <v>22599.62819260887</v>
      </c>
      <c r="P57" s="10">
        <f t="shared" si="6"/>
        <v>17019.856581000065</v>
      </c>
      <c r="S57" s="14"/>
    </row>
    <row r="58" spans="1:19" x14ac:dyDescent="0.25">
      <c r="A58" s="9">
        <f>Fleet_Schedule!A58</f>
        <v>56</v>
      </c>
      <c r="B58" s="10">
        <f>IF($A58=Assumptions!$B$23,Assumptions!$B$22,0)</f>
        <v>0</v>
      </c>
      <c r="C58" s="10">
        <f>IF($A58=Assumptions!$B$19,Assumptions!$B$18,0)</f>
        <v>0</v>
      </c>
      <c r="D58" s="10">
        <f>(Fleet_Schedule!$G58*Assumptions!$B$5)+SUM(B58:C58)</f>
        <v>750000</v>
      </c>
      <c r="E58" s="10">
        <f>Fleet_Schedule!G58*Assumptions!$B$13</f>
        <v>420500</v>
      </c>
      <c r="F58" s="10">
        <f>IF(AND($A58&gt;=Assumptions!$B$28,$A58&lt;Assumptions!$B$28+Assumptions!$B$26),($O58+$C58)*Assumptions!$B$27,0)</f>
        <v>141.83213817500055</v>
      </c>
      <c r="G58" s="10">
        <f>IF(AND($A58&gt;=Assumptions!$B$28,$A58&lt;Assumptions!$B$28+Assumptions!$B$26),MIN($O58+$C58,Assumptions!$B$20-$F58),0)</f>
        <v>5626.2697083722142</v>
      </c>
      <c r="H58" s="10">
        <f>Income_Statement!$P58</f>
        <v>105394.613715784</v>
      </c>
      <c r="I58" s="10">
        <f>IF($A58&lt;Assumptions!$B$33,Assumptions!$B$29*(Fleet_Schedule!$G58),Assumptions!$B$29*(Fleet_Schedule!$G58-(Assumptions!$B$18/Assumptions!$B$4)))</f>
        <v>62500</v>
      </c>
      <c r="J58" s="10">
        <f t="shared" si="1"/>
        <v>155837.2844376688</v>
      </c>
      <c r="K58" s="10">
        <f>Fleet_Schedule!$D58*Assumptions!$B$4</f>
        <v>360000</v>
      </c>
      <c r="L58" s="10">
        <f t="shared" si="2"/>
        <v>-204162.7155623312</v>
      </c>
      <c r="M58" s="10">
        <f t="shared" si="5"/>
        <v>363350.18206766259</v>
      </c>
      <c r="N58" s="10">
        <f t="shared" si="3"/>
        <v>159187.46650533139</v>
      </c>
      <c r="O58" s="10">
        <f t="shared" si="7"/>
        <v>17019.856581000065</v>
      </c>
      <c r="P58" s="10">
        <f t="shared" si="6"/>
        <v>11393.586872627851</v>
      </c>
      <c r="S58" s="14"/>
    </row>
    <row r="59" spans="1:19" x14ac:dyDescent="0.25">
      <c r="A59" s="9">
        <f>Fleet_Schedule!A59</f>
        <v>57</v>
      </c>
      <c r="B59" s="10">
        <f>IF($A59=Assumptions!$B$23,Assumptions!$B$22,0)</f>
        <v>0</v>
      </c>
      <c r="C59" s="10">
        <f>IF($A59=Assumptions!$B$19,Assumptions!$B$18,0)</f>
        <v>0</v>
      </c>
      <c r="D59" s="10">
        <f>(Fleet_Schedule!$G59*Assumptions!$B$5)+SUM(B59:C59)</f>
        <v>930000</v>
      </c>
      <c r="E59" s="10">
        <f>Fleet_Schedule!G59*Assumptions!$B$13</f>
        <v>521420</v>
      </c>
      <c r="F59" s="10">
        <f>IF(AND($A59&gt;=Assumptions!$B$28,$A59&lt;Assumptions!$B$28+Assumptions!$B$26),($O59+$C59)*Assumptions!$B$27,0)</f>
        <v>94.946557271898754</v>
      </c>
      <c r="G59" s="10">
        <f>IF(AND($A59&gt;=Assumptions!$B$28,$A59&lt;Assumptions!$B$28+Assumptions!$B$26),MIN($O59+$C59,Assumptions!$B$20-$F59),0)</f>
        <v>5673.1552892753152</v>
      </c>
      <c r="H59" s="10">
        <f>Income_Statement!$P59</f>
        <v>130715.217101673</v>
      </c>
      <c r="I59" s="10">
        <f>IF($A59&lt;Assumptions!$B$33,Assumptions!$B$29*(Fleet_Schedule!$G59),Assumptions!$B$29*(Fleet_Schedule!$G59-(Assumptions!$B$18/Assumptions!$B$4)))</f>
        <v>80500</v>
      </c>
      <c r="J59" s="10">
        <f t="shared" si="1"/>
        <v>191596.68105177977</v>
      </c>
      <c r="K59" s="10">
        <f>Fleet_Schedule!$D59*Assumptions!$B$4</f>
        <v>0</v>
      </c>
      <c r="L59" s="10">
        <f t="shared" si="2"/>
        <v>191596.68105177977</v>
      </c>
      <c r="M59" s="10">
        <f t="shared" si="5"/>
        <v>159187.46650533139</v>
      </c>
      <c r="N59" s="10">
        <f t="shared" si="3"/>
        <v>350784.14755711117</v>
      </c>
      <c r="O59" s="10">
        <f t="shared" si="7"/>
        <v>11393.586872627851</v>
      </c>
      <c r="P59" s="10">
        <f t="shared" si="6"/>
        <v>5720.4315833525361</v>
      </c>
      <c r="S59" s="14"/>
    </row>
    <row r="60" spans="1:19" x14ac:dyDescent="0.25">
      <c r="A60" s="9">
        <f>Fleet_Schedule!A60</f>
        <v>58</v>
      </c>
      <c r="B60" s="10">
        <f>IF($A60=Assumptions!$B$23,Assumptions!$B$22,0)</f>
        <v>0</v>
      </c>
      <c r="C60" s="10">
        <f>IF($A60=Assumptions!$B$19,Assumptions!$B$18,0)</f>
        <v>0</v>
      </c>
      <c r="D60" s="10">
        <f>(Fleet_Schedule!$G60*Assumptions!$B$5)+SUM(B60:C60)</f>
        <v>780000</v>
      </c>
      <c r="E60" s="10">
        <f>Fleet_Schedule!G60*Assumptions!$B$13</f>
        <v>437320</v>
      </c>
      <c r="F60" s="10">
        <f>IF(AND($A60&gt;=Assumptions!$B$28,$A60&lt;Assumptions!$B$28+Assumptions!$B$26),($O60+$C60)*Assumptions!$B$27,0)</f>
        <v>47.670263194604466</v>
      </c>
      <c r="G60" s="10">
        <f>IF(AND($A60&gt;=Assumptions!$B$28,$A60&lt;Assumptions!$B$28+Assumptions!$B$26),MIN($O60+$C60,Assumptions!$B$20-$F60),0)</f>
        <v>5720.4315833525361</v>
      </c>
      <c r="H60" s="10">
        <f>Income_Statement!$P60</f>
        <v>109642.34551577774</v>
      </c>
      <c r="I60" s="10">
        <f>IF($A60&lt;Assumptions!$B$33,Assumptions!$B$29*(Fleet_Schedule!$G60),Assumptions!$B$29*(Fleet_Schedule!$G60-(Assumptions!$B$18/Assumptions!$B$4)))</f>
        <v>65500</v>
      </c>
      <c r="J60" s="10">
        <f t="shared" si="1"/>
        <v>161769.55263767511</v>
      </c>
      <c r="K60" s="10">
        <f>Fleet_Schedule!$D60*Assumptions!$B$4</f>
        <v>300000</v>
      </c>
      <c r="L60" s="10">
        <f t="shared" si="2"/>
        <v>-138230.44736232489</v>
      </c>
      <c r="M60" s="10">
        <f t="shared" si="5"/>
        <v>350784.14755711117</v>
      </c>
      <c r="N60" s="10">
        <f t="shared" si="3"/>
        <v>212553.70019478627</v>
      </c>
      <c r="O60" s="10">
        <f t="shared" si="7"/>
        <v>5720.4315833525361</v>
      </c>
      <c r="P60" s="10">
        <f t="shared" si="6"/>
        <v>0</v>
      </c>
      <c r="S60" s="14"/>
    </row>
    <row r="61" spans="1:19" x14ac:dyDescent="0.25">
      <c r="A61" s="9">
        <f>Fleet_Schedule!A61</f>
        <v>59</v>
      </c>
      <c r="B61" s="10">
        <f>IF($A61=Assumptions!$B$23,Assumptions!$B$22,0)</f>
        <v>0</v>
      </c>
      <c r="C61" s="10">
        <f>IF($A61=Assumptions!$B$19,Assumptions!$B$18,0)</f>
        <v>0</v>
      </c>
      <c r="D61" s="10">
        <f>(Fleet_Schedule!$G61*Assumptions!$B$5)+SUM(B61:C61)</f>
        <v>960000</v>
      </c>
      <c r="E61" s="10">
        <f>Fleet_Schedule!G61*Assumptions!$B$13</f>
        <v>538240</v>
      </c>
      <c r="F61" s="10">
        <f>IF(AND($A61&gt;=Assumptions!$B$28,$A61&lt;Assumptions!$B$28+Assumptions!$B$26),($O61+$C61)*Assumptions!$B$27,0)</f>
        <v>0</v>
      </c>
      <c r="G61" s="10">
        <f>IF(AND($A61&gt;=Assumptions!$B$28,$A61&lt;Assumptions!$B$28+Assumptions!$B$26),MIN($O61+$C61,Assumptions!$B$20-$F61),0)</f>
        <v>0</v>
      </c>
      <c r="H61" s="10">
        <f>Income_Statement!$P61</f>
        <v>134963.20000000001</v>
      </c>
      <c r="I61" s="10">
        <f>IF($A61&lt;Assumptions!$B$33,Assumptions!$B$29*(Fleet_Schedule!$G61),Assumptions!$B$29*(Fleet_Schedule!$G61-(Assumptions!$B$18/Assumptions!$B$4)))</f>
        <v>83500</v>
      </c>
      <c r="J61" s="10">
        <f t="shared" si="1"/>
        <v>203296.8</v>
      </c>
      <c r="K61" s="10">
        <f>Fleet_Schedule!$D61*Assumptions!$B$4</f>
        <v>0</v>
      </c>
      <c r="L61" s="10">
        <f t="shared" si="2"/>
        <v>203296.8</v>
      </c>
      <c r="M61" s="10">
        <f t="shared" si="5"/>
        <v>212553.70019478627</v>
      </c>
      <c r="N61" s="10">
        <f t="shared" si="3"/>
        <v>415850.50019478623</v>
      </c>
      <c r="O61" s="10">
        <f t="shared" si="7"/>
        <v>0</v>
      </c>
      <c r="P61" s="10">
        <f t="shared" si="6"/>
        <v>0</v>
      </c>
      <c r="S61" s="14"/>
    </row>
    <row r="62" spans="1:19" x14ac:dyDescent="0.25">
      <c r="A62" s="9">
        <f>Fleet_Schedule!A62</f>
        <v>60</v>
      </c>
      <c r="B62" s="10">
        <f>IF($A62=Assumptions!$B$23,Assumptions!$B$22,0)</f>
        <v>0</v>
      </c>
      <c r="C62" s="10">
        <f>IF($A62=Assumptions!$B$19,Assumptions!$B$18,0)</f>
        <v>0</v>
      </c>
      <c r="D62" s="10">
        <f>(Fleet_Schedule!$G62*Assumptions!$B$5)+SUM(B62:C62)</f>
        <v>840000</v>
      </c>
      <c r="E62" s="10">
        <f>Fleet_Schedule!G62*Assumptions!$B$13</f>
        <v>470960</v>
      </c>
      <c r="F62" s="10">
        <f>IF(AND($A62&gt;=Assumptions!$B$28,$A62&lt;Assumptions!$B$28+Assumptions!$B$26),($O62+$C62)*Assumptions!$B$27,0)</f>
        <v>0</v>
      </c>
      <c r="G62" s="10">
        <f>IF(AND($A62&gt;=Assumptions!$B$28,$A62&lt;Assumptions!$B$28+Assumptions!$B$26),MIN($O62+$C62,Assumptions!$B$20-$F62),0)</f>
        <v>0</v>
      </c>
      <c r="H62" s="10">
        <f>Income_Statement!$P62</f>
        <v>118092.8</v>
      </c>
      <c r="I62" s="10">
        <f>IF($A62&lt;Assumptions!$B$33,Assumptions!$B$29*(Fleet_Schedule!$G62),Assumptions!$B$29*(Fleet_Schedule!$G62-(Assumptions!$B$18/Assumptions!$B$4)))</f>
        <v>71500</v>
      </c>
      <c r="J62" s="10">
        <f t="shared" si="1"/>
        <v>179447.2</v>
      </c>
      <c r="K62" s="10">
        <f>Fleet_Schedule!$D62*Assumptions!$B$4</f>
        <v>360000</v>
      </c>
      <c r="L62" s="10">
        <f t="shared" si="2"/>
        <v>-180552.8</v>
      </c>
      <c r="M62" s="10">
        <f t="shared" si="5"/>
        <v>415850.50019478623</v>
      </c>
      <c r="N62" s="10">
        <f t="shared" si="3"/>
        <v>235297.70019478624</v>
      </c>
      <c r="O62" s="10">
        <f t="shared" si="7"/>
        <v>0</v>
      </c>
      <c r="P62" s="10">
        <f t="shared" si="6"/>
        <v>0</v>
      </c>
      <c r="S62" s="14"/>
    </row>
    <row r="63" spans="1:19" ht="15" customHeight="1" x14ac:dyDescent="0.25">
      <c r="J63" s="14"/>
    </row>
  </sheetData>
  <mergeCells count="1">
    <mergeCell ref="A1:P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62"/>
  <sheetViews>
    <sheetView showGridLines="0" zoomScale="130" zoomScaleNormal="130" workbookViewId="0">
      <pane xSplit="3" ySplit="2" topLeftCell="E3" activePane="bottomRight" state="frozen"/>
      <selection pane="topRight" activeCell="C1" sqref="C1"/>
      <selection pane="bottomLeft" activeCell="A3" sqref="A3"/>
      <selection pane="bottomRight" activeCell="S10" sqref="S10"/>
    </sheetView>
  </sheetViews>
  <sheetFormatPr defaultColWidth="8.7109375" defaultRowHeight="15" customHeight="1" x14ac:dyDescent="0.25"/>
  <cols>
    <col min="2" max="2" width="10" customWidth="1"/>
    <col min="3" max="3" width="12" customWidth="1"/>
    <col min="4" max="4" width="14.140625" bestFit="1" customWidth="1"/>
    <col min="5" max="5" width="17.7109375" customWidth="1"/>
    <col min="6" max="9" width="12" customWidth="1"/>
    <col min="10" max="10" width="13.140625" customWidth="1"/>
    <col min="11" max="11" width="11.140625" bestFit="1" customWidth="1"/>
    <col min="12" max="12" width="14.85546875" bestFit="1" customWidth="1"/>
    <col min="13" max="13" width="12.7109375" bestFit="1" customWidth="1"/>
    <col min="14" max="14" width="12" customWidth="1"/>
    <col min="15" max="15" width="12.7109375" bestFit="1" customWidth="1"/>
    <col min="16" max="16" width="12" customWidth="1"/>
    <col min="17" max="17" width="12.7109375" bestFit="1" customWidth="1"/>
    <col min="18" max="18" width="19.7109375" customWidth="1"/>
    <col min="19" max="19" width="12" customWidth="1"/>
    <col min="20" max="20" width="15.28515625" customWidth="1"/>
    <col min="21" max="21" width="14.42578125" customWidth="1"/>
    <col min="22" max="25" width="12" customWidth="1"/>
  </cols>
  <sheetData>
    <row r="1" spans="1:25" ht="17.25" customHeight="1" x14ac:dyDescent="0.3">
      <c r="A1" s="21" t="s">
        <v>97</v>
      </c>
      <c r="B1" s="21"/>
      <c r="C1" s="21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</row>
    <row r="2" spans="1:25" ht="31.5" customHeight="1" x14ac:dyDescent="0.25">
      <c r="A2" s="19" t="s">
        <v>138</v>
      </c>
      <c r="B2" s="2" t="s">
        <v>50</v>
      </c>
      <c r="C2" s="2" t="s">
        <v>70</v>
      </c>
      <c r="D2" s="2" t="s">
        <v>71</v>
      </c>
      <c r="E2" s="2" t="s">
        <v>72</v>
      </c>
      <c r="F2" s="2" t="s">
        <v>73</v>
      </c>
      <c r="G2" s="2" t="s">
        <v>74</v>
      </c>
      <c r="H2" s="2" t="s">
        <v>75</v>
      </c>
      <c r="I2" s="2" t="s">
        <v>139</v>
      </c>
      <c r="J2" s="2" t="s">
        <v>76</v>
      </c>
      <c r="K2" s="2" t="s">
        <v>77</v>
      </c>
      <c r="L2" s="2" t="s">
        <v>78</v>
      </c>
      <c r="M2" s="15" t="s">
        <v>109</v>
      </c>
      <c r="N2" s="2" t="s">
        <v>79</v>
      </c>
      <c r="O2" s="2" t="s">
        <v>80</v>
      </c>
      <c r="P2" s="2" t="s">
        <v>81</v>
      </c>
      <c r="Q2" s="15" t="s">
        <v>110</v>
      </c>
      <c r="R2" s="2" t="s">
        <v>96</v>
      </c>
      <c r="S2" s="2" t="s">
        <v>95</v>
      </c>
      <c r="T2" s="2"/>
      <c r="U2" s="2"/>
      <c r="V2" s="2"/>
      <c r="W2" s="2"/>
      <c r="X2" s="2"/>
      <c r="Y2" s="2"/>
    </row>
    <row r="3" spans="1:25" x14ac:dyDescent="0.25">
      <c r="A3" s="9">
        <f>Fleet_Schedule!$B3</f>
        <v>1</v>
      </c>
      <c r="B3" s="9">
        <f>Fleet_Schedule!$A3</f>
        <v>1</v>
      </c>
      <c r="C3" s="8">
        <f>Fleet_Schedule!$G3</f>
        <v>4</v>
      </c>
      <c r="D3" s="10">
        <f>$C3*Assumptions!$B$5</f>
        <v>120000</v>
      </c>
      <c r="E3" s="10">
        <f>$C3*Assumptions!$B$8</f>
        <v>52000</v>
      </c>
      <c r="F3" s="10">
        <f>$C3*Assumptions!$B$9</f>
        <v>2320</v>
      </c>
      <c r="G3" s="10">
        <f>$C3*Assumptions!$B$10</f>
        <v>960</v>
      </c>
      <c r="H3" s="10">
        <f>$C3*Assumptions!$B$11</f>
        <v>0</v>
      </c>
      <c r="I3" s="10">
        <f>SUM($E3:$H3)</f>
        <v>55280</v>
      </c>
      <c r="J3" s="10">
        <f>$D3-SUM($E3:$H3)</f>
        <v>64720</v>
      </c>
      <c r="K3" s="10">
        <f>$C3*Assumptions!$B$12</f>
        <v>12000</v>
      </c>
      <c r="L3" s="10">
        <f>$K3</f>
        <v>12000</v>
      </c>
      <c r="M3" s="10">
        <f>$J3-$K3</f>
        <v>52720</v>
      </c>
      <c r="N3" s="10">
        <f>Cash_Flow!$F3</f>
        <v>0</v>
      </c>
      <c r="O3" s="10">
        <f>$M3-$N3</f>
        <v>52720</v>
      </c>
      <c r="P3" s="10">
        <f>Assumptions!$B$16*MAX(0,$O3)</f>
        <v>16870.400000000001</v>
      </c>
      <c r="Q3" s="10">
        <f>$O3-$P3</f>
        <v>35849.599999999999</v>
      </c>
      <c r="R3" s="10">
        <f>Cash_Flow!$I3</f>
        <v>12000</v>
      </c>
      <c r="S3" s="10">
        <f>$Q3-$R3</f>
        <v>23849.599999999999</v>
      </c>
      <c r="T3" s="10"/>
      <c r="U3" s="10"/>
      <c r="V3" s="10"/>
      <c r="W3" s="10"/>
      <c r="X3" s="10"/>
      <c r="Y3" s="10"/>
    </row>
    <row r="4" spans="1:25" x14ac:dyDescent="0.25">
      <c r="A4" s="9">
        <f>Fleet_Schedule!$B4</f>
        <v>1</v>
      </c>
      <c r="B4" s="9">
        <f>Fleet_Schedule!$A4</f>
        <v>2</v>
      </c>
      <c r="C4" s="8">
        <f>Fleet_Schedule!$G4</f>
        <v>4</v>
      </c>
      <c r="D4" s="10">
        <f>$C4*Assumptions!$B$5</f>
        <v>120000</v>
      </c>
      <c r="E4" s="10">
        <f>$C4*Assumptions!$B$8</f>
        <v>52000</v>
      </c>
      <c r="F4" s="10">
        <f>$C4*Assumptions!$B$9</f>
        <v>2320</v>
      </c>
      <c r="G4" s="10">
        <f>$C4*Assumptions!$B$10</f>
        <v>960</v>
      </c>
      <c r="H4" s="10">
        <f>$C4*Assumptions!$B$11</f>
        <v>0</v>
      </c>
      <c r="I4" s="10">
        <f t="shared" ref="I4:I62" si="0">SUM($E4:$H4)</f>
        <v>55280</v>
      </c>
      <c r="J4" s="10">
        <f t="shared" ref="J4:J62" si="1">$D4-SUM($E4:$H4)</f>
        <v>64720</v>
      </c>
      <c r="K4" s="10">
        <f>$C4*Assumptions!$B$12</f>
        <v>12000</v>
      </c>
      <c r="L4" s="10">
        <f t="shared" ref="L4:L62" si="2">$K4</f>
        <v>12000</v>
      </c>
      <c r="M4" s="10">
        <f t="shared" ref="M4:M62" si="3">$J4-$K4</f>
        <v>52720</v>
      </c>
      <c r="N4" s="10">
        <f>Cash_Flow!$F4</f>
        <v>0</v>
      </c>
      <c r="O4" s="10">
        <f t="shared" ref="O4:O62" si="4">$M4-$N4</f>
        <v>52720</v>
      </c>
      <c r="P4" s="10">
        <f>Assumptions!$B$16*MAX(0,$O4)</f>
        <v>16870.400000000001</v>
      </c>
      <c r="Q4" s="10">
        <f t="shared" ref="Q4:Q62" si="5">$O4-$P4</f>
        <v>35849.599999999999</v>
      </c>
      <c r="R4" s="10">
        <f>Cash_Flow!$I4</f>
        <v>12000</v>
      </c>
      <c r="S4" s="10">
        <f t="shared" ref="S4:S62" si="6">$Q4-$R4</f>
        <v>23849.599999999999</v>
      </c>
      <c r="T4" s="10"/>
      <c r="U4" s="10"/>
      <c r="V4" s="10"/>
      <c r="W4" s="10"/>
      <c r="X4" s="10"/>
      <c r="Y4" s="10"/>
    </row>
    <row r="5" spans="1:25" x14ac:dyDescent="0.25">
      <c r="A5" s="9">
        <f>Fleet_Schedule!$B5</f>
        <v>1</v>
      </c>
      <c r="B5" s="9">
        <f>Fleet_Schedule!$A5</f>
        <v>3</v>
      </c>
      <c r="C5" s="8">
        <f>Fleet_Schedule!$G5</f>
        <v>4</v>
      </c>
      <c r="D5" s="10">
        <f>$C5*Assumptions!$B$5</f>
        <v>120000</v>
      </c>
      <c r="E5" s="10">
        <f>$C5*Assumptions!$B$8</f>
        <v>52000</v>
      </c>
      <c r="F5" s="10">
        <f>$C5*Assumptions!$B$9</f>
        <v>2320</v>
      </c>
      <c r="G5" s="10">
        <f>$C5*Assumptions!$B$10</f>
        <v>960</v>
      </c>
      <c r="H5" s="10">
        <f>$C5*Assumptions!$B$11</f>
        <v>0</v>
      </c>
      <c r="I5" s="10">
        <f t="shared" si="0"/>
        <v>55280</v>
      </c>
      <c r="J5" s="10">
        <f t="shared" si="1"/>
        <v>64720</v>
      </c>
      <c r="K5" s="10">
        <f>$C5*Assumptions!$B$12</f>
        <v>12000</v>
      </c>
      <c r="L5" s="10">
        <f t="shared" si="2"/>
        <v>12000</v>
      </c>
      <c r="M5" s="10">
        <f t="shared" si="3"/>
        <v>52720</v>
      </c>
      <c r="N5" s="10">
        <f>Cash_Flow!$F5</f>
        <v>0</v>
      </c>
      <c r="O5" s="10">
        <f t="shared" si="4"/>
        <v>52720</v>
      </c>
      <c r="P5" s="10">
        <f>Assumptions!$B$16*MAX(0,$O5)</f>
        <v>16870.400000000001</v>
      </c>
      <c r="Q5" s="10">
        <f t="shared" si="5"/>
        <v>35849.599999999999</v>
      </c>
      <c r="R5" s="10">
        <f>Cash_Flow!$I5</f>
        <v>12000</v>
      </c>
      <c r="S5" s="10">
        <f t="shared" si="6"/>
        <v>23849.599999999999</v>
      </c>
      <c r="T5" s="10"/>
      <c r="U5" s="10"/>
      <c r="V5" s="10"/>
      <c r="W5" s="10"/>
      <c r="X5" s="10"/>
      <c r="Y5" s="10"/>
    </row>
    <row r="6" spans="1:25" x14ac:dyDescent="0.25">
      <c r="A6" s="9">
        <f>Fleet_Schedule!$B6</f>
        <v>1</v>
      </c>
      <c r="B6" s="9">
        <f>Fleet_Schedule!$A6</f>
        <v>4</v>
      </c>
      <c r="C6" s="8">
        <f>Fleet_Schedule!$G6</f>
        <v>4</v>
      </c>
      <c r="D6" s="10">
        <f>$C6*Assumptions!$B$5</f>
        <v>120000</v>
      </c>
      <c r="E6" s="10">
        <f>$C6*Assumptions!$B$8</f>
        <v>52000</v>
      </c>
      <c r="F6" s="10">
        <f>$C6*Assumptions!$B$9</f>
        <v>2320</v>
      </c>
      <c r="G6" s="10">
        <f>$C6*Assumptions!$B$10</f>
        <v>960</v>
      </c>
      <c r="H6" s="10">
        <f>$C6*Assumptions!$B$11</f>
        <v>0</v>
      </c>
      <c r="I6" s="10">
        <f t="shared" si="0"/>
        <v>55280</v>
      </c>
      <c r="J6" s="10">
        <f t="shared" si="1"/>
        <v>64720</v>
      </c>
      <c r="K6" s="10">
        <f>$C6*Assumptions!$B$12</f>
        <v>12000</v>
      </c>
      <c r="L6" s="10">
        <f t="shared" si="2"/>
        <v>12000</v>
      </c>
      <c r="M6" s="10">
        <f t="shared" si="3"/>
        <v>52720</v>
      </c>
      <c r="N6" s="10">
        <f>Cash_Flow!$F6</f>
        <v>0</v>
      </c>
      <c r="O6" s="10">
        <f t="shared" si="4"/>
        <v>52720</v>
      </c>
      <c r="P6" s="10">
        <f>Assumptions!$B$16*MAX(0,$O6)</f>
        <v>16870.400000000001</v>
      </c>
      <c r="Q6" s="10">
        <f t="shared" si="5"/>
        <v>35849.599999999999</v>
      </c>
      <c r="R6" s="10">
        <f>Cash_Flow!$I6</f>
        <v>12000</v>
      </c>
      <c r="S6" s="10">
        <f t="shared" si="6"/>
        <v>23849.599999999999</v>
      </c>
      <c r="T6" s="10"/>
      <c r="U6" s="10"/>
      <c r="V6" s="10"/>
      <c r="W6" s="10"/>
      <c r="X6" s="10"/>
      <c r="Y6" s="10"/>
    </row>
    <row r="7" spans="1:25" x14ac:dyDescent="0.25">
      <c r="A7" s="9">
        <f>Fleet_Schedule!$B7</f>
        <v>1</v>
      </c>
      <c r="B7" s="9">
        <f>Fleet_Schedule!$A7</f>
        <v>5</v>
      </c>
      <c r="C7" s="8">
        <f>Fleet_Schedule!$G7</f>
        <v>4</v>
      </c>
      <c r="D7" s="10">
        <f>$C7*Assumptions!$B$5</f>
        <v>120000</v>
      </c>
      <c r="E7" s="10">
        <f>$C7*Assumptions!$B$8</f>
        <v>52000</v>
      </c>
      <c r="F7" s="10">
        <f>$C7*Assumptions!$B$9</f>
        <v>2320</v>
      </c>
      <c r="G7" s="10">
        <f>$C7*Assumptions!$B$10</f>
        <v>960</v>
      </c>
      <c r="H7" s="10">
        <f>$C7*Assumptions!$B$11</f>
        <v>0</v>
      </c>
      <c r="I7" s="10">
        <f t="shared" si="0"/>
        <v>55280</v>
      </c>
      <c r="J7" s="10">
        <f t="shared" si="1"/>
        <v>64720</v>
      </c>
      <c r="K7" s="10">
        <f>$C7*Assumptions!$B$12</f>
        <v>12000</v>
      </c>
      <c r="L7" s="10">
        <f t="shared" si="2"/>
        <v>12000</v>
      </c>
      <c r="M7" s="10">
        <f t="shared" si="3"/>
        <v>52720</v>
      </c>
      <c r="N7" s="10">
        <f>Cash_Flow!$F7</f>
        <v>2083.3333333333335</v>
      </c>
      <c r="O7" s="10">
        <f t="shared" si="4"/>
        <v>50636.666666666664</v>
      </c>
      <c r="P7" s="10">
        <f>Assumptions!$B$16*MAX(0,$O7)</f>
        <v>16203.733333333334</v>
      </c>
      <c r="Q7" s="10">
        <f t="shared" si="5"/>
        <v>34432.933333333334</v>
      </c>
      <c r="R7" s="10">
        <f>Cash_Flow!$I7</f>
        <v>12000</v>
      </c>
      <c r="S7" s="10">
        <f t="shared" si="6"/>
        <v>22432.933333333334</v>
      </c>
      <c r="V7" s="10"/>
      <c r="W7" s="10"/>
      <c r="X7" s="10"/>
      <c r="Y7" s="10"/>
    </row>
    <row r="8" spans="1:25" x14ac:dyDescent="0.25">
      <c r="A8" s="9">
        <f>Fleet_Schedule!$B8</f>
        <v>1</v>
      </c>
      <c r="B8" s="9">
        <f>Fleet_Schedule!$A8</f>
        <v>6</v>
      </c>
      <c r="C8" s="8">
        <f>Fleet_Schedule!$G8</f>
        <v>4</v>
      </c>
      <c r="D8" s="10">
        <f>$C8*Assumptions!$B$5</f>
        <v>120000</v>
      </c>
      <c r="E8" s="10">
        <f>$C8*Assumptions!$B$8</f>
        <v>52000</v>
      </c>
      <c r="F8" s="10">
        <f>$C8*Assumptions!$B$9</f>
        <v>2320</v>
      </c>
      <c r="G8" s="10">
        <f>$C8*Assumptions!$B$10</f>
        <v>960</v>
      </c>
      <c r="H8" s="10">
        <f>$C8*Assumptions!$B$11</f>
        <v>0</v>
      </c>
      <c r="I8" s="10">
        <f t="shared" si="0"/>
        <v>55280</v>
      </c>
      <c r="J8" s="10">
        <f t="shared" si="1"/>
        <v>64720</v>
      </c>
      <c r="K8" s="10">
        <f>$C8*Assumptions!$B$12</f>
        <v>12000</v>
      </c>
      <c r="L8" s="10">
        <f t="shared" si="2"/>
        <v>12000</v>
      </c>
      <c r="M8" s="10">
        <f t="shared" si="3"/>
        <v>52720</v>
      </c>
      <c r="N8" s="10">
        <f>Cash_Flow!$F8</f>
        <v>2052.626929056551</v>
      </c>
      <c r="O8" s="10">
        <f t="shared" si="4"/>
        <v>50667.373070943446</v>
      </c>
      <c r="P8" s="10">
        <f>Assumptions!$B$16*MAX(0,$O8)</f>
        <v>16213.559382701904</v>
      </c>
      <c r="Q8" s="10">
        <f t="shared" si="5"/>
        <v>34453.813688241542</v>
      </c>
      <c r="R8" s="10">
        <f>Cash_Flow!$I8</f>
        <v>12000</v>
      </c>
      <c r="S8" s="10">
        <f t="shared" si="6"/>
        <v>22453.813688241542</v>
      </c>
      <c r="V8" s="10"/>
      <c r="W8" s="10"/>
      <c r="X8" s="10"/>
      <c r="Y8" s="10"/>
    </row>
    <row r="9" spans="1:25" x14ac:dyDescent="0.25">
      <c r="A9" s="9">
        <f>Fleet_Schedule!$B9</f>
        <v>1</v>
      </c>
      <c r="B9" s="9">
        <f>Fleet_Schedule!$A9</f>
        <v>7</v>
      </c>
      <c r="C9" s="8">
        <f>Fleet_Schedule!$G9</f>
        <v>4</v>
      </c>
      <c r="D9" s="10">
        <f>$C9*Assumptions!$B$5</f>
        <v>120000</v>
      </c>
      <c r="E9" s="10">
        <f>$C9*Assumptions!$B$8</f>
        <v>52000</v>
      </c>
      <c r="F9" s="10">
        <f>$C9*Assumptions!$B$9</f>
        <v>2320</v>
      </c>
      <c r="G9" s="10">
        <f>$C9*Assumptions!$B$10</f>
        <v>960</v>
      </c>
      <c r="H9" s="10">
        <f>$C9*Assumptions!$B$11</f>
        <v>0</v>
      </c>
      <c r="I9" s="10">
        <f t="shared" si="0"/>
        <v>55280</v>
      </c>
      <c r="J9" s="10">
        <f t="shared" si="1"/>
        <v>64720</v>
      </c>
      <c r="K9" s="10">
        <f>$C9*Assumptions!$B$12</f>
        <v>12000</v>
      </c>
      <c r="L9" s="10">
        <f t="shared" si="2"/>
        <v>12000</v>
      </c>
      <c r="M9" s="10">
        <f t="shared" si="3"/>
        <v>52720</v>
      </c>
      <c r="N9" s="10">
        <f>Cash_Flow!$F9</f>
        <v>2021.6646380774621</v>
      </c>
      <c r="O9" s="10">
        <f t="shared" si="4"/>
        <v>50698.335361922538</v>
      </c>
      <c r="P9" s="10">
        <f>Assumptions!$B$16*MAX(0,$O9)</f>
        <v>16223.467315815213</v>
      </c>
      <c r="Q9" s="10">
        <f t="shared" si="5"/>
        <v>34474.868046107324</v>
      </c>
      <c r="R9" s="10">
        <f>Cash_Flow!$I9</f>
        <v>12000</v>
      </c>
      <c r="S9" s="10">
        <f t="shared" si="6"/>
        <v>22474.868046107324</v>
      </c>
      <c r="T9" s="10"/>
      <c r="U9" s="10"/>
      <c r="V9" s="10"/>
      <c r="W9" s="10"/>
      <c r="X9" s="10"/>
      <c r="Y9" s="10"/>
    </row>
    <row r="10" spans="1:25" x14ac:dyDescent="0.25">
      <c r="A10" s="9">
        <f>Fleet_Schedule!$B10</f>
        <v>1</v>
      </c>
      <c r="B10" s="9">
        <f>Fleet_Schedule!$A10</f>
        <v>8</v>
      </c>
      <c r="C10" s="8">
        <f>Fleet_Schedule!$G10</f>
        <v>13</v>
      </c>
      <c r="D10" s="10">
        <f>$C10*Assumptions!$B$5</f>
        <v>390000</v>
      </c>
      <c r="E10" s="10">
        <f>$C10*Assumptions!$B$8</f>
        <v>169000</v>
      </c>
      <c r="F10" s="10">
        <f>$C10*Assumptions!$B$9</f>
        <v>7540</v>
      </c>
      <c r="G10" s="10">
        <f>$C10*Assumptions!$B$10</f>
        <v>3120</v>
      </c>
      <c r="H10" s="10">
        <f>$C10*Assumptions!$B$11</f>
        <v>0</v>
      </c>
      <c r="I10" s="10">
        <f t="shared" si="0"/>
        <v>179660</v>
      </c>
      <c r="J10" s="10">
        <f t="shared" si="1"/>
        <v>210340</v>
      </c>
      <c r="K10" s="10">
        <f>$C10*Assumptions!$B$12</f>
        <v>39000</v>
      </c>
      <c r="L10" s="10">
        <f t="shared" si="2"/>
        <v>39000</v>
      </c>
      <c r="M10" s="10">
        <f t="shared" si="3"/>
        <v>171340</v>
      </c>
      <c r="N10" s="10">
        <f>Cash_Flow!$F10</f>
        <v>1990.4443280068808</v>
      </c>
      <c r="O10" s="10">
        <f t="shared" si="4"/>
        <v>169349.55567199312</v>
      </c>
      <c r="P10" s="10">
        <f>Assumptions!$B$16*MAX(0,$O10)</f>
        <v>54191.857815037802</v>
      </c>
      <c r="Q10" s="10">
        <f t="shared" si="5"/>
        <v>115157.69785695532</v>
      </c>
      <c r="R10" s="10">
        <f>Cash_Flow!$I10</f>
        <v>26499.999999999996</v>
      </c>
      <c r="S10" s="10">
        <f t="shared" si="6"/>
        <v>88657.697856955318</v>
      </c>
      <c r="T10" s="10"/>
      <c r="U10" s="10"/>
      <c r="V10" s="10"/>
      <c r="W10" s="10"/>
      <c r="X10" s="10"/>
      <c r="Y10" s="10"/>
    </row>
    <row r="11" spans="1:25" x14ac:dyDescent="0.25">
      <c r="A11" s="9">
        <f>Fleet_Schedule!$B11</f>
        <v>1</v>
      </c>
      <c r="B11" s="9">
        <f>Fleet_Schedule!$A11</f>
        <v>9</v>
      </c>
      <c r="C11" s="8">
        <f>Fleet_Schedule!$G11</f>
        <v>13</v>
      </c>
      <c r="D11" s="10">
        <f>$C11*Assumptions!$B$5</f>
        <v>390000</v>
      </c>
      <c r="E11" s="10">
        <f>$C11*Assumptions!$B$8</f>
        <v>169000</v>
      </c>
      <c r="F11" s="10">
        <f>$C11*Assumptions!$B$9</f>
        <v>7540</v>
      </c>
      <c r="G11" s="10">
        <f>$C11*Assumptions!$B$10</f>
        <v>3120</v>
      </c>
      <c r="H11" s="10">
        <f>$C11*Assumptions!$B$11</f>
        <v>0</v>
      </c>
      <c r="I11" s="10">
        <f t="shared" si="0"/>
        <v>179660</v>
      </c>
      <c r="J11" s="10">
        <f t="shared" si="1"/>
        <v>210340</v>
      </c>
      <c r="K11" s="10">
        <f>$C11*Assumptions!$B$12</f>
        <v>39000</v>
      </c>
      <c r="L11" s="10">
        <f t="shared" si="2"/>
        <v>39000</v>
      </c>
      <c r="M11" s="10">
        <f t="shared" si="3"/>
        <v>171340</v>
      </c>
      <c r="N11" s="10">
        <f>Cash_Flow!$F11</f>
        <v>1958.9638486857114</v>
      </c>
      <c r="O11" s="10">
        <f t="shared" si="4"/>
        <v>169381.0361513143</v>
      </c>
      <c r="P11" s="10">
        <f>Assumptions!$B$16*MAX(0,$O11)</f>
        <v>54201.931568420579</v>
      </c>
      <c r="Q11" s="10">
        <f t="shared" si="5"/>
        <v>115179.10458289372</v>
      </c>
      <c r="R11" s="10">
        <f>Cash_Flow!$I11</f>
        <v>26499.999999999996</v>
      </c>
      <c r="S11" s="10">
        <f t="shared" si="6"/>
        <v>88679.10458289372</v>
      </c>
      <c r="T11" s="10"/>
      <c r="U11" s="10"/>
      <c r="V11" s="10"/>
      <c r="W11" s="10"/>
      <c r="X11" s="10"/>
      <c r="Y11" s="10"/>
    </row>
    <row r="12" spans="1:25" x14ac:dyDescent="0.25">
      <c r="A12" s="9">
        <f>Fleet_Schedule!$B12</f>
        <v>1</v>
      </c>
      <c r="B12" s="9">
        <f>Fleet_Schedule!$A12</f>
        <v>10</v>
      </c>
      <c r="C12" s="8">
        <f>Fleet_Schedule!$G12</f>
        <v>13</v>
      </c>
      <c r="D12" s="10">
        <f>$C12*Assumptions!$B$5</f>
        <v>390000</v>
      </c>
      <c r="E12" s="10">
        <f>$C12*Assumptions!$B$8</f>
        <v>169000</v>
      </c>
      <c r="F12" s="10">
        <f>$C12*Assumptions!$B$9</f>
        <v>7540</v>
      </c>
      <c r="G12" s="10">
        <f>$C12*Assumptions!$B$10</f>
        <v>3120</v>
      </c>
      <c r="H12" s="10">
        <f>$C12*Assumptions!$B$11</f>
        <v>0</v>
      </c>
      <c r="I12" s="10">
        <f t="shared" si="0"/>
        <v>179660</v>
      </c>
      <c r="J12" s="10">
        <f t="shared" si="1"/>
        <v>210340</v>
      </c>
      <c r="K12" s="10">
        <f>$C12*Assumptions!$B$12</f>
        <v>39000</v>
      </c>
      <c r="L12" s="10">
        <f t="shared" si="2"/>
        <v>39000</v>
      </c>
      <c r="M12" s="10">
        <f t="shared" si="3"/>
        <v>171340</v>
      </c>
      <c r="N12" s="10">
        <f>Cash_Flow!$F12</f>
        <v>1927.2210320368654</v>
      </c>
      <c r="O12" s="10">
        <f t="shared" si="4"/>
        <v>169412.77896796312</v>
      </c>
      <c r="P12" s="10">
        <f>Assumptions!$B$16*MAX(0,$O12)</f>
        <v>54212.089269748198</v>
      </c>
      <c r="Q12" s="10">
        <f t="shared" si="5"/>
        <v>115200.68969821493</v>
      </c>
      <c r="R12" s="10">
        <f>Cash_Flow!$I12</f>
        <v>26499.999999999996</v>
      </c>
      <c r="S12" s="10">
        <f t="shared" si="6"/>
        <v>88700.689698214934</v>
      </c>
      <c r="T12" s="10"/>
      <c r="U12" s="10"/>
      <c r="V12" s="10"/>
      <c r="W12" s="10"/>
      <c r="X12" s="10"/>
      <c r="Y12" s="10"/>
    </row>
    <row r="13" spans="1:25" x14ac:dyDescent="0.25">
      <c r="A13" s="9">
        <f>Fleet_Schedule!$B13</f>
        <v>1</v>
      </c>
      <c r="B13" s="9">
        <f>Fleet_Schedule!$A13</f>
        <v>11</v>
      </c>
      <c r="C13" s="8">
        <f>Fleet_Schedule!$G13</f>
        <v>13</v>
      </c>
      <c r="D13" s="10">
        <f>$C13*Assumptions!$B$5</f>
        <v>390000</v>
      </c>
      <c r="E13" s="10">
        <f>$C13*Assumptions!$B$8</f>
        <v>169000</v>
      </c>
      <c r="F13" s="10">
        <f>$C13*Assumptions!$B$9</f>
        <v>7540</v>
      </c>
      <c r="G13" s="10">
        <f>$C13*Assumptions!$B$10</f>
        <v>3120</v>
      </c>
      <c r="H13" s="10">
        <f>$C13*Assumptions!$B$11</f>
        <v>0</v>
      </c>
      <c r="I13" s="10">
        <f t="shared" si="0"/>
        <v>179660</v>
      </c>
      <c r="J13" s="10">
        <f t="shared" si="1"/>
        <v>210340</v>
      </c>
      <c r="K13" s="10">
        <f>$C13*Assumptions!$B$12</f>
        <v>39000</v>
      </c>
      <c r="L13" s="10">
        <f t="shared" si="2"/>
        <v>39000</v>
      </c>
      <c r="M13" s="10">
        <f t="shared" si="3"/>
        <v>171340</v>
      </c>
      <c r="N13" s="10">
        <f>Cash_Flow!$F13</f>
        <v>1895.2136919159459</v>
      </c>
      <c r="O13" s="10">
        <f t="shared" si="4"/>
        <v>169444.78630808406</v>
      </c>
      <c r="P13" s="10">
        <f>Assumptions!$B$16*MAX(0,$O13)</f>
        <v>54222.331618586904</v>
      </c>
      <c r="Q13" s="10">
        <f t="shared" si="5"/>
        <v>115222.45468949716</v>
      </c>
      <c r="R13" s="10">
        <f>Cash_Flow!$I13</f>
        <v>26499.999999999996</v>
      </c>
      <c r="S13" s="10">
        <f t="shared" si="6"/>
        <v>88722.454689497157</v>
      </c>
      <c r="T13" s="10"/>
      <c r="U13" s="10"/>
      <c r="V13" s="10"/>
      <c r="W13" s="10"/>
      <c r="X13" s="10"/>
      <c r="Y13" s="10"/>
    </row>
    <row r="14" spans="1:25" x14ac:dyDescent="0.25">
      <c r="A14" s="9">
        <f>Fleet_Schedule!$B14</f>
        <v>1</v>
      </c>
      <c r="B14" s="9">
        <f>Fleet_Schedule!$A14</f>
        <v>12</v>
      </c>
      <c r="C14" s="8">
        <f>Fleet_Schedule!$G14</f>
        <v>9</v>
      </c>
      <c r="D14" s="10">
        <f>$C14*Assumptions!$B$5</f>
        <v>270000</v>
      </c>
      <c r="E14" s="10">
        <f>$C14*Assumptions!$B$8</f>
        <v>117000</v>
      </c>
      <c r="F14" s="10">
        <f>$C14*Assumptions!$B$9</f>
        <v>5220</v>
      </c>
      <c r="G14" s="10">
        <f>$C14*Assumptions!$B$10</f>
        <v>2160</v>
      </c>
      <c r="H14" s="10">
        <f>$C14*Assumptions!$B$11</f>
        <v>0</v>
      </c>
      <c r="I14" s="10">
        <f t="shared" si="0"/>
        <v>124380</v>
      </c>
      <c r="J14" s="10">
        <f t="shared" si="1"/>
        <v>145620</v>
      </c>
      <c r="K14" s="10">
        <f>$C14*Assumptions!$B$12</f>
        <v>27000</v>
      </c>
      <c r="L14" s="10">
        <f t="shared" si="2"/>
        <v>27000</v>
      </c>
      <c r="M14" s="10">
        <f t="shared" si="3"/>
        <v>118620</v>
      </c>
      <c r="N14" s="10">
        <f>Cash_Flow!$F14</f>
        <v>1862.9396239606851</v>
      </c>
      <c r="O14" s="10">
        <f t="shared" si="4"/>
        <v>116757.06037603931</v>
      </c>
      <c r="P14" s="10">
        <f>Assumptions!$B$16*MAX(0,$O14)</f>
        <v>37362.259320332581</v>
      </c>
      <c r="Q14" s="10">
        <f t="shared" si="5"/>
        <v>79394.801055706732</v>
      </c>
      <c r="R14" s="10">
        <f>Cash_Flow!$I14</f>
        <v>14500</v>
      </c>
      <c r="S14" s="10">
        <f t="shared" si="6"/>
        <v>64894.801055706732</v>
      </c>
      <c r="T14" s="10"/>
      <c r="U14" s="10"/>
      <c r="V14" s="10"/>
      <c r="W14" s="10"/>
      <c r="X14" s="10"/>
      <c r="Y14" s="10"/>
    </row>
    <row r="15" spans="1:25" x14ac:dyDescent="0.25">
      <c r="A15" s="9">
        <f>Fleet_Schedule!$B15</f>
        <v>2</v>
      </c>
      <c r="B15" s="9">
        <f>Fleet_Schedule!$A15</f>
        <v>13</v>
      </c>
      <c r="C15" s="8">
        <f>Fleet_Schedule!$G15</f>
        <v>13</v>
      </c>
      <c r="D15" s="10">
        <f>$C15*Assumptions!$B$5</f>
        <v>390000</v>
      </c>
      <c r="E15" s="10">
        <f>$C15*Assumptions!$B$8</f>
        <v>169000</v>
      </c>
      <c r="F15" s="10">
        <f>$C15*Assumptions!$B$9</f>
        <v>7540</v>
      </c>
      <c r="G15" s="10">
        <f>$C15*Assumptions!$B$10</f>
        <v>3120</v>
      </c>
      <c r="H15" s="10">
        <f>$C15*Assumptions!$B$11</f>
        <v>0</v>
      </c>
      <c r="I15" s="10">
        <f t="shared" si="0"/>
        <v>179660</v>
      </c>
      <c r="J15" s="10">
        <f t="shared" si="1"/>
        <v>210340</v>
      </c>
      <c r="K15" s="10">
        <f>$C15*Assumptions!$B$12</f>
        <v>39000</v>
      </c>
      <c r="L15" s="10">
        <f t="shared" si="2"/>
        <v>39000</v>
      </c>
      <c r="M15" s="10">
        <f t="shared" si="3"/>
        <v>171340</v>
      </c>
      <c r="N15" s="10">
        <f>Cash_Flow!$F15</f>
        <v>1830.3966054391308</v>
      </c>
      <c r="O15" s="10">
        <f t="shared" si="4"/>
        <v>169509.60339456087</v>
      </c>
      <c r="P15" s="10">
        <f>Assumptions!$B$16*MAX(0,$O15)</f>
        <v>54243.073086259479</v>
      </c>
      <c r="Q15" s="10">
        <f t="shared" si="5"/>
        <v>115266.53030830139</v>
      </c>
      <c r="R15" s="10">
        <f>Cash_Flow!$I15</f>
        <v>26499.999999999996</v>
      </c>
      <c r="S15" s="10">
        <f t="shared" si="6"/>
        <v>88766.530308301386</v>
      </c>
      <c r="T15" s="10"/>
      <c r="U15" s="10"/>
      <c r="V15" s="10"/>
      <c r="W15" s="10"/>
      <c r="X15" s="10"/>
      <c r="Y15" s="10"/>
    </row>
    <row r="16" spans="1:25" x14ac:dyDescent="0.25">
      <c r="A16" s="9">
        <f>Fleet_Schedule!$B16</f>
        <v>2</v>
      </c>
      <c r="B16" s="9">
        <f>Fleet_Schedule!$A16</f>
        <v>14</v>
      </c>
      <c r="C16" s="8">
        <f>Fleet_Schedule!$G16</f>
        <v>13</v>
      </c>
      <c r="D16" s="10">
        <f>$C16*Assumptions!$B$5</f>
        <v>390000</v>
      </c>
      <c r="E16" s="10">
        <f>$C16*Assumptions!$B$8</f>
        <v>169000</v>
      </c>
      <c r="F16" s="10">
        <f>$C16*Assumptions!$B$9</f>
        <v>7540</v>
      </c>
      <c r="G16" s="10">
        <f>$C16*Assumptions!$B$10</f>
        <v>3120</v>
      </c>
      <c r="H16" s="10">
        <f>$C16*Assumptions!$B$11</f>
        <v>0</v>
      </c>
      <c r="I16" s="10">
        <f t="shared" si="0"/>
        <v>179660</v>
      </c>
      <c r="J16" s="10">
        <f t="shared" si="1"/>
        <v>210340</v>
      </c>
      <c r="K16" s="10">
        <f>$C16*Assumptions!$B$12</f>
        <v>39000</v>
      </c>
      <c r="L16" s="10">
        <f t="shared" si="2"/>
        <v>39000</v>
      </c>
      <c r="M16" s="10">
        <f t="shared" si="3"/>
        <v>171340</v>
      </c>
      <c r="N16" s="10">
        <f>Cash_Flow!$F16</f>
        <v>1797.5823950965635</v>
      </c>
      <c r="O16" s="10">
        <f t="shared" si="4"/>
        <v>169542.41760490343</v>
      </c>
      <c r="P16" s="10">
        <f>Assumptions!$B$16*MAX(0,$O16)</f>
        <v>54253.573633569096</v>
      </c>
      <c r="Q16" s="10">
        <f t="shared" si="5"/>
        <v>115288.84397133434</v>
      </c>
      <c r="R16" s="10">
        <f>Cash_Flow!$I16</f>
        <v>26499.999999999996</v>
      </c>
      <c r="S16" s="10">
        <f t="shared" si="6"/>
        <v>88788.84397133434</v>
      </c>
      <c r="T16" s="10"/>
      <c r="U16" s="10"/>
      <c r="V16" s="10"/>
      <c r="W16" s="10"/>
      <c r="X16" s="10"/>
      <c r="Y16" s="10"/>
    </row>
    <row r="17" spans="1:25" x14ac:dyDescent="0.25">
      <c r="A17" s="9">
        <f>Fleet_Schedule!$B17</f>
        <v>2</v>
      </c>
      <c r="B17" s="9">
        <f>Fleet_Schedule!$A17</f>
        <v>15</v>
      </c>
      <c r="C17" s="8">
        <f>Fleet_Schedule!$G17</f>
        <v>13</v>
      </c>
      <c r="D17" s="10">
        <f>$C17*Assumptions!$B$5</f>
        <v>390000</v>
      </c>
      <c r="E17" s="10">
        <f>$C17*Assumptions!$B$8</f>
        <v>169000</v>
      </c>
      <c r="F17" s="10">
        <f>$C17*Assumptions!$B$9</f>
        <v>7540</v>
      </c>
      <c r="G17" s="10">
        <f>$C17*Assumptions!$B$10</f>
        <v>3120</v>
      </c>
      <c r="H17" s="10">
        <f>$C17*Assumptions!$B$11</f>
        <v>0</v>
      </c>
      <c r="I17" s="10">
        <f t="shared" si="0"/>
        <v>179660</v>
      </c>
      <c r="J17" s="10">
        <f t="shared" si="1"/>
        <v>210340</v>
      </c>
      <c r="K17" s="10">
        <f>$C17*Assumptions!$B$12</f>
        <v>39000</v>
      </c>
      <c r="L17" s="10">
        <f t="shared" si="2"/>
        <v>39000</v>
      </c>
      <c r="M17" s="10">
        <f t="shared" si="3"/>
        <v>171340</v>
      </c>
      <c r="N17" s="10">
        <f>Cash_Flow!$F17</f>
        <v>1764.4947330011414</v>
      </c>
      <c r="O17" s="10">
        <f t="shared" si="4"/>
        <v>169575.50526699887</v>
      </c>
      <c r="P17" s="10">
        <f>Assumptions!$B$16*MAX(0,$O17)</f>
        <v>54264.161685439642</v>
      </c>
      <c r="Q17" s="10">
        <f t="shared" si="5"/>
        <v>115311.34358155922</v>
      </c>
      <c r="R17" s="10">
        <f>Cash_Flow!$I17</f>
        <v>26499.999999999996</v>
      </c>
      <c r="S17" s="10">
        <f t="shared" si="6"/>
        <v>88811.343581559224</v>
      </c>
      <c r="T17" s="10"/>
      <c r="U17" s="10"/>
      <c r="V17" s="10"/>
      <c r="W17" s="10"/>
      <c r="X17" s="10"/>
      <c r="Y17" s="10"/>
    </row>
    <row r="18" spans="1:25" x14ac:dyDescent="0.25">
      <c r="A18" s="9">
        <f>Fleet_Schedule!$B18</f>
        <v>2</v>
      </c>
      <c r="B18" s="9">
        <f>Fleet_Schedule!$A18</f>
        <v>16</v>
      </c>
      <c r="C18" s="8">
        <f>Fleet_Schedule!$G18</f>
        <v>17</v>
      </c>
      <c r="D18" s="10">
        <f>$C18*Assumptions!$B$5</f>
        <v>510000</v>
      </c>
      <c r="E18" s="10">
        <f>$C18*Assumptions!$B$8</f>
        <v>221000</v>
      </c>
      <c r="F18" s="10">
        <f>$C18*Assumptions!$B$9</f>
        <v>9860</v>
      </c>
      <c r="G18" s="10">
        <f>$C18*Assumptions!$B$10</f>
        <v>4080</v>
      </c>
      <c r="H18" s="10">
        <f>$C18*Assumptions!$B$11</f>
        <v>0</v>
      </c>
      <c r="I18" s="10">
        <f t="shared" si="0"/>
        <v>234940</v>
      </c>
      <c r="J18" s="10">
        <f t="shared" si="1"/>
        <v>275060</v>
      </c>
      <c r="K18" s="10">
        <f>$C18*Assumptions!$B$12</f>
        <v>51000</v>
      </c>
      <c r="L18" s="10">
        <f t="shared" si="2"/>
        <v>51000</v>
      </c>
      <c r="M18" s="10">
        <f t="shared" si="3"/>
        <v>224060</v>
      </c>
      <c r="N18" s="10">
        <f>Cash_Flow!$F18</f>
        <v>1731.1313403882573</v>
      </c>
      <c r="O18" s="10">
        <f t="shared" si="4"/>
        <v>222328.86865961173</v>
      </c>
      <c r="P18" s="10">
        <f>Assumptions!$B$16*MAX(0,$O18)</f>
        <v>71145.237971075752</v>
      </c>
      <c r="Q18" s="10">
        <f t="shared" si="5"/>
        <v>151183.63068853598</v>
      </c>
      <c r="R18" s="10">
        <f>Cash_Flow!$I18</f>
        <v>38500</v>
      </c>
      <c r="S18" s="10">
        <f t="shared" si="6"/>
        <v>112683.63068853598</v>
      </c>
      <c r="T18" s="10"/>
      <c r="U18" s="10"/>
      <c r="V18" s="10"/>
      <c r="W18" s="10"/>
      <c r="X18" s="10"/>
      <c r="Y18" s="10"/>
    </row>
    <row r="19" spans="1:25" x14ac:dyDescent="0.25">
      <c r="A19" s="9">
        <f>Fleet_Schedule!$B19</f>
        <v>2</v>
      </c>
      <c r="B19" s="9">
        <f>Fleet_Schedule!$A19</f>
        <v>17</v>
      </c>
      <c r="C19" s="8">
        <f>Fleet_Schedule!$G19</f>
        <v>17</v>
      </c>
      <c r="D19" s="10">
        <f>$C19*Assumptions!$B$5</f>
        <v>510000</v>
      </c>
      <c r="E19" s="10">
        <f>$C19*Assumptions!$B$8</f>
        <v>221000</v>
      </c>
      <c r="F19" s="10">
        <f>$C19*Assumptions!$B$9</f>
        <v>9860</v>
      </c>
      <c r="G19" s="10">
        <f>$C19*Assumptions!$B$10</f>
        <v>4080</v>
      </c>
      <c r="H19" s="10">
        <f>$C19*Assumptions!$B$11</f>
        <v>0</v>
      </c>
      <c r="I19" s="10">
        <f t="shared" si="0"/>
        <v>234940</v>
      </c>
      <c r="J19" s="10">
        <f t="shared" si="1"/>
        <v>275060</v>
      </c>
      <c r="K19" s="10">
        <f>$C19*Assumptions!$B$12</f>
        <v>51000</v>
      </c>
      <c r="L19" s="10">
        <f t="shared" si="2"/>
        <v>51000</v>
      </c>
      <c r="M19" s="10">
        <f t="shared" si="3"/>
        <v>224060</v>
      </c>
      <c r="N19" s="10">
        <f>Cash_Flow!$F19</f>
        <v>1697.4899195035994</v>
      </c>
      <c r="O19" s="10">
        <f t="shared" si="4"/>
        <v>222362.5100804964</v>
      </c>
      <c r="P19" s="10">
        <f>Assumptions!$B$16*MAX(0,$O19)</f>
        <v>71156.003225758846</v>
      </c>
      <c r="Q19" s="10">
        <f t="shared" si="5"/>
        <v>151206.50685473756</v>
      </c>
      <c r="R19" s="10">
        <f>Cash_Flow!$I19</f>
        <v>38500</v>
      </c>
      <c r="S19" s="10">
        <f t="shared" si="6"/>
        <v>112706.50685473756</v>
      </c>
      <c r="T19" s="10"/>
      <c r="U19" s="10"/>
      <c r="V19" s="10"/>
      <c r="W19" s="10"/>
      <c r="X19" s="10"/>
      <c r="Y19" s="10"/>
    </row>
    <row r="20" spans="1:25" x14ac:dyDescent="0.25">
      <c r="A20" s="9">
        <f>Fleet_Schedule!$B20</f>
        <v>2</v>
      </c>
      <c r="B20" s="9">
        <f>Fleet_Schedule!$A20</f>
        <v>18</v>
      </c>
      <c r="C20" s="8">
        <f>Fleet_Schedule!$G20</f>
        <v>17</v>
      </c>
      <c r="D20" s="10">
        <f>$C20*Assumptions!$B$5</f>
        <v>510000</v>
      </c>
      <c r="E20" s="10">
        <f>$C20*Assumptions!$B$8</f>
        <v>221000</v>
      </c>
      <c r="F20" s="10">
        <f>$C20*Assumptions!$B$9</f>
        <v>9860</v>
      </c>
      <c r="G20" s="10">
        <f>$C20*Assumptions!$B$10</f>
        <v>4080</v>
      </c>
      <c r="H20" s="10">
        <f>$C20*Assumptions!$B$11</f>
        <v>0</v>
      </c>
      <c r="I20" s="10">
        <f t="shared" si="0"/>
        <v>234940</v>
      </c>
      <c r="J20" s="10">
        <f t="shared" si="1"/>
        <v>275060</v>
      </c>
      <c r="K20" s="10">
        <f>$C20*Assumptions!$B$12</f>
        <v>51000</v>
      </c>
      <c r="L20" s="10">
        <f t="shared" si="2"/>
        <v>51000</v>
      </c>
      <c r="M20" s="10">
        <f t="shared" si="3"/>
        <v>224060</v>
      </c>
      <c r="N20" s="10">
        <f>Cash_Flow!$F20</f>
        <v>1663.5681534449027</v>
      </c>
      <c r="O20" s="10">
        <f t="shared" si="4"/>
        <v>222396.43184655509</v>
      </c>
      <c r="P20" s="10">
        <f>Assumptions!$B$16*MAX(0,$O20)</f>
        <v>71166.858190897634</v>
      </c>
      <c r="Q20" s="10">
        <f t="shared" si="5"/>
        <v>151229.57365565747</v>
      </c>
      <c r="R20" s="10">
        <f>Cash_Flow!$I20</f>
        <v>38500</v>
      </c>
      <c r="S20" s="10">
        <f t="shared" si="6"/>
        <v>112729.57365565747</v>
      </c>
      <c r="T20" s="10"/>
      <c r="U20" s="10"/>
      <c r="V20" s="10"/>
      <c r="W20" s="10"/>
      <c r="X20" s="10"/>
      <c r="Y20" s="10"/>
    </row>
    <row r="21" spans="1:25" x14ac:dyDescent="0.25">
      <c r="A21" s="9">
        <f>Fleet_Schedule!$B21</f>
        <v>2</v>
      </c>
      <c r="B21" s="9">
        <f>Fleet_Schedule!$A21</f>
        <v>19</v>
      </c>
      <c r="C21" s="8">
        <f>Fleet_Schedule!$G21</f>
        <v>12</v>
      </c>
      <c r="D21" s="10">
        <f>$C21*Assumptions!$B$5</f>
        <v>360000</v>
      </c>
      <c r="E21" s="10">
        <f>$C21*Assumptions!$B$8</f>
        <v>156000</v>
      </c>
      <c r="F21" s="10">
        <f>$C21*Assumptions!$B$9</f>
        <v>6960</v>
      </c>
      <c r="G21" s="10">
        <f>$C21*Assumptions!$B$10</f>
        <v>2880</v>
      </c>
      <c r="H21" s="10">
        <f>$C21*Assumptions!$B$11</f>
        <v>0</v>
      </c>
      <c r="I21" s="10">
        <f t="shared" si="0"/>
        <v>165840</v>
      </c>
      <c r="J21" s="10">
        <f t="shared" si="1"/>
        <v>194160</v>
      </c>
      <c r="K21" s="10">
        <f>$C21*Assumptions!$B$12</f>
        <v>36000</v>
      </c>
      <c r="L21" s="10">
        <f t="shared" si="2"/>
        <v>36000</v>
      </c>
      <c r="M21" s="10">
        <f t="shared" si="3"/>
        <v>158160</v>
      </c>
      <c r="N21" s="10">
        <f>Cash_Flow!$F21</f>
        <v>1629.3637060023834</v>
      </c>
      <c r="O21" s="10">
        <f t="shared" si="4"/>
        <v>156530.63629399761</v>
      </c>
      <c r="P21" s="10">
        <f>Assumptions!$B$16*MAX(0,$O21)</f>
        <v>50089.803614079239</v>
      </c>
      <c r="Q21" s="10">
        <f t="shared" si="5"/>
        <v>106440.83267991837</v>
      </c>
      <c r="R21" s="10">
        <f>Cash_Flow!$I21</f>
        <v>23500</v>
      </c>
      <c r="S21" s="10">
        <f t="shared" si="6"/>
        <v>82940.832679918371</v>
      </c>
      <c r="T21" s="10"/>
      <c r="U21" s="10"/>
      <c r="V21" s="10"/>
      <c r="W21" s="10"/>
      <c r="X21" s="10"/>
      <c r="Y21" s="10"/>
    </row>
    <row r="22" spans="1:25" x14ac:dyDescent="0.25">
      <c r="A22" s="9">
        <f>Fleet_Schedule!$B22</f>
        <v>2</v>
      </c>
      <c r="B22" s="9">
        <f>Fleet_Schedule!$A22</f>
        <v>20</v>
      </c>
      <c r="C22" s="8">
        <f>Fleet_Schedule!$G22</f>
        <v>12</v>
      </c>
      <c r="D22" s="10">
        <f>$C22*Assumptions!$B$5</f>
        <v>360000</v>
      </c>
      <c r="E22" s="10">
        <f>$C22*Assumptions!$B$8</f>
        <v>156000</v>
      </c>
      <c r="F22" s="10">
        <f>$C22*Assumptions!$B$9</f>
        <v>6960</v>
      </c>
      <c r="G22" s="10">
        <f>$C22*Assumptions!$B$10</f>
        <v>2880</v>
      </c>
      <c r="H22" s="10">
        <f>$C22*Assumptions!$B$11</f>
        <v>0</v>
      </c>
      <c r="I22" s="10">
        <f t="shared" si="0"/>
        <v>165840</v>
      </c>
      <c r="J22" s="10">
        <f t="shared" si="1"/>
        <v>194160</v>
      </c>
      <c r="K22" s="10">
        <f>$C22*Assumptions!$B$12</f>
        <v>36000</v>
      </c>
      <c r="L22" s="10">
        <f t="shared" si="2"/>
        <v>36000</v>
      </c>
      <c r="M22" s="10">
        <f t="shared" si="3"/>
        <v>158160</v>
      </c>
      <c r="N22" s="10">
        <f>Cash_Flow!$F22</f>
        <v>1594.8742214978433</v>
      </c>
      <c r="O22" s="10">
        <f t="shared" si="4"/>
        <v>156565.12577850214</v>
      </c>
      <c r="P22" s="10">
        <f>Assumptions!$B$16*MAX(0,$O22)</f>
        <v>50100.840249120687</v>
      </c>
      <c r="Q22" s="10">
        <f t="shared" si="5"/>
        <v>106464.28552938145</v>
      </c>
      <c r="R22" s="10">
        <f>Cash_Flow!$I22</f>
        <v>23500</v>
      </c>
      <c r="S22" s="10">
        <f t="shared" si="6"/>
        <v>82964.28552938145</v>
      </c>
      <c r="T22" s="10"/>
      <c r="U22" s="10"/>
      <c r="V22" s="10"/>
      <c r="W22" s="10"/>
      <c r="X22" s="10"/>
      <c r="Y22" s="10"/>
    </row>
    <row r="23" spans="1:25" x14ac:dyDescent="0.25">
      <c r="A23" s="9">
        <f>Fleet_Schedule!$B23</f>
        <v>2</v>
      </c>
      <c r="B23" s="9">
        <f>Fleet_Schedule!$A23</f>
        <v>21</v>
      </c>
      <c r="C23" s="8">
        <f>Fleet_Schedule!$G23</f>
        <v>16</v>
      </c>
      <c r="D23" s="10">
        <f>$C23*Assumptions!$B$5</f>
        <v>480000</v>
      </c>
      <c r="E23" s="10">
        <f>$C23*Assumptions!$B$8</f>
        <v>208000</v>
      </c>
      <c r="F23" s="10">
        <f>$C23*Assumptions!$B$9</f>
        <v>9280</v>
      </c>
      <c r="G23" s="10">
        <f>$C23*Assumptions!$B$10</f>
        <v>3840</v>
      </c>
      <c r="H23" s="10">
        <f>$C23*Assumptions!$B$11</f>
        <v>0</v>
      </c>
      <c r="I23" s="10">
        <f t="shared" si="0"/>
        <v>221120</v>
      </c>
      <c r="J23" s="10">
        <f t="shared" si="1"/>
        <v>258880</v>
      </c>
      <c r="K23" s="10">
        <f>$C23*Assumptions!$B$12</f>
        <v>48000</v>
      </c>
      <c r="L23" s="10">
        <f t="shared" si="2"/>
        <v>48000</v>
      </c>
      <c r="M23" s="10">
        <f t="shared" si="3"/>
        <v>210880</v>
      </c>
      <c r="N23" s="10">
        <f>Cash_Flow!$F23</f>
        <v>1560.0973246224319</v>
      </c>
      <c r="O23" s="10">
        <f t="shared" si="4"/>
        <v>209319.90267537755</v>
      </c>
      <c r="P23" s="10">
        <f>Assumptions!$B$16*MAX(0,$O23)</f>
        <v>66982.368856120826</v>
      </c>
      <c r="Q23" s="10">
        <f t="shared" si="5"/>
        <v>142337.53381925673</v>
      </c>
      <c r="R23" s="10">
        <f>Cash_Flow!$I23</f>
        <v>35500</v>
      </c>
      <c r="S23" s="10">
        <f t="shared" si="6"/>
        <v>106837.53381925673</v>
      </c>
      <c r="T23" s="10"/>
      <c r="U23" s="10"/>
      <c r="V23" s="10"/>
      <c r="W23" s="10"/>
      <c r="X23" s="10"/>
      <c r="Y23" s="10"/>
    </row>
    <row r="24" spans="1:25" x14ac:dyDescent="0.25">
      <c r="A24" s="9">
        <f>Fleet_Schedule!$B24</f>
        <v>2</v>
      </c>
      <c r="B24" s="9">
        <f>Fleet_Schedule!$A24</f>
        <v>22</v>
      </c>
      <c r="C24" s="8">
        <f>Fleet_Schedule!$G24</f>
        <v>16</v>
      </c>
      <c r="D24" s="10">
        <f>$C24*Assumptions!$B$5</f>
        <v>480000</v>
      </c>
      <c r="E24" s="10">
        <f>$C24*Assumptions!$B$8</f>
        <v>208000</v>
      </c>
      <c r="F24" s="10">
        <f>$C24*Assumptions!$B$9</f>
        <v>9280</v>
      </c>
      <c r="G24" s="10">
        <f>$C24*Assumptions!$B$10</f>
        <v>3840</v>
      </c>
      <c r="H24" s="10">
        <f>$C24*Assumptions!$B$11</f>
        <v>0</v>
      </c>
      <c r="I24" s="10">
        <f t="shared" si="0"/>
        <v>221120</v>
      </c>
      <c r="J24" s="10">
        <f t="shared" si="1"/>
        <v>258880</v>
      </c>
      <c r="K24" s="10">
        <f>$C24*Assumptions!$B$12</f>
        <v>48000</v>
      </c>
      <c r="L24" s="10">
        <f t="shared" si="2"/>
        <v>48000</v>
      </c>
      <c r="M24" s="10">
        <f t="shared" si="3"/>
        <v>210880</v>
      </c>
      <c r="N24" s="10">
        <f>Cash_Flow!$F24</f>
        <v>1525.0306202730587</v>
      </c>
      <c r="O24" s="10">
        <f t="shared" si="4"/>
        <v>209354.96937972694</v>
      </c>
      <c r="P24" s="10">
        <f>Assumptions!$B$16*MAX(0,$O24)</f>
        <v>66993.590201512619</v>
      </c>
      <c r="Q24" s="10">
        <f t="shared" si="5"/>
        <v>142361.37917821432</v>
      </c>
      <c r="R24" s="10">
        <f>Cash_Flow!$I24</f>
        <v>35500</v>
      </c>
      <c r="S24" s="10">
        <f t="shared" si="6"/>
        <v>106861.37917821432</v>
      </c>
      <c r="T24" s="10"/>
      <c r="U24" s="10"/>
      <c r="V24" s="10"/>
      <c r="W24" s="10"/>
      <c r="X24" s="10"/>
      <c r="Y24" s="10"/>
    </row>
    <row r="25" spans="1:25" x14ac:dyDescent="0.25">
      <c r="A25" s="9">
        <f>Fleet_Schedule!$B25</f>
        <v>2</v>
      </c>
      <c r="B25" s="9">
        <f>Fleet_Schedule!$A25</f>
        <v>23</v>
      </c>
      <c r="C25" s="8">
        <f>Fleet_Schedule!$G25</f>
        <v>16</v>
      </c>
      <c r="D25" s="10">
        <f>$C25*Assumptions!$B$5</f>
        <v>480000</v>
      </c>
      <c r="E25" s="10">
        <f>$C25*Assumptions!$B$8</f>
        <v>208000</v>
      </c>
      <c r="F25" s="10">
        <f>$C25*Assumptions!$B$9</f>
        <v>9280</v>
      </c>
      <c r="G25" s="10">
        <f>$C25*Assumptions!$B$10</f>
        <v>3840</v>
      </c>
      <c r="H25" s="10">
        <f>$C25*Assumptions!$B$11</f>
        <v>0</v>
      </c>
      <c r="I25" s="10">
        <f t="shared" si="0"/>
        <v>221120</v>
      </c>
      <c r="J25" s="10">
        <f t="shared" si="1"/>
        <v>258880</v>
      </c>
      <c r="K25" s="10">
        <f>$C25*Assumptions!$B$12</f>
        <v>48000</v>
      </c>
      <c r="L25" s="10">
        <f t="shared" si="2"/>
        <v>48000</v>
      </c>
      <c r="M25" s="10">
        <f t="shared" si="3"/>
        <v>210880</v>
      </c>
      <c r="N25" s="10">
        <f>Cash_Flow!$F25</f>
        <v>1489.6716933874409</v>
      </c>
      <c r="O25" s="10">
        <f t="shared" si="4"/>
        <v>209390.32830661256</v>
      </c>
      <c r="P25" s="10">
        <f>Assumptions!$B$16*MAX(0,$O25)</f>
        <v>67004.905058116026</v>
      </c>
      <c r="Q25" s="10">
        <f t="shared" si="5"/>
        <v>142385.42324849655</v>
      </c>
      <c r="R25" s="10">
        <f>Cash_Flow!$I25</f>
        <v>35500</v>
      </c>
      <c r="S25" s="10">
        <f t="shared" si="6"/>
        <v>106885.42324849655</v>
      </c>
      <c r="T25" s="10"/>
      <c r="U25" s="10"/>
      <c r="V25" s="10"/>
      <c r="W25" s="10"/>
      <c r="X25" s="10"/>
      <c r="Y25" s="10"/>
    </row>
    <row r="26" spans="1:25" x14ac:dyDescent="0.25">
      <c r="A26" s="9">
        <f>Fleet_Schedule!$B26</f>
        <v>2</v>
      </c>
      <c r="B26" s="9">
        <f>Fleet_Schedule!$A26</f>
        <v>24</v>
      </c>
      <c r="C26" s="8">
        <f>Fleet_Schedule!$G26</f>
        <v>16</v>
      </c>
      <c r="D26" s="10">
        <f>$C26*Assumptions!$B$5</f>
        <v>480000</v>
      </c>
      <c r="E26" s="10">
        <f>$C26*Assumptions!$B$8</f>
        <v>208000</v>
      </c>
      <c r="F26" s="10">
        <f>$C26*Assumptions!$B$9</f>
        <v>9280</v>
      </c>
      <c r="G26" s="10">
        <f>$C26*Assumptions!$B$10</f>
        <v>3840</v>
      </c>
      <c r="H26" s="10">
        <f>$C26*Assumptions!$B$11</f>
        <v>0</v>
      </c>
      <c r="I26" s="10">
        <f t="shared" si="0"/>
        <v>221120</v>
      </c>
      <c r="J26" s="10">
        <f t="shared" si="1"/>
        <v>258880</v>
      </c>
      <c r="K26" s="10">
        <f>$C26*Assumptions!$B$12</f>
        <v>48000</v>
      </c>
      <c r="L26" s="10">
        <f t="shared" si="2"/>
        <v>48000</v>
      </c>
      <c r="M26" s="10">
        <f t="shared" si="3"/>
        <v>210880</v>
      </c>
      <c r="N26" s="10">
        <f>Cash_Flow!$F26</f>
        <v>1454.018108777776</v>
      </c>
      <c r="O26" s="10">
        <f t="shared" si="4"/>
        <v>209425.98189122221</v>
      </c>
      <c r="P26" s="10">
        <f>Assumptions!$B$16*MAX(0,$O26)</f>
        <v>67016.314205191113</v>
      </c>
      <c r="Q26" s="10">
        <f t="shared" si="5"/>
        <v>142409.66768603108</v>
      </c>
      <c r="R26" s="10">
        <f>Cash_Flow!$I26</f>
        <v>35500</v>
      </c>
      <c r="S26" s="10">
        <f t="shared" si="6"/>
        <v>106909.66768603108</v>
      </c>
      <c r="T26" s="10"/>
      <c r="U26" s="10"/>
      <c r="V26" s="10"/>
      <c r="W26" s="10"/>
      <c r="X26" s="10"/>
      <c r="Y26" s="10"/>
    </row>
    <row r="27" spans="1:25" x14ac:dyDescent="0.25">
      <c r="A27" s="9">
        <f>Fleet_Schedule!$B27</f>
        <v>3</v>
      </c>
      <c r="B27" s="9">
        <f>Fleet_Schedule!$A27</f>
        <v>25</v>
      </c>
      <c r="C27" s="8">
        <f>Fleet_Schedule!$G27</f>
        <v>16</v>
      </c>
      <c r="D27" s="10">
        <f>$C27*Assumptions!$B$5</f>
        <v>480000</v>
      </c>
      <c r="E27" s="10">
        <f>$C27*Assumptions!$B$8</f>
        <v>208000</v>
      </c>
      <c r="F27" s="10">
        <f>$C27*Assumptions!$B$9</f>
        <v>9280</v>
      </c>
      <c r="G27" s="10">
        <f>$C27*Assumptions!$B$10</f>
        <v>3840</v>
      </c>
      <c r="H27" s="10">
        <f>$C27*Assumptions!$B$11</f>
        <v>0</v>
      </c>
      <c r="I27" s="10">
        <f t="shared" si="0"/>
        <v>221120</v>
      </c>
      <c r="J27" s="10">
        <f t="shared" si="1"/>
        <v>258880</v>
      </c>
      <c r="K27" s="10">
        <f>$C27*Assumptions!$B$12</f>
        <v>48000</v>
      </c>
      <c r="L27" s="10">
        <f t="shared" si="2"/>
        <v>48000</v>
      </c>
      <c r="M27" s="10">
        <f t="shared" si="3"/>
        <v>210880</v>
      </c>
      <c r="N27" s="10">
        <f>Cash_Flow!$F27</f>
        <v>1418.0674109630309</v>
      </c>
      <c r="O27" s="10">
        <f t="shared" si="4"/>
        <v>209461.93258903697</v>
      </c>
      <c r="P27" s="10">
        <f>Assumptions!$B$16*MAX(0,$O27)</f>
        <v>67027.818428491824</v>
      </c>
      <c r="Q27" s="10">
        <f t="shared" si="5"/>
        <v>142434.11416054514</v>
      </c>
      <c r="R27" s="10">
        <f>Cash_Flow!$I27</f>
        <v>35500</v>
      </c>
      <c r="S27" s="10">
        <f t="shared" si="6"/>
        <v>106934.11416054514</v>
      </c>
      <c r="T27" s="10"/>
      <c r="U27" s="10"/>
      <c r="V27" s="10"/>
      <c r="W27" s="10"/>
      <c r="X27" s="10"/>
      <c r="Y27" s="10"/>
    </row>
    <row r="28" spans="1:25" x14ac:dyDescent="0.25">
      <c r="A28" s="9">
        <f>Fleet_Schedule!$B28</f>
        <v>3</v>
      </c>
      <c r="B28" s="9">
        <f>Fleet_Schedule!$A28</f>
        <v>26</v>
      </c>
      <c r="C28" s="8">
        <f>Fleet_Schedule!$G28</f>
        <v>20</v>
      </c>
      <c r="D28" s="10">
        <f>$C28*Assumptions!$B$5</f>
        <v>600000</v>
      </c>
      <c r="E28" s="10">
        <f>$C28*Assumptions!$B$8</f>
        <v>260000</v>
      </c>
      <c r="F28" s="10">
        <f>$C28*Assumptions!$B$9</f>
        <v>11600</v>
      </c>
      <c r="G28" s="10">
        <f>$C28*Assumptions!$B$10</f>
        <v>4800</v>
      </c>
      <c r="H28" s="10">
        <f>$C28*Assumptions!$B$11</f>
        <v>0</v>
      </c>
      <c r="I28" s="10">
        <f t="shared" si="0"/>
        <v>276400</v>
      </c>
      <c r="J28" s="10">
        <f t="shared" si="1"/>
        <v>323600</v>
      </c>
      <c r="K28" s="10">
        <f>$C28*Assumptions!$B$12</f>
        <v>60000</v>
      </c>
      <c r="L28" s="10">
        <f t="shared" si="2"/>
        <v>60000</v>
      </c>
      <c r="M28" s="10">
        <f t="shared" si="3"/>
        <v>263600</v>
      </c>
      <c r="N28" s="10">
        <f>Cash_Flow!$F28</f>
        <v>1381.8171239998294</v>
      </c>
      <c r="O28" s="10">
        <f t="shared" si="4"/>
        <v>262218.18287600018</v>
      </c>
      <c r="P28" s="10">
        <f>Assumptions!$B$16*MAX(0,$O28)</f>
        <v>83909.818520320056</v>
      </c>
      <c r="Q28" s="10">
        <f t="shared" si="5"/>
        <v>178308.36435568013</v>
      </c>
      <c r="R28" s="10">
        <f>Cash_Flow!$I28</f>
        <v>47500</v>
      </c>
      <c r="S28" s="10">
        <f t="shared" si="6"/>
        <v>130808.36435568013</v>
      </c>
      <c r="T28" s="10"/>
      <c r="U28" s="10"/>
      <c r="V28" s="10"/>
      <c r="W28" s="10"/>
      <c r="X28" s="10"/>
      <c r="Y28" s="10"/>
    </row>
    <row r="29" spans="1:25" x14ac:dyDescent="0.25">
      <c r="A29" s="9">
        <f>Fleet_Schedule!$B29</f>
        <v>3</v>
      </c>
      <c r="B29" s="9">
        <f>Fleet_Schedule!$A29</f>
        <v>27</v>
      </c>
      <c r="C29" s="8">
        <f>Fleet_Schedule!$G29</f>
        <v>16</v>
      </c>
      <c r="D29" s="10">
        <f>$C29*Assumptions!$B$5</f>
        <v>480000</v>
      </c>
      <c r="E29" s="10">
        <f>$C29*Assumptions!$B$8</f>
        <v>208000</v>
      </c>
      <c r="F29" s="10">
        <f>$C29*Assumptions!$B$9</f>
        <v>9280</v>
      </c>
      <c r="G29" s="10">
        <f>$C29*Assumptions!$B$10</f>
        <v>3840</v>
      </c>
      <c r="H29" s="10">
        <f>$C29*Assumptions!$B$11</f>
        <v>0</v>
      </c>
      <c r="I29" s="10">
        <f t="shared" si="0"/>
        <v>221120</v>
      </c>
      <c r="J29" s="10">
        <f t="shared" si="1"/>
        <v>258880</v>
      </c>
      <c r="K29" s="10">
        <f>$C29*Assumptions!$B$12</f>
        <v>48000</v>
      </c>
      <c r="L29" s="10">
        <f t="shared" si="2"/>
        <v>48000</v>
      </c>
      <c r="M29" s="10">
        <f t="shared" si="3"/>
        <v>210880</v>
      </c>
      <c r="N29" s="10">
        <f>Cash_Flow!$F29</f>
        <v>1345.2647513119343</v>
      </c>
      <c r="O29" s="10">
        <f t="shared" si="4"/>
        <v>209534.73524868806</v>
      </c>
      <c r="P29" s="10">
        <f>Assumptions!$B$16*MAX(0,$O29)</f>
        <v>67051.115279580175</v>
      </c>
      <c r="Q29" s="10">
        <f t="shared" si="5"/>
        <v>142483.61996910788</v>
      </c>
      <c r="R29" s="10">
        <f>Cash_Flow!$I29</f>
        <v>35500</v>
      </c>
      <c r="S29" s="10">
        <f t="shared" si="6"/>
        <v>106983.61996910788</v>
      </c>
      <c r="T29" s="10"/>
      <c r="U29" s="10"/>
      <c r="V29" s="10"/>
      <c r="W29" s="10"/>
      <c r="X29" s="10"/>
      <c r="Y29" s="10"/>
    </row>
    <row r="30" spans="1:25" x14ac:dyDescent="0.25">
      <c r="A30" s="9">
        <f>Fleet_Schedule!$B30</f>
        <v>3</v>
      </c>
      <c r="B30" s="9">
        <f>Fleet_Schedule!$A30</f>
        <v>28</v>
      </c>
      <c r="C30" s="8">
        <f>Fleet_Schedule!$G30</f>
        <v>16</v>
      </c>
      <c r="D30" s="10">
        <f>$C30*Assumptions!$B$5</f>
        <v>480000</v>
      </c>
      <c r="E30" s="10">
        <f>$C30*Assumptions!$B$8</f>
        <v>208000</v>
      </c>
      <c r="F30" s="10">
        <f>$C30*Assumptions!$B$9</f>
        <v>9280</v>
      </c>
      <c r="G30" s="10">
        <f>$C30*Assumptions!$B$10</f>
        <v>3840</v>
      </c>
      <c r="H30" s="10">
        <f>$C30*Assumptions!$B$11</f>
        <v>0</v>
      </c>
      <c r="I30" s="10">
        <f t="shared" si="0"/>
        <v>221120</v>
      </c>
      <c r="J30" s="10">
        <f t="shared" si="1"/>
        <v>258880</v>
      </c>
      <c r="K30" s="10">
        <f>$C30*Assumptions!$B$12</f>
        <v>48000</v>
      </c>
      <c r="L30" s="10">
        <f t="shared" si="2"/>
        <v>48000</v>
      </c>
      <c r="M30" s="10">
        <f t="shared" si="3"/>
        <v>210880</v>
      </c>
      <c r="N30" s="10">
        <f>Cash_Flow!$F30</f>
        <v>1308.4077755183071</v>
      </c>
      <c r="O30" s="10">
        <f t="shared" si="4"/>
        <v>209571.59222448169</v>
      </c>
      <c r="P30" s="10">
        <f>Assumptions!$B$16*MAX(0,$O30)</f>
        <v>67062.909511834136</v>
      </c>
      <c r="Q30" s="10">
        <f t="shared" si="5"/>
        <v>142508.68271264754</v>
      </c>
      <c r="R30" s="10">
        <f>Cash_Flow!$I30</f>
        <v>35500</v>
      </c>
      <c r="S30" s="10">
        <f t="shared" si="6"/>
        <v>107008.68271264754</v>
      </c>
      <c r="T30" s="10"/>
      <c r="U30" s="10"/>
      <c r="V30" s="10"/>
      <c r="W30" s="10"/>
      <c r="X30" s="10"/>
      <c r="Y30" s="10"/>
    </row>
    <row r="31" spans="1:25" x14ac:dyDescent="0.25">
      <c r="A31" s="9">
        <f>Fleet_Schedule!$B31</f>
        <v>3</v>
      </c>
      <c r="B31" s="9">
        <f>Fleet_Schedule!$A31</f>
        <v>29</v>
      </c>
      <c r="C31" s="8">
        <f>Fleet_Schedule!$G31</f>
        <v>21</v>
      </c>
      <c r="D31" s="10">
        <f>$C31*Assumptions!$B$5</f>
        <v>630000</v>
      </c>
      <c r="E31" s="10">
        <f>$C31*Assumptions!$B$8</f>
        <v>273000</v>
      </c>
      <c r="F31" s="10">
        <f>$C31*Assumptions!$B$9</f>
        <v>12180</v>
      </c>
      <c r="G31" s="10">
        <f>$C31*Assumptions!$B$10</f>
        <v>5040</v>
      </c>
      <c r="H31" s="10">
        <f>$C31*Assumptions!$B$11</f>
        <v>0</v>
      </c>
      <c r="I31" s="10">
        <f t="shared" si="0"/>
        <v>290220</v>
      </c>
      <c r="J31" s="10">
        <f t="shared" si="1"/>
        <v>339780</v>
      </c>
      <c r="K31" s="10">
        <f>$C31*Assumptions!$B$12</f>
        <v>63000</v>
      </c>
      <c r="L31" s="10">
        <f t="shared" si="2"/>
        <v>63000</v>
      </c>
      <c r="M31" s="10">
        <f t="shared" si="3"/>
        <v>276780</v>
      </c>
      <c r="N31" s="10">
        <f>Cash_Flow!$F31</f>
        <v>1271.2436582597329</v>
      </c>
      <c r="O31" s="10">
        <f t="shared" si="4"/>
        <v>275508.75634174026</v>
      </c>
      <c r="P31" s="10">
        <f>Assumptions!$B$16*MAX(0,$O31)</f>
        <v>88162.802029356884</v>
      </c>
      <c r="Q31" s="10">
        <f t="shared" si="5"/>
        <v>187345.95431238337</v>
      </c>
      <c r="R31" s="10">
        <f>Cash_Flow!$I31</f>
        <v>50500</v>
      </c>
      <c r="S31" s="10">
        <f t="shared" si="6"/>
        <v>136845.95431238337</v>
      </c>
      <c r="T31" s="10"/>
      <c r="U31" s="10"/>
      <c r="V31" s="10"/>
      <c r="W31" s="10"/>
      <c r="X31" s="10"/>
      <c r="Y31" s="10"/>
    </row>
    <row r="32" spans="1:25" x14ac:dyDescent="0.25">
      <c r="A32" s="9">
        <f>Fleet_Schedule!$B32</f>
        <v>3</v>
      </c>
      <c r="B32" s="9">
        <f>Fleet_Schedule!$A32</f>
        <v>30</v>
      </c>
      <c r="C32" s="8">
        <f>Fleet_Schedule!$G32</f>
        <v>17</v>
      </c>
      <c r="D32" s="10">
        <f>$C32*Assumptions!$B$5</f>
        <v>510000</v>
      </c>
      <c r="E32" s="10">
        <f>$C32*Assumptions!$B$8</f>
        <v>221000</v>
      </c>
      <c r="F32" s="10">
        <f>$C32*Assumptions!$B$9</f>
        <v>9860</v>
      </c>
      <c r="G32" s="10">
        <f>$C32*Assumptions!$B$10</f>
        <v>4080</v>
      </c>
      <c r="H32" s="10">
        <f>$C32*Assumptions!$B$11</f>
        <v>0</v>
      </c>
      <c r="I32" s="10">
        <f t="shared" si="0"/>
        <v>234940</v>
      </c>
      <c r="J32" s="10">
        <f t="shared" si="1"/>
        <v>275060</v>
      </c>
      <c r="K32" s="10">
        <f>$C32*Assumptions!$B$12</f>
        <v>51000</v>
      </c>
      <c r="L32" s="10">
        <f t="shared" si="2"/>
        <v>51000</v>
      </c>
      <c r="M32" s="10">
        <f t="shared" si="3"/>
        <v>224060</v>
      </c>
      <c r="N32" s="10">
        <f>Cash_Flow!$F32</f>
        <v>1233.769840024004</v>
      </c>
      <c r="O32" s="10">
        <f t="shared" si="4"/>
        <v>222826.230159976</v>
      </c>
      <c r="P32" s="10">
        <f>Assumptions!$B$16*MAX(0,$O32)</f>
        <v>71304.393651192324</v>
      </c>
      <c r="Q32" s="10">
        <f t="shared" si="5"/>
        <v>151521.83650878369</v>
      </c>
      <c r="R32" s="10">
        <f>Cash_Flow!$I32</f>
        <v>38500</v>
      </c>
      <c r="S32" s="10">
        <f t="shared" si="6"/>
        <v>113021.83650878369</v>
      </c>
      <c r="T32" s="10"/>
      <c r="U32" s="10"/>
      <c r="V32" s="10"/>
      <c r="W32" s="10"/>
      <c r="X32" s="10"/>
      <c r="Y32" s="10"/>
    </row>
    <row r="33" spans="1:25" x14ac:dyDescent="0.25">
      <c r="A33" s="9">
        <f>Fleet_Schedule!$B33</f>
        <v>3</v>
      </c>
      <c r="B33" s="9">
        <f>Fleet_Schedule!$A33</f>
        <v>31</v>
      </c>
      <c r="C33" s="8">
        <f>Fleet_Schedule!$G33</f>
        <v>21</v>
      </c>
      <c r="D33" s="10">
        <f>$C33*Assumptions!$B$5</f>
        <v>630000</v>
      </c>
      <c r="E33" s="10">
        <f>$C33*Assumptions!$B$8</f>
        <v>273000</v>
      </c>
      <c r="F33" s="10">
        <f>$C33*Assumptions!$B$9</f>
        <v>12180</v>
      </c>
      <c r="G33" s="10">
        <f>$C33*Assumptions!$B$10</f>
        <v>5040</v>
      </c>
      <c r="H33" s="10">
        <f>$C33*Assumptions!$B$11</f>
        <v>0</v>
      </c>
      <c r="I33" s="10">
        <f t="shared" si="0"/>
        <v>290220</v>
      </c>
      <c r="J33" s="10">
        <f t="shared" si="1"/>
        <v>339780</v>
      </c>
      <c r="K33" s="10">
        <f>$C33*Assumptions!$B$12</f>
        <v>63000</v>
      </c>
      <c r="L33" s="10">
        <f t="shared" si="2"/>
        <v>63000</v>
      </c>
      <c r="M33" s="10">
        <f t="shared" si="3"/>
        <v>276780</v>
      </c>
      <c r="N33" s="10">
        <f>Cash_Flow!$F33</f>
        <v>1195.9837399696439</v>
      </c>
      <c r="O33" s="10">
        <f t="shared" si="4"/>
        <v>275584.01626003033</v>
      </c>
      <c r="P33" s="10">
        <f>Assumptions!$B$16*MAX(0,$O33)</f>
        <v>88186.885203209706</v>
      </c>
      <c r="Q33" s="10">
        <f t="shared" si="5"/>
        <v>187397.13105682062</v>
      </c>
      <c r="R33" s="10">
        <f>Cash_Flow!$I33</f>
        <v>50500</v>
      </c>
      <c r="S33" s="10">
        <f t="shared" si="6"/>
        <v>136897.13105682062</v>
      </c>
      <c r="T33" s="10"/>
      <c r="U33" s="10"/>
      <c r="V33" s="10"/>
      <c r="W33" s="10"/>
      <c r="X33" s="10"/>
      <c r="Y33" s="10"/>
    </row>
    <row r="34" spans="1:25" x14ac:dyDescent="0.25">
      <c r="A34" s="9">
        <f>Fleet_Schedule!$B34</f>
        <v>3</v>
      </c>
      <c r="B34" s="9">
        <f>Fleet_Schedule!$A34</f>
        <v>32</v>
      </c>
      <c r="C34" s="8">
        <f>Fleet_Schedule!$G34</f>
        <v>17</v>
      </c>
      <c r="D34" s="10">
        <f>$C34*Assumptions!$B$5</f>
        <v>510000</v>
      </c>
      <c r="E34" s="10">
        <f>$C34*Assumptions!$B$8</f>
        <v>221000</v>
      </c>
      <c r="F34" s="10">
        <f>$C34*Assumptions!$B$9</f>
        <v>9860</v>
      </c>
      <c r="G34" s="10">
        <f>$C34*Assumptions!$B$10</f>
        <v>4080</v>
      </c>
      <c r="H34" s="10">
        <f>$C34*Assumptions!$B$11</f>
        <v>0</v>
      </c>
      <c r="I34" s="10">
        <f t="shared" si="0"/>
        <v>234940</v>
      </c>
      <c r="J34" s="10">
        <f t="shared" si="1"/>
        <v>275060</v>
      </c>
      <c r="K34" s="10">
        <f>$C34*Assumptions!$B$12</f>
        <v>51000</v>
      </c>
      <c r="L34" s="10">
        <f t="shared" si="2"/>
        <v>51000</v>
      </c>
      <c r="M34" s="10">
        <f t="shared" si="3"/>
        <v>224060</v>
      </c>
      <c r="N34" s="10">
        <f>Cash_Flow!$F34</f>
        <v>1157.8827557481641</v>
      </c>
      <c r="O34" s="10">
        <f t="shared" si="4"/>
        <v>222902.11724425183</v>
      </c>
      <c r="P34" s="10">
        <f>Assumptions!$B$16*MAX(0,$O34)</f>
        <v>71328.677518160592</v>
      </c>
      <c r="Q34" s="10">
        <f t="shared" si="5"/>
        <v>151573.43972609122</v>
      </c>
      <c r="R34" s="10">
        <f>Cash_Flow!$I34</f>
        <v>38500</v>
      </c>
      <c r="S34" s="10">
        <f t="shared" si="6"/>
        <v>113073.43972609122</v>
      </c>
      <c r="T34" s="10"/>
      <c r="U34" s="10"/>
      <c r="V34" s="10"/>
      <c r="W34" s="10"/>
      <c r="X34" s="10"/>
      <c r="Y34" s="10"/>
    </row>
    <row r="35" spans="1:25" x14ac:dyDescent="0.25">
      <c r="A35" s="9">
        <f>Fleet_Schedule!$B35</f>
        <v>3</v>
      </c>
      <c r="B35" s="9">
        <f>Fleet_Schedule!$A35</f>
        <v>33</v>
      </c>
      <c r="C35" s="8">
        <f>Fleet_Schedule!$G35</f>
        <v>21</v>
      </c>
      <c r="D35" s="10">
        <f>$C35*Assumptions!$B$5</f>
        <v>630000</v>
      </c>
      <c r="E35" s="10">
        <f>$C35*Assumptions!$B$8</f>
        <v>273000</v>
      </c>
      <c r="F35" s="10">
        <f>$C35*Assumptions!$B$9</f>
        <v>12180</v>
      </c>
      <c r="G35" s="10">
        <f>$C35*Assumptions!$B$10</f>
        <v>5040</v>
      </c>
      <c r="H35" s="10">
        <f>$C35*Assumptions!$B$11</f>
        <v>0</v>
      </c>
      <c r="I35" s="10">
        <f t="shared" si="0"/>
        <v>290220</v>
      </c>
      <c r="J35" s="10">
        <f t="shared" si="1"/>
        <v>339780</v>
      </c>
      <c r="K35" s="10">
        <f>$C35*Assumptions!$B$12</f>
        <v>63000</v>
      </c>
      <c r="L35" s="10">
        <f t="shared" si="2"/>
        <v>63000</v>
      </c>
      <c r="M35" s="10">
        <f t="shared" si="3"/>
        <v>276780</v>
      </c>
      <c r="N35" s="10">
        <f>Cash_Flow!$F35</f>
        <v>1119.4642633248386</v>
      </c>
      <c r="O35" s="10">
        <f t="shared" si="4"/>
        <v>275660.53573667514</v>
      </c>
      <c r="P35" s="10">
        <f>Assumptions!$B$16*MAX(0,$O35)</f>
        <v>88211.371435736044</v>
      </c>
      <c r="Q35" s="10">
        <f t="shared" si="5"/>
        <v>187449.1643009391</v>
      </c>
      <c r="R35" s="10">
        <f>Cash_Flow!$I35</f>
        <v>50500</v>
      </c>
      <c r="S35" s="10">
        <f t="shared" si="6"/>
        <v>136949.1643009391</v>
      </c>
      <c r="T35" s="10"/>
      <c r="U35" s="10"/>
      <c r="V35" s="10"/>
      <c r="W35" s="10"/>
      <c r="X35" s="10"/>
      <c r="Y35" s="10"/>
    </row>
    <row r="36" spans="1:25" x14ac:dyDescent="0.25">
      <c r="A36" s="9">
        <f>Fleet_Schedule!$B36</f>
        <v>3</v>
      </c>
      <c r="B36" s="9">
        <f>Fleet_Schedule!$A36</f>
        <v>34</v>
      </c>
      <c r="C36" s="8">
        <f>Fleet_Schedule!$G36</f>
        <v>21</v>
      </c>
      <c r="D36" s="10">
        <f>$C36*Assumptions!$B$5</f>
        <v>630000</v>
      </c>
      <c r="E36" s="10">
        <f>$C36*Assumptions!$B$8</f>
        <v>273000</v>
      </c>
      <c r="F36" s="10">
        <f>$C36*Assumptions!$B$9</f>
        <v>12180</v>
      </c>
      <c r="G36" s="10">
        <f>$C36*Assumptions!$B$10</f>
        <v>5040</v>
      </c>
      <c r="H36" s="10">
        <f>$C36*Assumptions!$B$11</f>
        <v>0</v>
      </c>
      <c r="I36" s="10">
        <f t="shared" si="0"/>
        <v>290220</v>
      </c>
      <c r="J36" s="10">
        <f t="shared" si="1"/>
        <v>339780</v>
      </c>
      <c r="K36" s="10">
        <f>$C36*Assumptions!$B$12</f>
        <v>63000</v>
      </c>
      <c r="L36" s="10">
        <f t="shared" si="2"/>
        <v>63000</v>
      </c>
      <c r="M36" s="10">
        <f t="shared" si="3"/>
        <v>276780</v>
      </c>
      <c r="N36" s="10">
        <f>Cash_Flow!$F36</f>
        <v>1080.7256167979856</v>
      </c>
      <c r="O36" s="10">
        <f t="shared" si="4"/>
        <v>275699.27438320202</v>
      </c>
      <c r="P36" s="10">
        <f>Assumptions!$B$16*MAX(0,$O36)</f>
        <v>88223.767802624643</v>
      </c>
      <c r="Q36" s="10">
        <f t="shared" si="5"/>
        <v>187475.50658057738</v>
      </c>
      <c r="R36" s="10">
        <f>Cash_Flow!$I36</f>
        <v>50500</v>
      </c>
      <c r="S36" s="10">
        <f t="shared" si="6"/>
        <v>136975.50658057738</v>
      </c>
      <c r="T36" s="10"/>
      <c r="U36" s="10"/>
      <c r="V36" s="10"/>
      <c r="W36" s="10"/>
      <c r="X36" s="10"/>
      <c r="Y36" s="10"/>
    </row>
    <row r="37" spans="1:25" x14ac:dyDescent="0.25">
      <c r="A37" s="9">
        <f>Fleet_Schedule!$B37</f>
        <v>3</v>
      </c>
      <c r="B37" s="9">
        <f>Fleet_Schedule!$A37</f>
        <v>35</v>
      </c>
      <c r="C37" s="8">
        <f>Fleet_Schedule!$G37</f>
        <v>21</v>
      </c>
      <c r="D37" s="10">
        <f>$C37*Assumptions!$B$5</f>
        <v>630000</v>
      </c>
      <c r="E37" s="10">
        <f>$C37*Assumptions!$B$8</f>
        <v>273000</v>
      </c>
      <c r="F37" s="10">
        <f>$C37*Assumptions!$B$9</f>
        <v>12180</v>
      </c>
      <c r="G37" s="10">
        <f>$C37*Assumptions!$B$10</f>
        <v>5040</v>
      </c>
      <c r="H37" s="10">
        <f>$C37*Assumptions!$B$11</f>
        <v>0</v>
      </c>
      <c r="I37" s="10">
        <f t="shared" si="0"/>
        <v>290220</v>
      </c>
      <c r="J37" s="10">
        <f t="shared" si="1"/>
        <v>339780</v>
      </c>
      <c r="K37" s="10">
        <f>$C37*Assumptions!$B$12</f>
        <v>63000</v>
      </c>
      <c r="L37" s="10">
        <f t="shared" si="2"/>
        <v>63000</v>
      </c>
      <c r="M37" s="10">
        <f t="shared" si="3"/>
        <v>276780</v>
      </c>
      <c r="N37" s="10">
        <f>Cash_Flow!$F37</f>
        <v>1041.6641482167422</v>
      </c>
      <c r="O37" s="10">
        <f t="shared" si="4"/>
        <v>275738.33585178328</v>
      </c>
      <c r="P37" s="10">
        <f>Assumptions!$B$16*MAX(0,$O37)</f>
        <v>88236.267472570646</v>
      </c>
      <c r="Q37" s="10">
        <f t="shared" si="5"/>
        <v>187502.06837921264</v>
      </c>
      <c r="R37" s="10">
        <f>Cash_Flow!$I37</f>
        <v>50500</v>
      </c>
      <c r="S37" s="10">
        <f t="shared" si="6"/>
        <v>137002.06837921264</v>
      </c>
      <c r="T37" s="10"/>
      <c r="U37" s="10"/>
      <c r="V37" s="10"/>
      <c r="W37" s="10"/>
      <c r="X37" s="10"/>
      <c r="Y37" s="10"/>
    </row>
    <row r="38" spans="1:25" x14ac:dyDescent="0.25">
      <c r="A38" s="9">
        <f>Fleet_Schedule!$B38</f>
        <v>3</v>
      </c>
      <c r="B38" s="9">
        <f>Fleet_Schedule!$A38</f>
        <v>36</v>
      </c>
      <c r="C38" s="8">
        <f>Fleet_Schedule!$G38</f>
        <v>21</v>
      </c>
      <c r="D38" s="10">
        <f>$C38*Assumptions!$B$5</f>
        <v>630000</v>
      </c>
      <c r="E38" s="10">
        <f>$C38*Assumptions!$B$8</f>
        <v>273000</v>
      </c>
      <c r="F38" s="10">
        <f>$C38*Assumptions!$B$9</f>
        <v>12180</v>
      </c>
      <c r="G38" s="10">
        <f>$C38*Assumptions!$B$10</f>
        <v>5040</v>
      </c>
      <c r="H38" s="10">
        <f>$C38*Assumptions!$B$11</f>
        <v>0</v>
      </c>
      <c r="I38" s="10">
        <f t="shared" si="0"/>
        <v>290220</v>
      </c>
      <c r="J38" s="10">
        <f t="shared" si="1"/>
        <v>339780</v>
      </c>
      <c r="K38" s="10">
        <f>$C38*Assumptions!$B$12</f>
        <v>63000</v>
      </c>
      <c r="L38" s="10">
        <f t="shared" si="2"/>
        <v>63000</v>
      </c>
      <c r="M38" s="10">
        <f t="shared" si="3"/>
        <v>276780</v>
      </c>
      <c r="N38" s="10">
        <f>Cash_Flow!$F38</f>
        <v>1002.2771673973216</v>
      </c>
      <c r="O38" s="10">
        <f t="shared" si="4"/>
        <v>275777.72283260268</v>
      </c>
      <c r="P38" s="10">
        <f>Assumptions!$B$16*MAX(0,$O38)</f>
        <v>88248.871306432862</v>
      </c>
      <c r="Q38" s="10">
        <f t="shared" si="5"/>
        <v>187528.8515261698</v>
      </c>
      <c r="R38" s="10">
        <f>Cash_Flow!$I38</f>
        <v>50500</v>
      </c>
      <c r="S38" s="10">
        <f t="shared" si="6"/>
        <v>137028.8515261698</v>
      </c>
      <c r="T38" s="10"/>
      <c r="U38" s="10"/>
      <c r="V38" s="10"/>
      <c r="W38" s="10"/>
      <c r="X38" s="10"/>
      <c r="Y38" s="10"/>
    </row>
    <row r="39" spans="1:25" x14ac:dyDescent="0.25">
      <c r="A39" s="9">
        <f>Fleet_Schedule!$B39</f>
        <v>4</v>
      </c>
      <c r="B39" s="9">
        <f>Fleet_Schedule!$A39</f>
        <v>37</v>
      </c>
      <c r="C39" s="8">
        <f>Fleet_Schedule!$G39</f>
        <v>21</v>
      </c>
      <c r="D39" s="10">
        <f>$C39*Assumptions!$B$5</f>
        <v>630000</v>
      </c>
      <c r="E39" s="10">
        <f>$C39*Assumptions!$B$8</f>
        <v>273000</v>
      </c>
      <c r="F39" s="10">
        <f>$C39*Assumptions!$B$9</f>
        <v>12180</v>
      </c>
      <c r="G39" s="10">
        <f>$C39*Assumptions!$B$10</f>
        <v>5040</v>
      </c>
      <c r="H39" s="10">
        <f>$C39*Assumptions!$B$11</f>
        <v>0</v>
      </c>
      <c r="I39" s="10">
        <f t="shared" si="0"/>
        <v>290220</v>
      </c>
      <c r="J39" s="10">
        <f t="shared" si="1"/>
        <v>339780</v>
      </c>
      <c r="K39" s="10">
        <f>$C39*Assumptions!$B$12</f>
        <v>63000</v>
      </c>
      <c r="L39" s="10">
        <f t="shared" si="2"/>
        <v>63000</v>
      </c>
      <c r="M39" s="10">
        <f t="shared" si="3"/>
        <v>276780</v>
      </c>
      <c r="N39" s="10">
        <f>Cash_Flow!$F39</f>
        <v>962.56196173773913</v>
      </c>
      <c r="O39" s="10">
        <f t="shared" si="4"/>
        <v>275817.43803826225</v>
      </c>
      <c r="P39" s="10">
        <f>Assumptions!$B$16*MAX(0,$O39)</f>
        <v>88261.580172243921</v>
      </c>
      <c r="Q39" s="10">
        <f t="shared" si="5"/>
        <v>187555.85786601831</v>
      </c>
      <c r="R39" s="10">
        <f>Cash_Flow!$I39</f>
        <v>50500</v>
      </c>
      <c r="S39" s="10">
        <f t="shared" si="6"/>
        <v>137055.85786601831</v>
      </c>
      <c r="T39" s="10"/>
      <c r="U39" s="10"/>
      <c r="V39" s="10"/>
      <c r="W39" s="10"/>
      <c r="X39" s="10"/>
      <c r="Y39" s="10"/>
    </row>
    <row r="40" spans="1:25" x14ac:dyDescent="0.25">
      <c r="A40" s="9">
        <f>Fleet_Schedule!$B40</f>
        <v>4</v>
      </c>
      <c r="B40" s="9">
        <f>Fleet_Schedule!$A40</f>
        <v>38</v>
      </c>
      <c r="C40" s="8">
        <f>Fleet_Schedule!$G40</f>
        <v>21</v>
      </c>
      <c r="D40" s="10">
        <f>$C40*Assumptions!$B$5</f>
        <v>630000</v>
      </c>
      <c r="E40" s="10">
        <f>$C40*Assumptions!$B$8</f>
        <v>273000</v>
      </c>
      <c r="F40" s="10">
        <f>$C40*Assumptions!$B$9</f>
        <v>12180</v>
      </c>
      <c r="G40" s="10">
        <f>$C40*Assumptions!$B$10</f>
        <v>5040</v>
      </c>
      <c r="H40" s="10">
        <f>$C40*Assumptions!$B$11</f>
        <v>0</v>
      </c>
      <c r="I40" s="10">
        <f t="shared" si="0"/>
        <v>290220</v>
      </c>
      <c r="J40" s="10">
        <f t="shared" si="1"/>
        <v>339780</v>
      </c>
      <c r="K40" s="10">
        <f>$C40*Assumptions!$B$12</f>
        <v>63000</v>
      </c>
      <c r="L40" s="10">
        <f t="shared" si="2"/>
        <v>63000</v>
      </c>
      <c r="M40" s="10">
        <f t="shared" si="3"/>
        <v>276780</v>
      </c>
      <c r="N40" s="10">
        <f>Cash_Flow!$F40</f>
        <v>922.51579603099344</v>
      </c>
      <c r="O40" s="10">
        <f t="shared" si="4"/>
        <v>275857.48420396901</v>
      </c>
      <c r="P40" s="10">
        <f>Assumptions!$B$16*MAX(0,$O40)</f>
        <v>88274.394945270091</v>
      </c>
      <c r="Q40" s="10">
        <f t="shared" si="5"/>
        <v>187583.08925869892</v>
      </c>
      <c r="R40" s="10">
        <f>Cash_Flow!$I40</f>
        <v>50500</v>
      </c>
      <c r="S40" s="10">
        <f t="shared" si="6"/>
        <v>137083.08925869892</v>
      </c>
      <c r="T40" s="10"/>
      <c r="U40" s="10"/>
      <c r="V40" s="10"/>
      <c r="W40" s="10"/>
      <c r="X40" s="10"/>
      <c r="Y40" s="10"/>
    </row>
    <row r="41" spans="1:25" x14ac:dyDescent="0.25">
      <c r="A41" s="9">
        <f>Fleet_Schedule!$B41</f>
        <v>4</v>
      </c>
      <c r="B41" s="9">
        <f>Fleet_Schedule!$A41</f>
        <v>39</v>
      </c>
      <c r="C41" s="8">
        <f>Fleet_Schedule!$G41</f>
        <v>25</v>
      </c>
      <c r="D41" s="10">
        <f>$C41*Assumptions!$B$5</f>
        <v>750000</v>
      </c>
      <c r="E41" s="10">
        <f>$C41*Assumptions!$B$8</f>
        <v>325000</v>
      </c>
      <c r="F41" s="10">
        <f>$C41*Assumptions!$B$9</f>
        <v>14500</v>
      </c>
      <c r="G41" s="10">
        <f>$C41*Assumptions!$B$10</f>
        <v>6000</v>
      </c>
      <c r="H41" s="10">
        <f>$C41*Assumptions!$B$11</f>
        <v>0</v>
      </c>
      <c r="I41" s="10">
        <f t="shared" si="0"/>
        <v>345500</v>
      </c>
      <c r="J41" s="10">
        <f t="shared" si="1"/>
        <v>404500</v>
      </c>
      <c r="K41" s="10">
        <f>$C41*Assumptions!$B$12</f>
        <v>75000</v>
      </c>
      <c r="L41" s="10">
        <f t="shared" si="2"/>
        <v>75000</v>
      </c>
      <c r="M41" s="10">
        <f t="shared" si="3"/>
        <v>329500</v>
      </c>
      <c r="N41" s="10">
        <f>Cash_Flow!$F41</f>
        <v>882.13591227669156</v>
      </c>
      <c r="O41" s="10">
        <f t="shared" si="4"/>
        <v>328617.86408772331</v>
      </c>
      <c r="P41" s="10">
        <f>Assumptions!$B$16*MAX(0,$O41)</f>
        <v>105157.71650807146</v>
      </c>
      <c r="Q41" s="10">
        <f t="shared" si="5"/>
        <v>223460.14757965185</v>
      </c>
      <c r="R41" s="10">
        <f>Cash_Flow!$I41</f>
        <v>62500</v>
      </c>
      <c r="S41" s="10">
        <f t="shared" si="6"/>
        <v>160960.14757965185</v>
      </c>
      <c r="T41" s="10"/>
      <c r="U41" s="10"/>
      <c r="V41" s="10"/>
      <c r="W41" s="10"/>
      <c r="X41" s="10"/>
      <c r="Y41" s="10"/>
    </row>
    <row r="42" spans="1:25" x14ac:dyDescent="0.25">
      <c r="A42" s="9">
        <f>Fleet_Schedule!$B42</f>
        <v>4</v>
      </c>
      <c r="B42" s="9">
        <f>Fleet_Schedule!$A42</f>
        <v>40</v>
      </c>
      <c r="C42" s="8">
        <f>Fleet_Schedule!$G42</f>
        <v>20</v>
      </c>
      <c r="D42" s="10">
        <f>$C42*Assumptions!$B$5</f>
        <v>600000</v>
      </c>
      <c r="E42" s="10">
        <f>$C42*Assumptions!$B$8</f>
        <v>260000</v>
      </c>
      <c r="F42" s="10">
        <f>$C42*Assumptions!$B$9</f>
        <v>11600</v>
      </c>
      <c r="G42" s="10">
        <f>$C42*Assumptions!$B$10</f>
        <v>4800</v>
      </c>
      <c r="H42" s="10">
        <f>$C42*Assumptions!$B$11</f>
        <v>0</v>
      </c>
      <c r="I42" s="10">
        <f t="shared" si="0"/>
        <v>276400</v>
      </c>
      <c r="J42" s="10">
        <f t="shared" si="1"/>
        <v>323600</v>
      </c>
      <c r="K42" s="10">
        <f>$C42*Assumptions!$B$12</f>
        <v>60000</v>
      </c>
      <c r="L42" s="10">
        <f t="shared" si="2"/>
        <v>60000</v>
      </c>
      <c r="M42" s="10">
        <f t="shared" si="3"/>
        <v>263600</v>
      </c>
      <c r="N42" s="10">
        <f>Cash_Flow!$F42</f>
        <v>841.41952949110384</v>
      </c>
      <c r="O42" s="10">
        <f t="shared" si="4"/>
        <v>262758.5804705089</v>
      </c>
      <c r="P42" s="10">
        <f>Assumptions!$B$16*MAX(0,$O42)</f>
        <v>84082.745750562855</v>
      </c>
      <c r="Q42" s="10">
        <f t="shared" si="5"/>
        <v>178675.83471994603</v>
      </c>
      <c r="R42" s="10">
        <f>Cash_Flow!$I42</f>
        <v>47500</v>
      </c>
      <c r="S42" s="10">
        <f t="shared" si="6"/>
        <v>131175.83471994603</v>
      </c>
      <c r="T42" s="10"/>
      <c r="U42" s="10"/>
      <c r="V42" s="10"/>
      <c r="W42" s="10"/>
      <c r="X42" s="10"/>
      <c r="Y42" s="10"/>
    </row>
    <row r="43" spans="1:25" x14ac:dyDescent="0.25">
      <c r="A43" s="9">
        <f>Fleet_Schedule!$B43</f>
        <v>4</v>
      </c>
      <c r="B43" s="9">
        <f>Fleet_Schedule!$A43</f>
        <v>41</v>
      </c>
      <c r="C43" s="8">
        <f>Fleet_Schedule!$G43</f>
        <v>24</v>
      </c>
      <c r="D43" s="10">
        <f>$C43*Assumptions!$B$5</f>
        <v>720000</v>
      </c>
      <c r="E43" s="10">
        <f>$C43*Assumptions!$B$8</f>
        <v>312000</v>
      </c>
      <c r="F43" s="10">
        <f>$C43*Assumptions!$B$9</f>
        <v>13920</v>
      </c>
      <c r="G43" s="10">
        <f>$C43*Assumptions!$B$10</f>
        <v>5760</v>
      </c>
      <c r="H43" s="10">
        <f>$C43*Assumptions!$B$11</f>
        <v>0</v>
      </c>
      <c r="I43" s="10">
        <f t="shared" si="0"/>
        <v>331680</v>
      </c>
      <c r="J43" s="10">
        <f t="shared" si="1"/>
        <v>388320</v>
      </c>
      <c r="K43" s="10">
        <f>$C43*Assumptions!$B$12</f>
        <v>72000</v>
      </c>
      <c r="L43" s="10">
        <f t="shared" si="2"/>
        <v>72000</v>
      </c>
      <c r="M43" s="10">
        <f t="shared" si="3"/>
        <v>316320</v>
      </c>
      <c r="N43" s="10">
        <f>Cash_Flow!$F43</f>
        <v>800.36384351563618</v>
      </c>
      <c r="O43" s="10">
        <f t="shared" si="4"/>
        <v>315519.63615648437</v>
      </c>
      <c r="P43" s="10">
        <f>Assumptions!$B$16*MAX(0,$O43)</f>
        <v>100966.283570075</v>
      </c>
      <c r="Q43" s="10">
        <f t="shared" si="5"/>
        <v>214553.35258640937</v>
      </c>
      <c r="R43" s="10">
        <f>Cash_Flow!$I43</f>
        <v>59500</v>
      </c>
      <c r="S43" s="10">
        <f t="shared" si="6"/>
        <v>155053.35258640937</v>
      </c>
      <c r="T43" s="10"/>
      <c r="U43" s="10"/>
      <c r="V43" s="10"/>
      <c r="W43" s="10"/>
      <c r="X43" s="10"/>
      <c r="Y43" s="10"/>
    </row>
    <row r="44" spans="1:25" x14ac:dyDescent="0.25">
      <c r="A44" s="9">
        <f>Fleet_Schedule!$B44</f>
        <v>4</v>
      </c>
      <c r="B44" s="9">
        <f>Fleet_Schedule!$A44</f>
        <v>42</v>
      </c>
      <c r="C44" s="8">
        <f>Fleet_Schedule!$G44</f>
        <v>20</v>
      </c>
      <c r="D44" s="10">
        <f>$C44*Assumptions!$B$5</f>
        <v>600000</v>
      </c>
      <c r="E44" s="10">
        <f>$C44*Assumptions!$B$8</f>
        <v>260000</v>
      </c>
      <c r="F44" s="10">
        <f>$C44*Assumptions!$B$9</f>
        <v>11600</v>
      </c>
      <c r="G44" s="10">
        <f>$C44*Assumptions!$B$10</f>
        <v>4800</v>
      </c>
      <c r="H44" s="10">
        <f>$C44*Assumptions!$B$11</f>
        <v>0</v>
      </c>
      <c r="I44" s="10">
        <f t="shared" si="0"/>
        <v>276400</v>
      </c>
      <c r="J44" s="10">
        <f t="shared" si="1"/>
        <v>323600</v>
      </c>
      <c r="K44" s="10">
        <f>$C44*Assumptions!$B$12</f>
        <v>60000</v>
      </c>
      <c r="L44" s="10">
        <f t="shared" si="2"/>
        <v>60000</v>
      </c>
      <c r="M44" s="10">
        <f t="shared" si="3"/>
        <v>263600</v>
      </c>
      <c r="N44" s="10">
        <f>Cash_Flow!$F44</f>
        <v>758.96602682370633</v>
      </c>
      <c r="O44" s="10">
        <f t="shared" si="4"/>
        <v>262841.03397317627</v>
      </c>
      <c r="P44" s="10">
        <f>Assumptions!$B$16*MAX(0,$O44)</f>
        <v>84109.130871416404</v>
      </c>
      <c r="Q44" s="10">
        <f t="shared" si="5"/>
        <v>178731.90310175985</v>
      </c>
      <c r="R44" s="10">
        <f>Cash_Flow!$I44</f>
        <v>47500</v>
      </c>
      <c r="S44" s="10">
        <f t="shared" si="6"/>
        <v>131231.90310175985</v>
      </c>
      <c r="T44" s="10"/>
      <c r="U44" s="10"/>
      <c r="V44" s="10"/>
      <c r="W44" s="10"/>
      <c r="X44" s="10"/>
      <c r="Y44" s="10"/>
    </row>
    <row r="45" spans="1:25" x14ac:dyDescent="0.25">
      <c r="A45" s="9">
        <f>Fleet_Schedule!$B45</f>
        <v>4</v>
      </c>
      <c r="B45" s="9">
        <f>Fleet_Schedule!$A45</f>
        <v>43</v>
      </c>
      <c r="C45" s="8">
        <f>Fleet_Schedule!$G45</f>
        <v>25</v>
      </c>
      <c r="D45" s="10">
        <f>$C45*Assumptions!$B$5</f>
        <v>750000</v>
      </c>
      <c r="E45" s="10">
        <f>$C45*Assumptions!$B$8</f>
        <v>325000</v>
      </c>
      <c r="F45" s="10">
        <f>$C45*Assumptions!$B$9</f>
        <v>14500</v>
      </c>
      <c r="G45" s="10">
        <f>$C45*Assumptions!$B$10</f>
        <v>6000</v>
      </c>
      <c r="H45" s="10">
        <f>$C45*Assumptions!$B$11</f>
        <v>0</v>
      </c>
      <c r="I45" s="10">
        <f t="shared" si="0"/>
        <v>345500</v>
      </c>
      <c r="J45" s="10">
        <f t="shared" si="1"/>
        <v>404500</v>
      </c>
      <c r="K45" s="10">
        <f>$C45*Assumptions!$B$12</f>
        <v>75000</v>
      </c>
      <c r="L45" s="10">
        <f t="shared" si="2"/>
        <v>75000</v>
      </c>
      <c r="M45" s="10">
        <f t="shared" si="3"/>
        <v>329500</v>
      </c>
      <c r="N45" s="10">
        <f>Cash_Flow!$F45</f>
        <v>717.22322832601049</v>
      </c>
      <c r="O45" s="10">
        <f t="shared" si="4"/>
        <v>328782.77677167399</v>
      </c>
      <c r="P45" s="10">
        <f>Assumptions!$B$16*MAX(0,$O45)</f>
        <v>105210.48856693567</v>
      </c>
      <c r="Q45" s="10">
        <f t="shared" si="5"/>
        <v>223572.28820473832</v>
      </c>
      <c r="R45" s="10">
        <f>Cash_Flow!$I45</f>
        <v>62500</v>
      </c>
      <c r="S45" s="10">
        <f t="shared" si="6"/>
        <v>161072.28820473832</v>
      </c>
      <c r="T45" s="10"/>
      <c r="U45" s="10"/>
      <c r="V45" s="10"/>
      <c r="W45" s="10"/>
      <c r="X45" s="10"/>
      <c r="Y45" s="10"/>
    </row>
    <row r="46" spans="1:25" x14ac:dyDescent="0.25">
      <c r="A46" s="9">
        <f>Fleet_Schedule!$B46</f>
        <v>4</v>
      </c>
      <c r="B46" s="9">
        <f>Fleet_Schedule!$A46</f>
        <v>44</v>
      </c>
      <c r="C46" s="8">
        <f>Fleet_Schedule!$G46</f>
        <v>21</v>
      </c>
      <c r="D46" s="10">
        <f>$C46*Assumptions!$B$5</f>
        <v>630000</v>
      </c>
      <c r="E46" s="10">
        <f>$C46*Assumptions!$B$8</f>
        <v>273000</v>
      </c>
      <c r="F46" s="10">
        <f>$C46*Assumptions!$B$9</f>
        <v>12180</v>
      </c>
      <c r="G46" s="10">
        <f>$C46*Assumptions!$B$10</f>
        <v>5040</v>
      </c>
      <c r="H46" s="10">
        <f>$C46*Assumptions!$B$11</f>
        <v>0</v>
      </c>
      <c r="I46" s="10">
        <f t="shared" si="0"/>
        <v>290220</v>
      </c>
      <c r="J46" s="10">
        <f t="shared" si="1"/>
        <v>339780</v>
      </c>
      <c r="K46" s="10">
        <f>$C46*Assumptions!$B$12</f>
        <v>63000</v>
      </c>
      <c r="L46" s="10">
        <f t="shared" si="2"/>
        <v>63000</v>
      </c>
      <c r="M46" s="10">
        <f t="shared" si="3"/>
        <v>276780</v>
      </c>
      <c r="N46" s="10">
        <f>Cash_Flow!$F46</f>
        <v>675.13257317416708</v>
      </c>
      <c r="O46" s="10">
        <f t="shared" si="4"/>
        <v>276104.86742682586</v>
      </c>
      <c r="P46" s="10">
        <f>Assumptions!$B$16*MAX(0,$O46)</f>
        <v>88353.55757658428</v>
      </c>
      <c r="Q46" s="10">
        <f t="shared" si="5"/>
        <v>187751.30985024158</v>
      </c>
      <c r="R46" s="10">
        <f>Cash_Flow!$I46</f>
        <v>50500</v>
      </c>
      <c r="S46" s="10">
        <f t="shared" si="6"/>
        <v>137251.30985024158</v>
      </c>
      <c r="T46" s="10"/>
      <c r="U46" s="10"/>
      <c r="V46" s="10"/>
      <c r="W46" s="10"/>
      <c r="X46" s="10"/>
      <c r="Y46" s="10"/>
    </row>
    <row r="47" spans="1:25" x14ac:dyDescent="0.25">
      <c r="A47" s="9">
        <f>Fleet_Schedule!$B47</f>
        <v>4</v>
      </c>
      <c r="B47" s="9">
        <f>Fleet_Schedule!$A47</f>
        <v>45</v>
      </c>
      <c r="C47" s="8">
        <f>Fleet_Schedule!$G47</f>
        <v>26</v>
      </c>
      <c r="D47" s="10">
        <f>$C47*Assumptions!$B$5</f>
        <v>780000</v>
      </c>
      <c r="E47" s="10">
        <f>$C47*Assumptions!$B$8</f>
        <v>338000</v>
      </c>
      <c r="F47" s="10">
        <f>$C47*Assumptions!$B$9</f>
        <v>15080</v>
      </c>
      <c r="G47" s="10">
        <f>$C47*Assumptions!$B$10</f>
        <v>6240</v>
      </c>
      <c r="H47" s="10">
        <f>$C47*Assumptions!$B$11</f>
        <v>0</v>
      </c>
      <c r="I47" s="10">
        <f t="shared" si="0"/>
        <v>359320</v>
      </c>
      <c r="J47" s="10">
        <f t="shared" si="1"/>
        <v>420680</v>
      </c>
      <c r="K47" s="10">
        <f>$C47*Assumptions!$B$12</f>
        <v>78000</v>
      </c>
      <c r="L47" s="10">
        <f t="shared" si="2"/>
        <v>78000</v>
      </c>
      <c r="M47" s="10">
        <f t="shared" si="3"/>
        <v>342680</v>
      </c>
      <c r="N47" s="10">
        <f>Cash_Flow!$F47</f>
        <v>632.69116256272503</v>
      </c>
      <c r="O47" s="10">
        <f t="shared" si="4"/>
        <v>342047.3088374373</v>
      </c>
      <c r="P47" s="10">
        <f>Assumptions!$B$16*MAX(0,$O47)</f>
        <v>109455.13882797994</v>
      </c>
      <c r="Q47" s="10">
        <f t="shared" si="5"/>
        <v>232592.17000945736</v>
      </c>
      <c r="R47" s="10">
        <f>Cash_Flow!$I47</f>
        <v>65500</v>
      </c>
      <c r="S47" s="10">
        <f t="shared" si="6"/>
        <v>167092.17000945736</v>
      </c>
      <c r="T47" s="10"/>
      <c r="U47" s="10"/>
      <c r="V47" s="10"/>
      <c r="W47" s="10"/>
      <c r="X47" s="10"/>
      <c r="Y47" s="10"/>
    </row>
    <row r="48" spans="1:25" x14ac:dyDescent="0.25">
      <c r="A48" s="9">
        <f>Fleet_Schedule!$B48</f>
        <v>4</v>
      </c>
      <c r="B48" s="9">
        <f>Fleet_Schedule!$A48</f>
        <v>46</v>
      </c>
      <c r="C48" s="8">
        <f>Fleet_Schedule!$G48</f>
        <v>22</v>
      </c>
      <c r="D48" s="10">
        <f>$C48*Assumptions!$B$5</f>
        <v>660000</v>
      </c>
      <c r="E48" s="10">
        <f>$C48*Assumptions!$B$8</f>
        <v>286000</v>
      </c>
      <c r="F48" s="10">
        <f>$C48*Assumptions!$B$9</f>
        <v>12760</v>
      </c>
      <c r="G48" s="10">
        <f>$C48*Assumptions!$B$10</f>
        <v>5280</v>
      </c>
      <c r="H48" s="10">
        <f>$C48*Assumptions!$B$11</f>
        <v>0</v>
      </c>
      <c r="I48" s="10">
        <f t="shared" si="0"/>
        <v>304040</v>
      </c>
      <c r="J48" s="10">
        <f t="shared" si="1"/>
        <v>355960</v>
      </c>
      <c r="K48" s="10">
        <f>$C48*Assumptions!$B$12</f>
        <v>66000</v>
      </c>
      <c r="L48" s="10">
        <f t="shared" si="2"/>
        <v>66000</v>
      </c>
      <c r="M48" s="10">
        <f t="shared" si="3"/>
        <v>289960</v>
      </c>
      <c r="N48" s="10">
        <f>Cash_Flow!$F48</f>
        <v>589.89607352952089</v>
      </c>
      <c r="O48" s="10">
        <f t="shared" si="4"/>
        <v>289370.1039264705</v>
      </c>
      <c r="P48" s="10">
        <f>Assumptions!$B$16*MAX(0,$O48)</f>
        <v>92598.433256470569</v>
      </c>
      <c r="Q48" s="10">
        <f t="shared" si="5"/>
        <v>196771.67066999993</v>
      </c>
      <c r="R48" s="10">
        <f>Cash_Flow!$I48</f>
        <v>53500</v>
      </c>
      <c r="S48" s="10">
        <f t="shared" si="6"/>
        <v>143271.67066999993</v>
      </c>
      <c r="T48" s="10"/>
      <c r="U48" s="10"/>
      <c r="V48" s="10"/>
      <c r="W48" s="10"/>
      <c r="X48" s="10"/>
      <c r="Y48" s="10"/>
    </row>
    <row r="49" spans="1:25" x14ac:dyDescent="0.25">
      <c r="A49" s="9">
        <f>Fleet_Schedule!$B49</f>
        <v>4</v>
      </c>
      <c r="B49" s="9">
        <f>Fleet_Schedule!$A49</f>
        <v>47</v>
      </c>
      <c r="C49" s="8">
        <f>Fleet_Schedule!$G49</f>
        <v>27</v>
      </c>
      <c r="D49" s="10">
        <f>$C49*Assumptions!$B$5</f>
        <v>810000</v>
      </c>
      <c r="E49" s="10">
        <f>$C49*Assumptions!$B$8</f>
        <v>351000</v>
      </c>
      <c r="F49" s="10">
        <f>$C49*Assumptions!$B$9</f>
        <v>15660</v>
      </c>
      <c r="G49" s="10">
        <f>$C49*Assumptions!$B$10</f>
        <v>6480</v>
      </c>
      <c r="H49" s="10">
        <f>$C49*Assumptions!$B$11</f>
        <v>0</v>
      </c>
      <c r="I49" s="10">
        <f t="shared" si="0"/>
        <v>373140</v>
      </c>
      <c r="J49" s="10">
        <f t="shared" si="1"/>
        <v>436860</v>
      </c>
      <c r="K49" s="10">
        <f>$C49*Assumptions!$B$12</f>
        <v>81000</v>
      </c>
      <c r="L49" s="10">
        <f t="shared" si="2"/>
        <v>81000</v>
      </c>
      <c r="M49" s="10">
        <f t="shared" si="3"/>
        <v>355860</v>
      </c>
      <c r="N49" s="10">
        <f>Cash_Flow!$F49</f>
        <v>546.74435875437348</v>
      </c>
      <c r="O49" s="10">
        <f t="shared" si="4"/>
        <v>355313.25564124563</v>
      </c>
      <c r="P49" s="10">
        <f>Assumptions!$B$16*MAX(0,$O49)</f>
        <v>113700.2418051986</v>
      </c>
      <c r="Q49" s="10">
        <f t="shared" si="5"/>
        <v>241613.01383604703</v>
      </c>
      <c r="R49" s="10">
        <f>Cash_Flow!$I49</f>
        <v>68500</v>
      </c>
      <c r="S49" s="10">
        <f t="shared" si="6"/>
        <v>173113.01383604703</v>
      </c>
      <c r="T49" s="10"/>
      <c r="U49" s="10"/>
      <c r="V49" s="10"/>
      <c r="W49" s="10"/>
      <c r="X49" s="10"/>
      <c r="Y49" s="10"/>
    </row>
    <row r="50" spans="1:25" x14ac:dyDescent="0.25">
      <c r="A50" s="9">
        <f>Fleet_Schedule!$B50</f>
        <v>4</v>
      </c>
      <c r="B50" s="9">
        <f>Fleet_Schedule!$A50</f>
        <v>48</v>
      </c>
      <c r="C50" s="8">
        <f>Fleet_Schedule!$G50</f>
        <v>23</v>
      </c>
      <c r="D50" s="10">
        <f>$C50*Assumptions!$B$5</f>
        <v>690000</v>
      </c>
      <c r="E50" s="10">
        <f>$C50*Assumptions!$B$8</f>
        <v>299000</v>
      </c>
      <c r="F50" s="10">
        <f>$C50*Assumptions!$B$9</f>
        <v>13340</v>
      </c>
      <c r="G50" s="10">
        <f>$C50*Assumptions!$B$10</f>
        <v>5520</v>
      </c>
      <c r="H50" s="10">
        <f>$C50*Assumptions!$B$11</f>
        <v>0</v>
      </c>
      <c r="I50" s="10">
        <f t="shared" si="0"/>
        <v>317860</v>
      </c>
      <c r="J50" s="10">
        <f t="shared" si="1"/>
        <v>372140</v>
      </c>
      <c r="K50" s="10">
        <f>$C50*Assumptions!$B$12</f>
        <v>69000</v>
      </c>
      <c r="L50" s="10">
        <f t="shared" si="2"/>
        <v>69000</v>
      </c>
      <c r="M50" s="10">
        <f t="shared" si="3"/>
        <v>303140</v>
      </c>
      <c r="N50" s="10">
        <f>Cash_Flow!$F50</f>
        <v>503.23304635609981</v>
      </c>
      <c r="O50" s="10">
        <f t="shared" si="4"/>
        <v>302636.76695364388</v>
      </c>
      <c r="P50" s="10">
        <f>Assumptions!$B$16*MAX(0,$O50)</f>
        <v>96843.765425166042</v>
      </c>
      <c r="Q50" s="10">
        <f t="shared" si="5"/>
        <v>205793.00152847782</v>
      </c>
      <c r="R50" s="10">
        <f>Cash_Flow!$I50</f>
        <v>56500</v>
      </c>
      <c r="S50" s="10">
        <f t="shared" si="6"/>
        <v>149293.00152847782</v>
      </c>
      <c r="T50" s="10"/>
      <c r="U50" s="10"/>
      <c r="V50" s="10"/>
      <c r="W50" s="10"/>
      <c r="X50" s="10"/>
      <c r="Y50" s="10"/>
    </row>
    <row r="51" spans="1:25" x14ac:dyDescent="0.25">
      <c r="A51" s="9">
        <f>Fleet_Schedule!$B51</f>
        <v>5</v>
      </c>
      <c r="B51" s="9">
        <f>Fleet_Schedule!$A51</f>
        <v>49</v>
      </c>
      <c r="C51" s="8">
        <f>Fleet_Schedule!$G51</f>
        <v>27</v>
      </c>
      <c r="D51" s="10">
        <f>$C51*Assumptions!$B$5</f>
        <v>810000</v>
      </c>
      <c r="E51" s="10">
        <f>$C51*Assumptions!$B$8</f>
        <v>351000</v>
      </c>
      <c r="F51" s="10">
        <f>$C51*Assumptions!$B$9</f>
        <v>15660</v>
      </c>
      <c r="G51" s="10">
        <f>$C51*Assumptions!$B$10</f>
        <v>6480</v>
      </c>
      <c r="H51" s="10">
        <f>$C51*Assumptions!$B$11</f>
        <v>0</v>
      </c>
      <c r="I51" s="10">
        <f t="shared" si="0"/>
        <v>373140</v>
      </c>
      <c r="J51" s="10">
        <f t="shared" si="1"/>
        <v>436860</v>
      </c>
      <c r="K51" s="10">
        <f>$C51*Assumptions!$B$12</f>
        <v>81000</v>
      </c>
      <c r="L51" s="10">
        <f t="shared" si="2"/>
        <v>81000</v>
      </c>
      <c r="M51" s="10">
        <f t="shared" si="3"/>
        <v>355860</v>
      </c>
      <c r="N51" s="10">
        <f>Cash_Flow!$F51</f>
        <v>459.35913968784052</v>
      </c>
      <c r="O51" s="10">
        <f t="shared" si="4"/>
        <v>355400.64086031215</v>
      </c>
      <c r="P51" s="10">
        <f>Assumptions!$B$16*MAX(0,$O51)</f>
        <v>113728.20507529989</v>
      </c>
      <c r="Q51" s="10">
        <f t="shared" si="5"/>
        <v>241672.43578501226</v>
      </c>
      <c r="R51" s="10">
        <f>Cash_Flow!$I51</f>
        <v>68500</v>
      </c>
      <c r="S51" s="10">
        <f t="shared" si="6"/>
        <v>173172.43578501226</v>
      </c>
      <c r="T51" s="10"/>
      <c r="U51" s="10"/>
      <c r="V51" s="10"/>
      <c r="W51" s="10"/>
      <c r="X51" s="10"/>
      <c r="Y51" s="10"/>
    </row>
    <row r="52" spans="1:25" x14ac:dyDescent="0.25">
      <c r="A52" s="9">
        <f>Fleet_Schedule!$B52</f>
        <v>5</v>
      </c>
      <c r="B52" s="9">
        <f>Fleet_Schedule!$A52</f>
        <v>50</v>
      </c>
      <c r="C52" s="8">
        <f>Fleet_Schedule!$G52</f>
        <v>23</v>
      </c>
      <c r="D52" s="10">
        <f>$C52*Assumptions!$B$5</f>
        <v>690000</v>
      </c>
      <c r="E52" s="10">
        <f>$C52*Assumptions!$B$8</f>
        <v>299000</v>
      </c>
      <c r="F52" s="10">
        <f>$C52*Assumptions!$B$9</f>
        <v>13340</v>
      </c>
      <c r="G52" s="10">
        <f>$C52*Assumptions!$B$10</f>
        <v>5520</v>
      </c>
      <c r="H52" s="10">
        <f>$C52*Assumptions!$B$11</f>
        <v>0</v>
      </c>
      <c r="I52" s="10">
        <f t="shared" si="0"/>
        <v>317860</v>
      </c>
      <c r="J52" s="10">
        <f t="shared" si="1"/>
        <v>372140</v>
      </c>
      <c r="K52" s="10">
        <f>$C52*Assumptions!$B$12</f>
        <v>69000</v>
      </c>
      <c r="L52" s="10">
        <f t="shared" si="2"/>
        <v>69000</v>
      </c>
      <c r="M52" s="10">
        <f t="shared" si="3"/>
        <v>303140</v>
      </c>
      <c r="N52" s="10">
        <f>Cash_Flow!$F52</f>
        <v>415.1196171306791</v>
      </c>
      <c r="O52" s="10">
        <f t="shared" si="4"/>
        <v>302724.88038286933</v>
      </c>
      <c r="P52" s="10">
        <f>Assumptions!$B$16*MAX(0,$O52)</f>
        <v>96871.961722518186</v>
      </c>
      <c r="Q52" s="10">
        <f t="shared" si="5"/>
        <v>205852.91866035113</v>
      </c>
      <c r="R52" s="10">
        <f>Cash_Flow!$I52</f>
        <v>56500</v>
      </c>
      <c r="S52" s="10">
        <f t="shared" si="6"/>
        <v>149352.91866035113</v>
      </c>
      <c r="T52" s="10"/>
      <c r="U52" s="10"/>
      <c r="V52" s="10"/>
      <c r="W52" s="10"/>
      <c r="X52" s="10"/>
      <c r="Y52" s="10"/>
    </row>
    <row r="53" spans="1:25" x14ac:dyDescent="0.25">
      <c r="A53" s="9">
        <f>Fleet_Schedule!$B53</f>
        <v>5</v>
      </c>
      <c r="B53" s="9">
        <f>Fleet_Schedule!$A53</f>
        <v>51</v>
      </c>
      <c r="C53" s="8">
        <f>Fleet_Schedule!$G53</f>
        <v>29</v>
      </c>
      <c r="D53" s="10">
        <f>$C53*Assumptions!$B$5</f>
        <v>870000</v>
      </c>
      <c r="E53" s="10">
        <f>$C53*Assumptions!$B$8</f>
        <v>377000</v>
      </c>
      <c r="F53" s="10">
        <f>$C53*Assumptions!$B$9</f>
        <v>16820</v>
      </c>
      <c r="G53" s="10">
        <f>$C53*Assumptions!$B$10</f>
        <v>6960</v>
      </c>
      <c r="H53" s="10">
        <f>$C53*Assumptions!$B$11</f>
        <v>0</v>
      </c>
      <c r="I53" s="10">
        <f t="shared" si="0"/>
        <v>400780</v>
      </c>
      <c r="J53" s="10">
        <f t="shared" si="1"/>
        <v>469220</v>
      </c>
      <c r="K53" s="10">
        <f>$C53*Assumptions!$B$12</f>
        <v>87000</v>
      </c>
      <c r="L53" s="10">
        <f t="shared" si="2"/>
        <v>87000</v>
      </c>
      <c r="M53" s="10">
        <f t="shared" si="3"/>
        <v>382220</v>
      </c>
      <c r="N53" s="10">
        <f>Cash_Flow!$F53</f>
        <v>370.5114318855413</v>
      </c>
      <c r="O53" s="10">
        <f t="shared" si="4"/>
        <v>381849.48856811447</v>
      </c>
      <c r="P53" s="10">
        <f>Assumptions!$B$16*MAX(0,$O53)</f>
        <v>122191.83634179663</v>
      </c>
      <c r="Q53" s="10">
        <f t="shared" si="5"/>
        <v>259657.65222631785</v>
      </c>
      <c r="R53" s="10">
        <f>Cash_Flow!$I53</f>
        <v>74500</v>
      </c>
      <c r="S53" s="10">
        <f t="shared" si="6"/>
        <v>185157.65222631785</v>
      </c>
      <c r="T53" s="10"/>
      <c r="U53" s="10"/>
      <c r="V53" s="10"/>
      <c r="W53" s="10"/>
      <c r="X53" s="10"/>
      <c r="Y53" s="10"/>
    </row>
    <row r="54" spans="1:25" x14ac:dyDescent="0.25">
      <c r="A54" s="9">
        <f>Fleet_Schedule!$B54</f>
        <v>5</v>
      </c>
      <c r="B54" s="9">
        <f>Fleet_Schedule!$A54</f>
        <v>52</v>
      </c>
      <c r="C54" s="8">
        <f>Fleet_Schedule!$G54</f>
        <v>25</v>
      </c>
      <c r="D54" s="10">
        <f>$C54*Assumptions!$B$5</f>
        <v>750000</v>
      </c>
      <c r="E54" s="10">
        <f>$C54*Assumptions!$B$8</f>
        <v>325000</v>
      </c>
      <c r="F54" s="10">
        <f>$C54*Assumptions!$B$9</f>
        <v>14500</v>
      </c>
      <c r="G54" s="10">
        <f>$C54*Assumptions!$B$10</f>
        <v>6000</v>
      </c>
      <c r="H54" s="10">
        <f>$C54*Assumptions!$B$11</f>
        <v>0</v>
      </c>
      <c r="I54" s="10">
        <f t="shared" si="0"/>
        <v>345500</v>
      </c>
      <c r="J54" s="10">
        <f t="shared" si="1"/>
        <v>404500</v>
      </c>
      <c r="K54" s="10">
        <f>$C54*Assumptions!$B$12</f>
        <v>75000</v>
      </c>
      <c r="L54" s="10">
        <f t="shared" si="2"/>
        <v>75000</v>
      </c>
      <c r="M54" s="10">
        <f t="shared" si="3"/>
        <v>329500</v>
      </c>
      <c r="N54" s="10">
        <f>Cash_Flow!$F54</f>
        <v>325.5315117633607</v>
      </c>
      <c r="O54" s="10">
        <f t="shared" si="4"/>
        <v>329174.46848823666</v>
      </c>
      <c r="P54" s="10">
        <f>Assumptions!$B$16*MAX(0,$O54)</f>
        <v>105335.82991623573</v>
      </c>
      <c r="Q54" s="10">
        <f t="shared" si="5"/>
        <v>223838.63857200093</v>
      </c>
      <c r="R54" s="10">
        <f>Cash_Flow!$I54</f>
        <v>62500</v>
      </c>
      <c r="S54" s="10">
        <f t="shared" si="6"/>
        <v>161338.63857200093</v>
      </c>
      <c r="T54" s="10"/>
      <c r="U54" s="10"/>
      <c r="V54" s="10"/>
      <c r="W54" s="10"/>
      <c r="X54" s="10"/>
      <c r="Y54" s="10"/>
    </row>
    <row r="55" spans="1:25" x14ac:dyDescent="0.25">
      <c r="A55" s="9">
        <f>Fleet_Schedule!$B55</f>
        <v>5</v>
      </c>
      <c r="B55" s="9">
        <f>Fleet_Schedule!$A55</f>
        <v>53</v>
      </c>
      <c r="C55" s="8">
        <f>Fleet_Schedule!$G55</f>
        <v>30</v>
      </c>
      <c r="D55" s="10">
        <f>$C55*Assumptions!$B$5</f>
        <v>900000</v>
      </c>
      <c r="E55" s="10">
        <f>$C55*Assumptions!$B$8</f>
        <v>390000</v>
      </c>
      <c r="F55" s="10">
        <f>$C55*Assumptions!$B$9</f>
        <v>17400</v>
      </c>
      <c r="G55" s="10">
        <f>$C55*Assumptions!$B$10</f>
        <v>7200</v>
      </c>
      <c r="H55" s="10">
        <f>$C55*Assumptions!$B$11</f>
        <v>0</v>
      </c>
      <c r="I55" s="10">
        <f t="shared" si="0"/>
        <v>414600</v>
      </c>
      <c r="J55" s="10">
        <f t="shared" si="1"/>
        <v>485400</v>
      </c>
      <c r="K55" s="10">
        <f>$C55*Assumptions!$B$12</f>
        <v>90000</v>
      </c>
      <c r="L55" s="10">
        <f t="shared" si="2"/>
        <v>90000</v>
      </c>
      <c r="M55" s="10">
        <f t="shared" si="3"/>
        <v>395400</v>
      </c>
      <c r="N55" s="10">
        <f>Cash_Flow!$F55</f>
        <v>280.17675897349523</v>
      </c>
      <c r="O55" s="10">
        <f t="shared" si="4"/>
        <v>395119.82324102649</v>
      </c>
      <c r="P55" s="10">
        <f>Assumptions!$B$16*MAX(0,$O55)</f>
        <v>126438.34343712848</v>
      </c>
      <c r="Q55" s="10">
        <f t="shared" si="5"/>
        <v>268681.47980389802</v>
      </c>
      <c r="R55" s="10">
        <f>Cash_Flow!$I55</f>
        <v>77500</v>
      </c>
      <c r="S55" s="10">
        <f t="shared" si="6"/>
        <v>191181.47980389802</v>
      </c>
      <c r="T55" s="10"/>
      <c r="U55" s="10"/>
      <c r="V55" s="10"/>
      <c r="W55" s="10"/>
      <c r="X55" s="10"/>
      <c r="Y55" s="10"/>
    </row>
    <row r="56" spans="1:25" x14ac:dyDescent="0.25">
      <c r="A56" s="9">
        <f>Fleet_Schedule!$B56</f>
        <v>5</v>
      </c>
      <c r="B56" s="9">
        <f>Fleet_Schedule!$A56</f>
        <v>54</v>
      </c>
      <c r="C56" s="8">
        <f>Fleet_Schedule!$G56</f>
        <v>25</v>
      </c>
      <c r="D56" s="10">
        <f>$C56*Assumptions!$B$5</f>
        <v>750000</v>
      </c>
      <c r="E56" s="10">
        <f>$C56*Assumptions!$B$8</f>
        <v>325000</v>
      </c>
      <c r="F56" s="10">
        <f>$C56*Assumptions!$B$9</f>
        <v>14500</v>
      </c>
      <c r="G56" s="10">
        <f>$C56*Assumptions!$B$10</f>
        <v>6000</v>
      </c>
      <c r="H56" s="10">
        <f>$C56*Assumptions!$B$11</f>
        <v>0</v>
      </c>
      <c r="I56" s="10">
        <f t="shared" si="0"/>
        <v>345500</v>
      </c>
      <c r="J56" s="10">
        <f t="shared" si="1"/>
        <v>404500</v>
      </c>
      <c r="K56" s="10">
        <f>$C56*Assumptions!$B$12</f>
        <v>75000</v>
      </c>
      <c r="L56" s="10">
        <f t="shared" si="2"/>
        <v>75000</v>
      </c>
      <c r="M56" s="10">
        <f t="shared" si="3"/>
        <v>329500</v>
      </c>
      <c r="N56" s="10">
        <f>Cash_Flow!$F56</f>
        <v>234.44404991038087</v>
      </c>
      <c r="O56" s="10">
        <f t="shared" si="4"/>
        <v>329265.55595008959</v>
      </c>
      <c r="P56" s="10">
        <f>Assumptions!$B$16*MAX(0,$O56)</f>
        <v>105364.97790402867</v>
      </c>
      <c r="Q56" s="10">
        <f t="shared" si="5"/>
        <v>223900.57804606092</v>
      </c>
      <c r="R56" s="10">
        <f>Cash_Flow!$I56</f>
        <v>62500</v>
      </c>
      <c r="S56" s="10">
        <f t="shared" si="6"/>
        <v>161400.57804606092</v>
      </c>
      <c r="T56" s="10"/>
      <c r="U56" s="10"/>
      <c r="V56" s="10"/>
      <c r="W56" s="10"/>
      <c r="X56" s="10"/>
      <c r="Y56" s="10"/>
    </row>
    <row r="57" spans="1:25" x14ac:dyDescent="0.25">
      <c r="A57" s="9">
        <f>Fleet_Schedule!$B57</f>
        <v>5</v>
      </c>
      <c r="B57" s="9">
        <f>Fleet_Schedule!$A57</f>
        <v>55</v>
      </c>
      <c r="C57" s="8">
        <f>Fleet_Schedule!$G57</f>
        <v>30</v>
      </c>
      <c r="D57" s="10">
        <f>$C57*Assumptions!$B$5</f>
        <v>900000</v>
      </c>
      <c r="E57" s="10">
        <f>$C57*Assumptions!$B$8</f>
        <v>390000</v>
      </c>
      <c r="F57" s="10">
        <f>$C57*Assumptions!$B$9</f>
        <v>17400</v>
      </c>
      <c r="G57" s="10">
        <f>$C57*Assumptions!$B$10</f>
        <v>7200</v>
      </c>
      <c r="H57" s="10">
        <f>$C57*Assumptions!$B$11</f>
        <v>0</v>
      </c>
      <c r="I57" s="10">
        <f t="shared" si="0"/>
        <v>414600</v>
      </c>
      <c r="J57" s="10">
        <f t="shared" si="1"/>
        <v>485400</v>
      </c>
      <c r="K57" s="10">
        <f>$C57*Assumptions!$B$12</f>
        <v>90000</v>
      </c>
      <c r="L57" s="10">
        <f t="shared" si="2"/>
        <v>90000</v>
      </c>
      <c r="M57" s="10">
        <f t="shared" si="3"/>
        <v>395400</v>
      </c>
      <c r="N57" s="10">
        <f>Cash_Flow!$F57</f>
        <v>188.33023493840724</v>
      </c>
      <c r="O57" s="10">
        <f t="shared" si="4"/>
        <v>395211.66976506158</v>
      </c>
      <c r="P57" s="10">
        <f>Assumptions!$B$16*MAX(0,$O57)</f>
        <v>126467.73432481971</v>
      </c>
      <c r="Q57" s="10">
        <f t="shared" si="5"/>
        <v>268743.93544024188</v>
      </c>
      <c r="R57" s="10">
        <f>Cash_Flow!$I57</f>
        <v>77500</v>
      </c>
      <c r="S57" s="10">
        <f t="shared" si="6"/>
        <v>191243.93544024188</v>
      </c>
      <c r="T57" s="10"/>
      <c r="U57" s="10"/>
      <c r="V57" s="10"/>
      <c r="W57" s="10"/>
      <c r="X57" s="10"/>
      <c r="Y57" s="10"/>
    </row>
    <row r="58" spans="1:25" x14ac:dyDescent="0.25">
      <c r="A58" s="9">
        <f>Fleet_Schedule!$B58</f>
        <v>5</v>
      </c>
      <c r="B58" s="9">
        <f>Fleet_Schedule!$A58</f>
        <v>56</v>
      </c>
      <c r="C58" s="8">
        <f>Fleet_Schedule!$G58</f>
        <v>25</v>
      </c>
      <c r="D58" s="10">
        <f>$C58*Assumptions!$B$5</f>
        <v>750000</v>
      </c>
      <c r="E58" s="10">
        <f>$C58*Assumptions!$B$8</f>
        <v>325000</v>
      </c>
      <c r="F58" s="10">
        <f>$C58*Assumptions!$B$9</f>
        <v>14500</v>
      </c>
      <c r="G58" s="10">
        <f>$C58*Assumptions!$B$10</f>
        <v>6000</v>
      </c>
      <c r="H58" s="10">
        <f>$C58*Assumptions!$B$11</f>
        <v>0</v>
      </c>
      <c r="I58" s="10">
        <f t="shared" si="0"/>
        <v>345500</v>
      </c>
      <c r="J58" s="10">
        <f t="shared" si="1"/>
        <v>404500</v>
      </c>
      <c r="K58" s="10">
        <f>$C58*Assumptions!$B$12</f>
        <v>75000</v>
      </c>
      <c r="L58" s="10">
        <f t="shared" si="2"/>
        <v>75000</v>
      </c>
      <c r="M58" s="10">
        <f t="shared" si="3"/>
        <v>329500</v>
      </c>
      <c r="N58" s="10">
        <f>Cash_Flow!$F58</f>
        <v>141.83213817500055</v>
      </c>
      <c r="O58" s="10">
        <f t="shared" si="4"/>
        <v>329358.16786182497</v>
      </c>
      <c r="P58" s="10">
        <f>Assumptions!$B$16*MAX(0,$O58)</f>
        <v>105394.613715784</v>
      </c>
      <c r="Q58" s="10">
        <f t="shared" si="5"/>
        <v>223963.55414604099</v>
      </c>
      <c r="R58" s="10">
        <f>Cash_Flow!$I58</f>
        <v>62500</v>
      </c>
      <c r="S58" s="10">
        <f t="shared" si="6"/>
        <v>161463.55414604099</v>
      </c>
      <c r="T58" s="10"/>
      <c r="U58" s="10"/>
      <c r="V58" s="10"/>
      <c r="W58" s="10"/>
      <c r="X58" s="10"/>
      <c r="Y58" s="10"/>
    </row>
    <row r="59" spans="1:25" x14ac:dyDescent="0.25">
      <c r="A59" s="9">
        <f>Fleet_Schedule!$B59</f>
        <v>5</v>
      </c>
      <c r="B59" s="9">
        <f>Fleet_Schedule!$A59</f>
        <v>57</v>
      </c>
      <c r="C59" s="8">
        <f>Fleet_Schedule!$G59</f>
        <v>31</v>
      </c>
      <c r="D59" s="10">
        <f>$C59*Assumptions!$B$5</f>
        <v>930000</v>
      </c>
      <c r="E59" s="10">
        <f>$C59*Assumptions!$B$8</f>
        <v>403000</v>
      </c>
      <c r="F59" s="10">
        <f>$C59*Assumptions!$B$9</f>
        <v>17980</v>
      </c>
      <c r="G59" s="10">
        <f>$C59*Assumptions!$B$10</f>
        <v>7440</v>
      </c>
      <c r="H59" s="10">
        <f>$C59*Assumptions!$B$11</f>
        <v>0</v>
      </c>
      <c r="I59" s="10">
        <f t="shared" si="0"/>
        <v>428420</v>
      </c>
      <c r="J59" s="10">
        <f t="shared" si="1"/>
        <v>501580</v>
      </c>
      <c r="K59" s="10">
        <f>$C59*Assumptions!$B$12</f>
        <v>93000</v>
      </c>
      <c r="L59" s="10">
        <f t="shared" si="2"/>
        <v>93000</v>
      </c>
      <c r="M59" s="10">
        <f t="shared" si="3"/>
        <v>408580</v>
      </c>
      <c r="N59" s="10">
        <f>Cash_Flow!$F59</f>
        <v>94.946557271898754</v>
      </c>
      <c r="O59" s="10">
        <f t="shared" si="4"/>
        <v>408485.05344272812</v>
      </c>
      <c r="P59" s="10">
        <f>Assumptions!$B$16*MAX(0,$O59)</f>
        <v>130715.217101673</v>
      </c>
      <c r="Q59" s="10">
        <f t="shared" si="5"/>
        <v>277769.83634105511</v>
      </c>
      <c r="R59" s="10">
        <f>Cash_Flow!$I59</f>
        <v>80500</v>
      </c>
      <c r="S59" s="10">
        <f t="shared" si="6"/>
        <v>197269.83634105511</v>
      </c>
      <c r="T59" s="10"/>
      <c r="U59" s="10"/>
      <c r="V59" s="10"/>
      <c r="W59" s="10"/>
      <c r="X59" s="10"/>
      <c r="Y59" s="10"/>
    </row>
    <row r="60" spans="1:25" x14ac:dyDescent="0.25">
      <c r="A60" s="9">
        <f>Fleet_Schedule!$B60</f>
        <v>5</v>
      </c>
      <c r="B60" s="9">
        <f>Fleet_Schedule!$A60</f>
        <v>58</v>
      </c>
      <c r="C60" s="8">
        <f>Fleet_Schedule!$G60</f>
        <v>26</v>
      </c>
      <c r="D60" s="10">
        <f>$C60*Assumptions!$B$5</f>
        <v>780000</v>
      </c>
      <c r="E60" s="10">
        <f>$C60*Assumptions!$B$8</f>
        <v>338000</v>
      </c>
      <c r="F60" s="10">
        <f>$C60*Assumptions!$B$9</f>
        <v>15080</v>
      </c>
      <c r="G60" s="10">
        <f>$C60*Assumptions!$B$10</f>
        <v>6240</v>
      </c>
      <c r="H60" s="10">
        <f>$C60*Assumptions!$B$11</f>
        <v>0</v>
      </c>
      <c r="I60" s="10">
        <f t="shared" si="0"/>
        <v>359320</v>
      </c>
      <c r="J60" s="10">
        <f t="shared" si="1"/>
        <v>420680</v>
      </c>
      <c r="K60" s="10">
        <f>$C60*Assumptions!$B$12</f>
        <v>78000</v>
      </c>
      <c r="L60" s="10">
        <f t="shared" si="2"/>
        <v>78000</v>
      </c>
      <c r="M60" s="10">
        <f t="shared" si="3"/>
        <v>342680</v>
      </c>
      <c r="N60" s="10">
        <f>Cash_Flow!$F60</f>
        <v>47.670263194604466</v>
      </c>
      <c r="O60" s="10">
        <f t="shared" si="4"/>
        <v>342632.3297368054</v>
      </c>
      <c r="P60" s="10">
        <f>Assumptions!$B$16*MAX(0,$O60)</f>
        <v>109642.34551577774</v>
      </c>
      <c r="Q60" s="10">
        <f t="shared" si="5"/>
        <v>232989.98422102767</v>
      </c>
      <c r="R60" s="10">
        <f>Cash_Flow!$I60</f>
        <v>65500</v>
      </c>
      <c r="S60" s="10">
        <f t="shared" si="6"/>
        <v>167489.98422102767</v>
      </c>
      <c r="T60" s="10"/>
      <c r="U60" s="10"/>
      <c r="V60" s="10"/>
      <c r="W60" s="10"/>
      <c r="X60" s="10"/>
      <c r="Y60" s="10"/>
    </row>
    <row r="61" spans="1:25" x14ac:dyDescent="0.25">
      <c r="A61" s="9">
        <f>Fleet_Schedule!$B61</f>
        <v>5</v>
      </c>
      <c r="B61" s="9">
        <f>Fleet_Schedule!$A61</f>
        <v>59</v>
      </c>
      <c r="C61" s="8">
        <f>Fleet_Schedule!$G61</f>
        <v>32</v>
      </c>
      <c r="D61" s="10">
        <f>$C61*Assumptions!$B$5</f>
        <v>960000</v>
      </c>
      <c r="E61" s="10">
        <f>$C61*Assumptions!$B$8</f>
        <v>416000</v>
      </c>
      <c r="F61" s="10">
        <f>$C61*Assumptions!$B$9</f>
        <v>18560</v>
      </c>
      <c r="G61" s="10">
        <f>$C61*Assumptions!$B$10</f>
        <v>7680</v>
      </c>
      <c r="H61" s="10">
        <f>$C61*Assumptions!$B$11</f>
        <v>0</v>
      </c>
      <c r="I61" s="10">
        <f t="shared" si="0"/>
        <v>442240</v>
      </c>
      <c r="J61" s="10">
        <f t="shared" si="1"/>
        <v>517760</v>
      </c>
      <c r="K61" s="10">
        <f>$C61*Assumptions!$B$12</f>
        <v>96000</v>
      </c>
      <c r="L61" s="10">
        <f t="shared" si="2"/>
        <v>96000</v>
      </c>
      <c r="M61" s="10">
        <f t="shared" si="3"/>
        <v>421760</v>
      </c>
      <c r="N61" s="10">
        <f>Cash_Flow!$F61</f>
        <v>0</v>
      </c>
      <c r="O61" s="10">
        <f t="shared" si="4"/>
        <v>421760</v>
      </c>
      <c r="P61" s="10">
        <f>Assumptions!$B$16*MAX(0,$O61)</f>
        <v>134963.20000000001</v>
      </c>
      <c r="Q61" s="10">
        <f t="shared" si="5"/>
        <v>286796.79999999999</v>
      </c>
      <c r="R61" s="10">
        <f>Cash_Flow!$I61</f>
        <v>83500</v>
      </c>
      <c r="S61" s="10">
        <f t="shared" si="6"/>
        <v>203296.8</v>
      </c>
      <c r="T61" s="10"/>
      <c r="U61" s="10"/>
      <c r="V61" s="10"/>
      <c r="W61" s="10"/>
      <c r="X61" s="10"/>
      <c r="Y61" s="10"/>
    </row>
    <row r="62" spans="1:25" x14ac:dyDescent="0.25">
      <c r="A62" s="9">
        <f>Fleet_Schedule!$B62</f>
        <v>5</v>
      </c>
      <c r="B62" s="9">
        <f>Fleet_Schedule!$A62</f>
        <v>60</v>
      </c>
      <c r="C62" s="8">
        <f>Fleet_Schedule!$G62</f>
        <v>28</v>
      </c>
      <c r="D62" s="10">
        <f>$C62*Assumptions!$B$5</f>
        <v>840000</v>
      </c>
      <c r="E62" s="10">
        <f>$C62*Assumptions!$B$8</f>
        <v>364000</v>
      </c>
      <c r="F62" s="10">
        <f>$C62*Assumptions!$B$9</f>
        <v>16240</v>
      </c>
      <c r="G62" s="10">
        <f>$C62*Assumptions!$B$10</f>
        <v>6720</v>
      </c>
      <c r="H62" s="10">
        <f>$C62*Assumptions!$B$11</f>
        <v>0</v>
      </c>
      <c r="I62" s="10">
        <f t="shared" si="0"/>
        <v>386960</v>
      </c>
      <c r="J62" s="10">
        <f t="shared" si="1"/>
        <v>453040</v>
      </c>
      <c r="K62" s="10">
        <f>$C62*Assumptions!$B$12</f>
        <v>84000</v>
      </c>
      <c r="L62" s="10">
        <f t="shared" si="2"/>
        <v>84000</v>
      </c>
      <c r="M62" s="10">
        <f t="shared" si="3"/>
        <v>369040</v>
      </c>
      <c r="N62" s="10">
        <f>Cash_Flow!$F62</f>
        <v>0</v>
      </c>
      <c r="O62" s="10">
        <f t="shared" si="4"/>
        <v>369040</v>
      </c>
      <c r="P62" s="10">
        <f>Assumptions!$B$16*MAX(0,$O62)</f>
        <v>118092.8</v>
      </c>
      <c r="Q62" s="10">
        <f t="shared" si="5"/>
        <v>250947.20000000001</v>
      </c>
      <c r="R62" s="10">
        <f>Cash_Flow!$I62</f>
        <v>71500</v>
      </c>
      <c r="S62" s="10">
        <f t="shared" si="6"/>
        <v>179447.2</v>
      </c>
      <c r="T62" s="10"/>
      <c r="U62" s="10"/>
      <c r="V62" s="10"/>
      <c r="W62" s="10"/>
      <c r="X62" s="10"/>
      <c r="Y62" s="10"/>
    </row>
  </sheetData>
  <mergeCells count="1">
    <mergeCell ref="A1:C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62"/>
  <sheetViews>
    <sheetView showGridLines="0" zoomScale="130" zoomScaleNormal="130" workbookViewId="0">
      <pane xSplit="2" ySplit="2" topLeftCell="C9" activePane="bottomRight" state="frozen"/>
      <selection pane="topRight" activeCell="B1" sqref="B1"/>
      <selection pane="bottomLeft" activeCell="A3" sqref="A3"/>
      <selection pane="bottomRight" activeCell="D2" sqref="D2"/>
    </sheetView>
  </sheetViews>
  <sheetFormatPr defaultColWidth="8.7109375" defaultRowHeight="15" customHeight="1" x14ac:dyDescent="0.25"/>
  <cols>
    <col min="2" max="2" width="10" customWidth="1"/>
    <col min="3" max="3" width="20.28515625" bestFit="1" customWidth="1"/>
    <col min="4" max="4" width="18.42578125" customWidth="1"/>
    <col min="5" max="5" width="21.42578125" customWidth="1"/>
    <col min="6" max="6" width="16" customWidth="1"/>
    <col min="7" max="7" width="21.7109375" customWidth="1"/>
    <col min="8" max="8" width="16" customWidth="1"/>
    <col min="9" max="11" width="18.140625" customWidth="1"/>
    <col min="12" max="12" width="16" customWidth="1"/>
    <col min="13" max="20" width="18.42578125" customWidth="1"/>
    <col min="21" max="22" width="23.5703125" customWidth="1"/>
    <col min="23" max="23" width="20.42578125" customWidth="1"/>
    <col min="24" max="24" width="12.5703125" bestFit="1" customWidth="1"/>
  </cols>
  <sheetData>
    <row r="1" spans="1:24" ht="17.25" customHeight="1" x14ac:dyDescent="0.3">
      <c r="B1" s="20" t="s">
        <v>98</v>
      </c>
      <c r="C1" s="20"/>
      <c r="D1" s="20"/>
      <c r="E1" s="20"/>
      <c r="F1" s="20"/>
      <c r="G1" s="20"/>
      <c r="H1" s="20"/>
      <c r="I1" s="13"/>
      <c r="J1" s="13"/>
      <c r="K1" s="13"/>
      <c r="L1" s="13"/>
    </row>
    <row r="2" spans="1:24" ht="58.5" customHeight="1" x14ac:dyDescent="0.25">
      <c r="A2" s="19" t="s">
        <v>138</v>
      </c>
      <c r="B2" s="2" t="s">
        <v>50</v>
      </c>
      <c r="C2" s="2" t="s">
        <v>85</v>
      </c>
      <c r="D2" s="2" t="s">
        <v>86</v>
      </c>
      <c r="E2" s="2" t="s">
        <v>82</v>
      </c>
      <c r="F2" s="2" t="s">
        <v>83</v>
      </c>
      <c r="G2" s="2" t="s">
        <v>103</v>
      </c>
      <c r="H2" s="2" t="s">
        <v>84</v>
      </c>
      <c r="I2" s="2" t="s">
        <v>101</v>
      </c>
      <c r="J2" s="2" t="s">
        <v>65</v>
      </c>
      <c r="K2" s="2" t="s">
        <v>66</v>
      </c>
      <c r="L2" s="2" t="s">
        <v>102</v>
      </c>
      <c r="M2" s="18" t="s">
        <v>106</v>
      </c>
      <c r="N2" s="15" t="s">
        <v>111</v>
      </c>
      <c r="O2" s="15" t="s">
        <v>112</v>
      </c>
      <c r="P2" s="15" t="s">
        <v>81</v>
      </c>
      <c r="Q2" s="15" t="s">
        <v>113</v>
      </c>
      <c r="R2" s="15" t="s">
        <v>114</v>
      </c>
      <c r="S2" s="15" t="s">
        <v>96</v>
      </c>
      <c r="T2" s="15" t="s">
        <v>110</v>
      </c>
      <c r="U2" s="15" t="s">
        <v>108</v>
      </c>
      <c r="V2" s="15" t="s">
        <v>115</v>
      </c>
      <c r="W2" s="15" t="s">
        <v>107</v>
      </c>
    </row>
    <row r="3" spans="1:24" x14ac:dyDescent="0.25">
      <c r="A3" s="9">
        <f>Fleet_Schedule!$B3</f>
        <v>1</v>
      </c>
      <c r="B3" s="9">
        <f>Fleet_Schedule!A3</f>
        <v>1</v>
      </c>
      <c r="C3" s="10">
        <f>IF($A3&gt;1,0,Assumptions!$B$17+IF($B3&gt;4,Assumptions!$B$22,0))</f>
        <v>250000</v>
      </c>
      <c r="D3" s="10">
        <f>IF($U3&gt;500000,0,IF($B3&gt;4,(Assumptions!$B$17+Assumptions!$B$22)-$U3,Assumptions!$B$17-$U3))</f>
        <v>238000</v>
      </c>
      <c r="E3" s="10">
        <f>Cash_Flow!$P3</f>
        <v>0</v>
      </c>
      <c r="F3" s="8">
        <f>Fleet_Schedule!$G3</f>
        <v>4</v>
      </c>
      <c r="G3" s="8">
        <f>Fleet_Schedule!$I3</f>
        <v>4</v>
      </c>
      <c r="H3" s="10">
        <f>$F3*Assumptions!$B$4</f>
        <v>240000</v>
      </c>
      <c r="I3" s="10">
        <f>$G3*Assumptions!$B$4</f>
        <v>240000</v>
      </c>
      <c r="J3" s="16">
        <f>Cash_Flow!$J3</f>
        <v>23849.599999999999</v>
      </c>
      <c r="K3" s="16">
        <f>Cash_Flow!$K3</f>
        <v>0</v>
      </c>
      <c r="L3" s="16">
        <f>$F3*Assumptions!$B$5</f>
        <v>120000</v>
      </c>
      <c r="M3" s="17">
        <f>Cash_Flow!$E3</f>
        <v>67280</v>
      </c>
      <c r="N3" s="17">
        <f>Income_Statement!$M3</f>
        <v>52720</v>
      </c>
      <c r="O3" s="17">
        <f>(Cash_Flow!$F3+Cash_Flow!$G3)</f>
        <v>0</v>
      </c>
      <c r="P3" s="17">
        <f>Income_Statement!$P3</f>
        <v>16870.400000000001</v>
      </c>
      <c r="Q3" s="17">
        <f>Income_Statement!$P3</f>
        <v>16870.400000000001</v>
      </c>
      <c r="R3" s="17">
        <f>Income_Statement!$Q3</f>
        <v>35849.599999999999</v>
      </c>
      <c r="S3" s="17">
        <f>Income_Statement!$R3</f>
        <v>12000</v>
      </c>
      <c r="T3" s="17">
        <f>Income_Statement!$Q3</f>
        <v>35849.599999999999</v>
      </c>
      <c r="U3" s="17">
        <f>Cash_Flow!$I3</f>
        <v>12000</v>
      </c>
      <c r="V3" s="17">
        <f>Cash_Flow!$N3</f>
        <v>23849.599999999999</v>
      </c>
      <c r="W3" s="17">
        <f>Cash_Flow!$N3</f>
        <v>23849.599999999999</v>
      </c>
      <c r="X3" s="14"/>
    </row>
    <row r="4" spans="1:24" x14ac:dyDescent="0.25">
      <c r="A4" s="9">
        <f>Fleet_Schedule!$B4</f>
        <v>1</v>
      </c>
      <c r="B4" s="9">
        <f>Fleet_Schedule!A4</f>
        <v>2</v>
      </c>
      <c r="C4" s="10">
        <f>IF($A4&gt;1,0,Assumptions!$B$17+IF($B4&gt;4,Assumptions!$B$22,0))</f>
        <v>250000</v>
      </c>
      <c r="D4" s="10">
        <f>IF($U4&gt;500000,0,IF($B4&gt;4,(Assumptions!$B$17+Assumptions!$B$22)-$U4,Assumptions!$B$17-$U4))</f>
        <v>226000</v>
      </c>
      <c r="E4" s="10">
        <f>Cash_Flow!$P4</f>
        <v>0</v>
      </c>
      <c r="F4" s="8">
        <f>Fleet_Schedule!$G4</f>
        <v>4</v>
      </c>
      <c r="G4" s="8">
        <f>Fleet_Schedule!$I4</f>
        <v>4</v>
      </c>
      <c r="H4" s="10">
        <f>$F4*Assumptions!$B$4</f>
        <v>240000</v>
      </c>
      <c r="I4" s="10">
        <f>$G4*Assumptions!$B$4</f>
        <v>240000</v>
      </c>
      <c r="J4" s="16">
        <f>Cash_Flow!$J4</f>
        <v>23849.599999999999</v>
      </c>
      <c r="K4" s="16">
        <f>Cash_Flow!$K4</f>
        <v>0</v>
      </c>
      <c r="L4" s="16">
        <f>L3+(F4*Assumptions!$B$5)</f>
        <v>240000</v>
      </c>
      <c r="M4" s="17">
        <f>$M3+Cash_Flow!$E4</f>
        <v>134560</v>
      </c>
      <c r="N4" s="17">
        <f>$N3+Income_Statement!$M4</f>
        <v>105440</v>
      </c>
      <c r="O4" s="17">
        <f>IF(Cash_Flow!$F4&lt;=0,0,$O3+(Cash_Flow!$F4+Cash_Flow!$G4))</f>
        <v>0</v>
      </c>
      <c r="P4" s="17">
        <f>Income_Statement!$P4</f>
        <v>16870.400000000001</v>
      </c>
      <c r="Q4" s="17">
        <f>$Q3+Income_Statement!$P4</f>
        <v>33740.800000000003</v>
      </c>
      <c r="R4" s="17">
        <f>$R3+Income_Statement!$Q4</f>
        <v>71699.199999999997</v>
      </c>
      <c r="S4" s="17">
        <f>Income_Statement!$R4</f>
        <v>12000</v>
      </c>
      <c r="T4" s="17">
        <f>Income_Statement!$Q4</f>
        <v>35849.599999999999</v>
      </c>
      <c r="U4" s="17">
        <f>$U3+Cash_Flow!$I4</f>
        <v>24000</v>
      </c>
      <c r="V4" s="17">
        <f>Cash_Flow!$N4</f>
        <v>47699.199999999997</v>
      </c>
      <c r="W4" s="17">
        <f>($W3+Cash_Flow!$J4)-(Cash_Flow!$B4+Cash_Flow!$C4)</f>
        <v>47699.199999999997</v>
      </c>
    </row>
    <row r="5" spans="1:24" x14ac:dyDescent="0.25">
      <c r="A5" s="9">
        <f>Fleet_Schedule!$B5</f>
        <v>1</v>
      </c>
      <c r="B5" s="9">
        <f>Fleet_Schedule!A5</f>
        <v>3</v>
      </c>
      <c r="C5" s="10">
        <f>IF($A5&gt;1,0,Assumptions!$B$17+IF($B5&gt;4,Assumptions!$B$22,0))</f>
        <v>250000</v>
      </c>
      <c r="D5" s="10">
        <f>IF($U5&gt;500000,0,IF($B5&gt;4,(Assumptions!$B$17+Assumptions!$B$22)-$U5,Assumptions!$B$17-$U5))</f>
        <v>214000</v>
      </c>
      <c r="E5" s="10">
        <f>Cash_Flow!$P5</f>
        <v>0</v>
      </c>
      <c r="F5" s="8">
        <f>Fleet_Schedule!$G5</f>
        <v>4</v>
      </c>
      <c r="G5" s="8">
        <f>Fleet_Schedule!$I5</f>
        <v>4</v>
      </c>
      <c r="H5" s="10">
        <f>$F5*Assumptions!$B$4</f>
        <v>240000</v>
      </c>
      <c r="I5" s="10">
        <f>$G5*Assumptions!$B$4</f>
        <v>240000</v>
      </c>
      <c r="J5" s="16">
        <f>Cash_Flow!$J5</f>
        <v>23849.599999999999</v>
      </c>
      <c r="K5" s="16">
        <f>Cash_Flow!$K5</f>
        <v>0</v>
      </c>
      <c r="L5" s="16">
        <f>L4+(F5*Assumptions!$B$5)</f>
        <v>360000</v>
      </c>
      <c r="M5" s="17">
        <f>$M4+Cash_Flow!$E5</f>
        <v>201840</v>
      </c>
      <c r="N5" s="17">
        <f>$N4+Income_Statement!$M5</f>
        <v>158160</v>
      </c>
      <c r="O5" s="17">
        <f>IF(Cash_Flow!$F5&lt;=0,0,$O4+(Cash_Flow!$F5+Cash_Flow!$G5))</f>
        <v>0</v>
      </c>
      <c r="P5" s="17">
        <f>Income_Statement!$P5</f>
        <v>16870.400000000001</v>
      </c>
      <c r="Q5" s="17">
        <f>$Q4+Income_Statement!$P5</f>
        <v>50611.200000000004</v>
      </c>
      <c r="R5" s="17">
        <f>$R4+Income_Statement!$Q5</f>
        <v>107548.79999999999</v>
      </c>
      <c r="S5" s="17">
        <f>Income_Statement!$R5</f>
        <v>12000</v>
      </c>
      <c r="T5" s="17">
        <f>Income_Statement!$Q5</f>
        <v>35849.599999999999</v>
      </c>
      <c r="U5" s="17">
        <f>$U4+Cash_Flow!$I5</f>
        <v>36000</v>
      </c>
      <c r="V5" s="17">
        <f>Cash_Flow!$N5</f>
        <v>71548.799999999988</v>
      </c>
      <c r="W5" s="17">
        <f>($W4+Cash_Flow!$J5)-(Cash_Flow!$B5+Cash_Flow!$C5)</f>
        <v>71548.799999999988</v>
      </c>
    </row>
    <row r="6" spans="1:24" x14ac:dyDescent="0.25">
      <c r="A6" s="9">
        <f>Fleet_Schedule!$B6</f>
        <v>1</v>
      </c>
      <c r="B6" s="9">
        <f>Fleet_Schedule!A6</f>
        <v>4</v>
      </c>
      <c r="C6" s="10">
        <f>IF($A6&gt;1,0,Assumptions!$B$17+IF($B6&gt;4,Assumptions!$B$22,0))</f>
        <v>250000</v>
      </c>
      <c r="D6" s="10">
        <f>IF($U6&gt;500000,0,IF($B6&gt;4,(Assumptions!$B$17+Assumptions!$B$22)-$U6,Assumptions!$B$17-$U6))</f>
        <v>202000</v>
      </c>
      <c r="E6" s="10">
        <f>Cash_Flow!$P6</f>
        <v>0</v>
      </c>
      <c r="F6" s="8">
        <f>Fleet_Schedule!$G6</f>
        <v>4</v>
      </c>
      <c r="G6" s="8">
        <f>Fleet_Schedule!$I6</f>
        <v>4</v>
      </c>
      <c r="H6" s="10">
        <f>$F6*Assumptions!$B$4</f>
        <v>240000</v>
      </c>
      <c r="I6" s="10">
        <f>$G6*Assumptions!$B$4</f>
        <v>240000</v>
      </c>
      <c r="J6" s="16">
        <f>Cash_Flow!$J6</f>
        <v>23849.599999999999</v>
      </c>
      <c r="K6" s="16">
        <f>Cash_Flow!$K6</f>
        <v>0</v>
      </c>
      <c r="L6" s="16">
        <f>L5+(F6*Assumptions!$B$5)</f>
        <v>480000</v>
      </c>
      <c r="M6" s="17">
        <f>$M5+Cash_Flow!$E6</f>
        <v>269120</v>
      </c>
      <c r="N6" s="17">
        <f>$N5+Income_Statement!$M6</f>
        <v>210880</v>
      </c>
      <c r="O6" s="17">
        <f>IF(Cash_Flow!$F6&lt;=0,0,$O5+(Cash_Flow!$F6+Cash_Flow!$G6))</f>
        <v>0</v>
      </c>
      <c r="P6" s="17">
        <f>Income_Statement!$P6</f>
        <v>16870.400000000001</v>
      </c>
      <c r="Q6" s="17">
        <f>$Q5+Income_Statement!$P6</f>
        <v>67481.600000000006</v>
      </c>
      <c r="R6" s="17">
        <f>$R5+Income_Statement!$Q6</f>
        <v>143398.39999999999</v>
      </c>
      <c r="S6" s="17">
        <f>Income_Statement!$R6</f>
        <v>12000</v>
      </c>
      <c r="T6" s="17">
        <f>Income_Statement!$Q6</f>
        <v>35849.599999999999</v>
      </c>
      <c r="U6" s="17">
        <f>$U5+Cash_Flow!$I6</f>
        <v>48000</v>
      </c>
      <c r="V6" s="17">
        <f>Cash_Flow!$N6</f>
        <v>95398.399999999994</v>
      </c>
      <c r="W6" s="17">
        <f>($W5+Cash_Flow!$J6)-(Cash_Flow!$B6+Cash_Flow!$C6)</f>
        <v>95398.399999999994</v>
      </c>
    </row>
    <row r="7" spans="1:24" x14ac:dyDescent="0.25">
      <c r="A7" s="9">
        <f>Fleet_Schedule!$B7</f>
        <v>1</v>
      </c>
      <c r="B7" s="9">
        <f>Fleet_Schedule!A7</f>
        <v>5</v>
      </c>
      <c r="C7" s="10">
        <f>IF($A7&gt;1,0,Assumptions!$B$17+IF($B7&gt;4,Assumptions!$B$22,0))</f>
        <v>500000</v>
      </c>
      <c r="D7" s="10">
        <f>IF($U7&gt;500000,0,IF($B7&gt;4,(Assumptions!$B$17+Assumptions!$B$22)-$U7,Assumptions!$B$17-$U7))</f>
        <v>440000</v>
      </c>
      <c r="E7" s="10">
        <f>Cash_Flow!$P7</f>
        <v>246315.23148678613</v>
      </c>
      <c r="F7" s="8">
        <f>Fleet_Schedule!$G7</f>
        <v>4</v>
      </c>
      <c r="G7" s="8">
        <f>Fleet_Schedule!$I7</f>
        <v>4</v>
      </c>
      <c r="H7" s="10">
        <f>$F7*Assumptions!$B$4</f>
        <v>240000</v>
      </c>
      <c r="I7" s="10">
        <f>$G7*Assumptions!$B$4</f>
        <v>240000</v>
      </c>
      <c r="J7" s="16">
        <f>Cash_Flow!$J7</f>
        <v>518748.16482011951</v>
      </c>
      <c r="K7" s="16">
        <f>Cash_Flow!$K7</f>
        <v>540000</v>
      </c>
      <c r="L7" s="16">
        <f>L6+(F7*Assumptions!$B$5)</f>
        <v>600000</v>
      </c>
      <c r="M7" s="17">
        <f>$M6+Cash_Flow!$E7</f>
        <v>336400</v>
      </c>
      <c r="N7" s="17">
        <f>$N6+Income_Statement!$M7</f>
        <v>263600</v>
      </c>
      <c r="O7" s="17">
        <f>IF(Cash_Flow!$F7&lt;=0,0,$O6+(Cash_Flow!$F7+Cash_Flow!$G7))</f>
        <v>5768.1018465472143</v>
      </c>
      <c r="P7" s="17">
        <f>Income_Statement!$P7</f>
        <v>16203.733333333334</v>
      </c>
      <c r="Q7" s="17">
        <f>$Q6+Income_Statement!$P7</f>
        <v>83685.333333333343</v>
      </c>
      <c r="R7" s="17">
        <f>$R6+Income_Statement!$Q7</f>
        <v>177831.33333333331</v>
      </c>
      <c r="S7" s="17">
        <f>Income_Statement!$R7</f>
        <v>12000</v>
      </c>
      <c r="T7" s="17">
        <f>Income_Statement!$Q7</f>
        <v>34432.933333333334</v>
      </c>
      <c r="U7" s="17">
        <f>$U6+Cash_Flow!$I7</f>
        <v>60000</v>
      </c>
      <c r="V7" s="17">
        <f>Cash_Flow!$N7</f>
        <v>74146.5648201195</v>
      </c>
      <c r="W7" s="17">
        <f>($W6+Cash_Flow!$J7)-(Cash_Flow!$B7+Cash_Flow!$C7)</f>
        <v>114146.56482011953</v>
      </c>
    </row>
    <row r="8" spans="1:24" x14ac:dyDescent="0.25">
      <c r="A8" s="9">
        <f>Fleet_Schedule!$B8</f>
        <v>1</v>
      </c>
      <c r="B8" s="9">
        <f>Fleet_Schedule!A8</f>
        <v>6</v>
      </c>
      <c r="C8" s="10">
        <f>IF($A8&gt;1,0,Assumptions!$B$17+IF($B8&gt;4,Assumptions!$B$22,0))</f>
        <v>500000</v>
      </c>
      <c r="D8" s="10">
        <f>IF($U8&gt;500000,0,IF($B8&gt;4,(Assumptions!$B$17+Assumptions!$B$22)-$U8,Assumptions!$B$17-$U8))</f>
        <v>428000</v>
      </c>
      <c r="E8" s="10">
        <f>Cash_Flow!$P8</f>
        <v>242599.75656929545</v>
      </c>
      <c r="F8" s="8">
        <f>Fleet_Schedule!$G8</f>
        <v>4</v>
      </c>
      <c r="G8" s="8">
        <f>Fleet_Schedule!$I8</f>
        <v>4</v>
      </c>
      <c r="H8" s="10">
        <f>$F8*Assumptions!$B$4</f>
        <v>240000</v>
      </c>
      <c r="I8" s="10">
        <f>$G8*Assumptions!$B$4</f>
        <v>240000</v>
      </c>
      <c r="J8" s="16">
        <f>Cash_Flow!$J8</f>
        <v>18738.338770750881</v>
      </c>
      <c r="K8" s="16">
        <f>Cash_Flow!$K8</f>
        <v>0</v>
      </c>
      <c r="L8" s="16">
        <f>L7+(F8*Assumptions!$B$5)</f>
        <v>720000</v>
      </c>
      <c r="M8" s="17">
        <f>$M7+Cash_Flow!$E8</f>
        <v>403680</v>
      </c>
      <c r="N8" s="17">
        <f>$N7+Income_Statement!$M8</f>
        <v>316320</v>
      </c>
      <c r="O8" s="17">
        <f>IF(Cash_Flow!$F8&lt;=0,0,$O7+(Cash_Flow!$F8+Cash_Flow!$G8))</f>
        <v>11536.203693094429</v>
      </c>
      <c r="P8" s="17">
        <f>Income_Statement!$P8</f>
        <v>16213.559382701904</v>
      </c>
      <c r="Q8" s="17">
        <f>$Q7+Income_Statement!$P8</f>
        <v>99898.892716035247</v>
      </c>
      <c r="R8" s="17">
        <f>$R7+Income_Statement!$Q8</f>
        <v>212285.14702157484</v>
      </c>
      <c r="S8" s="17">
        <f>Income_Statement!$R8</f>
        <v>12000</v>
      </c>
      <c r="T8" s="17">
        <f>Income_Statement!$Q8</f>
        <v>34453.813688241542</v>
      </c>
      <c r="U8" s="17">
        <f>$U7+Cash_Flow!$I8</f>
        <v>72000</v>
      </c>
      <c r="V8" s="17">
        <f>Cash_Flow!$N8</f>
        <v>92884.903590870381</v>
      </c>
      <c r="W8" s="17">
        <f>($W7+Cash_Flow!$J8)-(Cash_Flow!$B8+Cash_Flow!$C8)</f>
        <v>132884.90359087041</v>
      </c>
    </row>
    <row r="9" spans="1:24" x14ac:dyDescent="0.25">
      <c r="A9" s="9">
        <f>Fleet_Schedule!$B9</f>
        <v>1</v>
      </c>
      <c r="B9" s="9">
        <f>Fleet_Schedule!A9</f>
        <v>7</v>
      </c>
      <c r="C9" s="10">
        <f>IF($A9&gt;1,0,Assumptions!$B$17+IF($B9&gt;4,Assumptions!$B$22,0))</f>
        <v>500000</v>
      </c>
      <c r="D9" s="10">
        <f>IF($U9&gt;500000,0,IF($B9&gt;4,(Assumptions!$B$17+Assumptions!$B$22)-$U9,Assumptions!$B$17-$U9))</f>
        <v>416000</v>
      </c>
      <c r="E9" s="10">
        <f>Cash_Flow!$P9</f>
        <v>238853.3193608257</v>
      </c>
      <c r="F9" s="8">
        <f>Fleet_Schedule!$G9</f>
        <v>4</v>
      </c>
      <c r="G9" s="8">
        <f>Fleet_Schedule!$I9</f>
        <v>4</v>
      </c>
      <c r="H9" s="10">
        <f>$F9*Assumptions!$B$4</f>
        <v>240000</v>
      </c>
      <c r="I9" s="10">
        <f>$G9*Assumptions!$B$4</f>
        <v>240000</v>
      </c>
      <c r="J9" s="16">
        <f>Cash_Flow!$J9</f>
        <v>18728.43083763757</v>
      </c>
      <c r="K9" s="16">
        <f>Cash_Flow!$K9</f>
        <v>0</v>
      </c>
      <c r="L9" s="16">
        <f>L8+(F9*Assumptions!$B$5)</f>
        <v>840000</v>
      </c>
      <c r="M9" s="17">
        <f>$M8+Cash_Flow!$E9</f>
        <v>470960</v>
      </c>
      <c r="N9" s="17">
        <f>$N8+Income_Statement!$M9</f>
        <v>369040</v>
      </c>
      <c r="O9" s="17">
        <f>IF(Cash_Flow!$F9&lt;=0,0,$O8+(Cash_Flow!$F9+Cash_Flow!$G9))</f>
        <v>17304.305539641642</v>
      </c>
      <c r="P9" s="17">
        <f>Income_Statement!$P9</f>
        <v>16223.467315815213</v>
      </c>
      <c r="Q9" s="17">
        <f>$Q8+Income_Statement!$P9</f>
        <v>116122.36003185046</v>
      </c>
      <c r="R9" s="17">
        <f>$R8+Income_Statement!$Q9</f>
        <v>246760.01506768216</v>
      </c>
      <c r="S9" s="17">
        <f>Income_Statement!$R9</f>
        <v>12000</v>
      </c>
      <c r="T9" s="17">
        <f>Income_Statement!$Q9</f>
        <v>34474.868046107324</v>
      </c>
      <c r="U9" s="17">
        <f>$U8+Cash_Flow!$I9</f>
        <v>84000</v>
      </c>
      <c r="V9" s="17">
        <f>Cash_Flow!$N9</f>
        <v>111613.33442850795</v>
      </c>
      <c r="W9" s="17">
        <f>($W8+Cash_Flow!$J9)-(Cash_Flow!$B9+Cash_Flow!$C9)</f>
        <v>151613.33442850798</v>
      </c>
    </row>
    <row r="10" spans="1:24" x14ac:dyDescent="0.25">
      <c r="A10" s="9">
        <f>Fleet_Schedule!$B10</f>
        <v>1</v>
      </c>
      <c r="B10" s="9">
        <f>Fleet_Schedule!A10</f>
        <v>8</v>
      </c>
      <c r="C10" s="10">
        <f>IF($A10&gt;1,0,Assumptions!$B$17+IF($B10&gt;4,Assumptions!$B$22,0))</f>
        <v>500000</v>
      </c>
      <c r="D10" s="10">
        <f>IF($U10&gt;500000,0,IF($B10&gt;4,(Assumptions!$B$17+Assumptions!$B$22)-$U10,Assumptions!$B$17-$U10))</f>
        <v>389500</v>
      </c>
      <c r="E10" s="10">
        <f>Cash_Flow!$P10</f>
        <v>235075.66184228536</v>
      </c>
      <c r="F10" s="8">
        <f>Fleet_Schedule!$G10</f>
        <v>13</v>
      </c>
      <c r="G10" s="8">
        <f>Fleet_Schedule!$I10</f>
        <v>13</v>
      </c>
      <c r="H10" s="10">
        <f>$F10*Assumptions!$B$4</f>
        <v>780000</v>
      </c>
      <c r="I10" s="10">
        <f>$G10*Assumptions!$B$4</f>
        <v>780000</v>
      </c>
      <c r="J10" s="16">
        <f>Cash_Flow!$J10</f>
        <v>84880.040338414983</v>
      </c>
      <c r="K10" s="16">
        <f>Cash_Flow!$K10</f>
        <v>0</v>
      </c>
      <c r="L10" s="16">
        <f>L9+(F10*Assumptions!$B$5)</f>
        <v>1230000</v>
      </c>
      <c r="M10" s="17">
        <f>$M9+Cash_Flow!$E10</f>
        <v>689620</v>
      </c>
      <c r="N10" s="17">
        <f>$N9+Income_Statement!$M10</f>
        <v>540380</v>
      </c>
      <c r="O10" s="17">
        <f>IF(Cash_Flow!$F10&lt;=0,0,$O9+(Cash_Flow!$F10+Cash_Flow!$G10))</f>
        <v>23072.407386188857</v>
      </c>
      <c r="P10" s="17">
        <f>Income_Statement!$P10</f>
        <v>54191.857815037802</v>
      </c>
      <c r="Q10" s="17">
        <f>$Q9+Income_Statement!$P10</f>
        <v>170314.21784688826</v>
      </c>
      <c r="R10" s="17">
        <f>$R9+Income_Statement!$Q10</f>
        <v>361917.71292463748</v>
      </c>
      <c r="S10" s="17">
        <f>Income_Statement!$R10</f>
        <v>26499.999999999996</v>
      </c>
      <c r="T10" s="17">
        <f>Income_Statement!$Q10</f>
        <v>115157.69785695532</v>
      </c>
      <c r="U10" s="17">
        <f>$U9+Cash_Flow!$I10</f>
        <v>110500</v>
      </c>
      <c r="V10" s="17">
        <f>Cash_Flow!$N10</f>
        <v>196493.37476692293</v>
      </c>
      <c r="W10" s="17">
        <f>($W9+Cash_Flow!$J10)-(Cash_Flow!$B10+Cash_Flow!$C10)</f>
        <v>236493.37476692296</v>
      </c>
    </row>
    <row r="11" spans="1:24" x14ac:dyDescent="0.25">
      <c r="A11" s="9">
        <f>Fleet_Schedule!$B11</f>
        <v>1</v>
      </c>
      <c r="B11" s="9">
        <f>Fleet_Schedule!A11</f>
        <v>9</v>
      </c>
      <c r="C11" s="10">
        <f>IF($A11&gt;1,0,Assumptions!$B$17+IF($B11&gt;4,Assumptions!$B$22,0))</f>
        <v>500000</v>
      </c>
      <c r="D11" s="10">
        <f>IF($U11&gt;500000,0,IF($B11&gt;4,(Assumptions!$B$17+Assumptions!$B$22)-$U11,Assumptions!$B$17-$U11))</f>
        <v>363000</v>
      </c>
      <c r="E11" s="10">
        <f>Cash_Flow!$P11</f>
        <v>231266.52384442385</v>
      </c>
      <c r="F11" s="8">
        <f>Fleet_Schedule!$G11</f>
        <v>13</v>
      </c>
      <c r="G11" s="8">
        <f>Fleet_Schedule!$I11</f>
        <v>13</v>
      </c>
      <c r="H11" s="10">
        <f>$F11*Assumptions!$B$4</f>
        <v>780000</v>
      </c>
      <c r="I11" s="10">
        <f>$G11*Assumptions!$B$4</f>
        <v>780000</v>
      </c>
      <c r="J11" s="16">
        <f>Cash_Flow!$J11</f>
        <v>84869.966585032205</v>
      </c>
      <c r="K11" s="16">
        <f>Cash_Flow!$K11</f>
        <v>0</v>
      </c>
      <c r="L11" s="16">
        <f>L10+(F11*Assumptions!$B$5)</f>
        <v>1620000</v>
      </c>
      <c r="M11" s="17">
        <f>$M10+Cash_Flow!$E11</f>
        <v>908280</v>
      </c>
      <c r="N11" s="17">
        <f>$N10+Income_Statement!$M11</f>
        <v>711720</v>
      </c>
      <c r="O11" s="17">
        <f>IF(Cash_Flow!$F11&lt;=0,0,$O10+(Cash_Flow!$F11+Cash_Flow!$G11))</f>
        <v>28840.509232736073</v>
      </c>
      <c r="P11" s="17">
        <f>Income_Statement!$P11</f>
        <v>54201.931568420579</v>
      </c>
      <c r="Q11" s="17">
        <f>$Q10+Income_Statement!$P11</f>
        <v>224516.14941530884</v>
      </c>
      <c r="R11" s="17">
        <f>$R10+Income_Statement!$Q11</f>
        <v>477096.8175075312</v>
      </c>
      <c r="S11" s="17">
        <f>Income_Statement!$R11</f>
        <v>26499.999999999996</v>
      </c>
      <c r="T11" s="17">
        <f>Income_Statement!$Q11</f>
        <v>115179.10458289372</v>
      </c>
      <c r="U11" s="17">
        <f>$U10+Cash_Flow!$I11</f>
        <v>137000</v>
      </c>
      <c r="V11" s="17">
        <f>Cash_Flow!$N11</f>
        <v>281363.34135195514</v>
      </c>
      <c r="W11" s="17">
        <f>($W10+Cash_Flow!$J11)-(Cash_Flow!$B11+Cash_Flow!$C11)</f>
        <v>321363.3413519552</v>
      </c>
    </row>
    <row r="12" spans="1:24" x14ac:dyDescent="0.25">
      <c r="A12" s="9">
        <f>Fleet_Schedule!$B12</f>
        <v>1</v>
      </c>
      <c r="B12" s="9">
        <f>Fleet_Schedule!A12</f>
        <v>10</v>
      </c>
      <c r="C12" s="10">
        <f>IF($A12&gt;1,0,Assumptions!$B$17+IF($B12&gt;4,Assumptions!$B$22,0))</f>
        <v>500000</v>
      </c>
      <c r="D12" s="10">
        <f>IF($U12&gt;500000,0,IF($B12&gt;4,(Assumptions!$B$17+Assumptions!$B$22)-$U12,Assumptions!$B$17-$U12))</f>
        <v>336500</v>
      </c>
      <c r="E12" s="10">
        <f>Cash_Flow!$P12</f>
        <v>227425.64302991351</v>
      </c>
      <c r="F12" s="8">
        <f>Fleet_Schedule!$G12</f>
        <v>13</v>
      </c>
      <c r="G12" s="8">
        <f>Fleet_Schedule!$I12</f>
        <v>13</v>
      </c>
      <c r="H12" s="10">
        <f>$F12*Assumptions!$B$4</f>
        <v>780000</v>
      </c>
      <c r="I12" s="10">
        <f>$G12*Assumptions!$B$4</f>
        <v>780000</v>
      </c>
      <c r="J12" s="16">
        <f>Cash_Flow!$J12</f>
        <v>84859.808883704594</v>
      </c>
      <c r="K12" s="16">
        <f>Cash_Flow!$K12</f>
        <v>240000</v>
      </c>
      <c r="L12" s="16">
        <f>L11+(F12*Assumptions!$B$5)</f>
        <v>2010000</v>
      </c>
      <c r="M12" s="17">
        <f>$M11+Cash_Flow!$E12</f>
        <v>1126940</v>
      </c>
      <c r="N12" s="17">
        <f>$N11+Income_Statement!$M12</f>
        <v>883060</v>
      </c>
      <c r="O12" s="17">
        <f>IF(Cash_Flow!$F12&lt;=0,0,$O11+(Cash_Flow!$F12+Cash_Flow!$G12))</f>
        <v>34608.611079283284</v>
      </c>
      <c r="P12" s="17">
        <f>Income_Statement!$P12</f>
        <v>54212.089269748198</v>
      </c>
      <c r="Q12" s="17">
        <f>$Q11+Income_Statement!$P12</f>
        <v>278728.23868505703</v>
      </c>
      <c r="R12" s="17">
        <f>$R11+Income_Statement!$Q12</f>
        <v>592297.50720574614</v>
      </c>
      <c r="S12" s="17">
        <f>Income_Statement!$R12</f>
        <v>26499.999999999996</v>
      </c>
      <c r="T12" s="17">
        <f>Income_Statement!$Q12</f>
        <v>115200.68969821493</v>
      </c>
      <c r="U12" s="17">
        <f>$U11+Cash_Flow!$I12</f>
        <v>163500</v>
      </c>
      <c r="V12" s="17">
        <f>Cash_Flow!$N12</f>
        <v>126223.15023565973</v>
      </c>
      <c r="W12" s="17">
        <f>($W11+Cash_Flow!$J12)-(Cash_Flow!$B12+Cash_Flow!$C12)</f>
        <v>406223.15023565979</v>
      </c>
    </row>
    <row r="13" spans="1:24" x14ac:dyDescent="0.25">
      <c r="A13" s="9">
        <f>Fleet_Schedule!$B13</f>
        <v>1</v>
      </c>
      <c r="B13" s="9">
        <f>Fleet_Schedule!A13</f>
        <v>11</v>
      </c>
      <c r="C13" s="10">
        <f>IF($A13&gt;1,0,Assumptions!$B$17+IF($B13&gt;4,Assumptions!$B$22,0))</f>
        <v>500000</v>
      </c>
      <c r="D13" s="10">
        <f>IF($U13&gt;500000,0,IF($B13&gt;4,(Assumptions!$B$17+Assumptions!$B$22)-$U13,Assumptions!$B$17-$U13))</f>
        <v>310000</v>
      </c>
      <c r="E13" s="10">
        <f>Cash_Flow!$P13</f>
        <v>223552.75487528223</v>
      </c>
      <c r="F13" s="8">
        <f>Fleet_Schedule!$G13</f>
        <v>13</v>
      </c>
      <c r="G13" s="8">
        <f>Fleet_Schedule!$I13</f>
        <v>13</v>
      </c>
      <c r="H13" s="10">
        <f>$F13*Assumptions!$B$4</f>
        <v>780000</v>
      </c>
      <c r="I13" s="10">
        <f>$G13*Assumptions!$B$4</f>
        <v>780000</v>
      </c>
      <c r="J13" s="16">
        <f>Cash_Flow!$J13</f>
        <v>84849.56653486588</v>
      </c>
      <c r="K13" s="16">
        <f>Cash_Flow!$K13</f>
        <v>0</v>
      </c>
      <c r="L13" s="16">
        <f>L12+(F13*Assumptions!$B$5)</f>
        <v>2400000</v>
      </c>
      <c r="M13" s="17">
        <f>$M12+Cash_Flow!$E13</f>
        <v>1345600</v>
      </c>
      <c r="N13" s="17">
        <f>$N12+Income_Statement!$M13</f>
        <v>1054400</v>
      </c>
      <c r="O13" s="17">
        <f>IF(Cash_Flow!$F13&lt;=0,0,$O12+(Cash_Flow!$F13+Cash_Flow!$G13))</f>
        <v>40376.712925830499</v>
      </c>
      <c r="P13" s="17">
        <f>Income_Statement!$P13</f>
        <v>54222.331618586904</v>
      </c>
      <c r="Q13" s="17">
        <f>$Q12+Income_Statement!$P13</f>
        <v>332950.57030364394</v>
      </c>
      <c r="R13" s="17">
        <f>$R12+Income_Statement!$Q13</f>
        <v>707519.96189524326</v>
      </c>
      <c r="S13" s="17">
        <f>Income_Statement!$R13</f>
        <v>26499.999999999996</v>
      </c>
      <c r="T13" s="17">
        <f>Income_Statement!$Q13</f>
        <v>115222.45468949716</v>
      </c>
      <c r="U13" s="17">
        <f>$U12+Cash_Flow!$I13</f>
        <v>190000</v>
      </c>
      <c r="V13" s="17">
        <f>Cash_Flow!$N13</f>
        <v>211072.71677052561</v>
      </c>
      <c r="W13" s="17">
        <f>($W12+Cash_Flow!$J13)-(Cash_Flow!$B13+Cash_Flow!$C13)</f>
        <v>491072.71677052567</v>
      </c>
    </row>
    <row r="14" spans="1:24" x14ac:dyDescent="0.25">
      <c r="A14" s="9">
        <f>Fleet_Schedule!$B14</f>
        <v>1</v>
      </c>
      <c r="B14" s="9">
        <f>Fleet_Schedule!A14</f>
        <v>12</v>
      </c>
      <c r="C14" s="10">
        <f>IF($A14&gt;1,0,Assumptions!$B$17+IF($B14&gt;4,Assumptions!$B$22,0))</f>
        <v>500000</v>
      </c>
      <c r="D14" s="10">
        <f>IF($U14&gt;500000,0,IF($B14&gt;4,(Assumptions!$B$17+Assumptions!$B$22)-$U14,Assumptions!$B$17-$U14))</f>
        <v>295500</v>
      </c>
      <c r="E14" s="10">
        <f>Cash_Flow!$P14</f>
        <v>219647.59265269569</v>
      </c>
      <c r="F14" s="8">
        <f>Fleet_Schedule!$G14</f>
        <v>9</v>
      </c>
      <c r="G14" s="8">
        <f>Fleet_Schedule!$I14</f>
        <v>13</v>
      </c>
      <c r="H14" s="10">
        <f>$F14*Assumptions!$B$4</f>
        <v>540000</v>
      </c>
      <c r="I14" s="10">
        <f>$G14*Assumptions!$B$4</f>
        <v>780000</v>
      </c>
      <c r="J14" s="16">
        <f>Cash_Flow!$J14</f>
        <v>60989.638833120203</v>
      </c>
      <c r="K14" s="16">
        <f>Cash_Flow!$K14</f>
        <v>0</v>
      </c>
      <c r="L14" s="16">
        <f>L13+(F14*Assumptions!$B$5)</f>
        <v>2670000</v>
      </c>
      <c r="M14" s="17">
        <f>$M13+Cash_Flow!$E14</f>
        <v>1496980</v>
      </c>
      <c r="N14" s="17">
        <f>$N13+Income_Statement!$M14</f>
        <v>1173020</v>
      </c>
      <c r="O14" s="17">
        <f>IF(Cash_Flow!$F14&lt;=0,0,$O13+(Cash_Flow!$F14+Cash_Flow!$G14))</f>
        <v>46144.814772377715</v>
      </c>
      <c r="P14" s="17">
        <f>Income_Statement!$P14</f>
        <v>37362.259320332581</v>
      </c>
      <c r="Q14" s="17">
        <f>$Q13+Income_Statement!$P14</f>
        <v>370312.82962397649</v>
      </c>
      <c r="R14" s="17">
        <f>$R13+Income_Statement!$Q14</f>
        <v>786914.76295094995</v>
      </c>
      <c r="S14" s="17">
        <f>Income_Statement!$R14</f>
        <v>14500</v>
      </c>
      <c r="T14" s="17">
        <f>Income_Statement!$Q14</f>
        <v>79394.801055706732</v>
      </c>
      <c r="U14" s="17">
        <f>$U13+Cash_Flow!$I14</f>
        <v>204500</v>
      </c>
      <c r="V14" s="17">
        <f>Cash_Flow!$N14</f>
        <v>272062.35560364579</v>
      </c>
      <c r="W14" s="17">
        <f>($W13+Cash_Flow!$J14)-(Cash_Flow!$B14+Cash_Flow!$C14)</f>
        <v>552062.3556036459</v>
      </c>
    </row>
    <row r="15" spans="1:24" x14ac:dyDescent="0.25">
      <c r="A15" s="9">
        <f>Fleet_Schedule!$B15</f>
        <v>2</v>
      </c>
      <c r="B15" s="9">
        <f>Fleet_Schedule!A15</f>
        <v>13</v>
      </c>
      <c r="C15" s="10">
        <f>IF($A15&gt;1,0,Assumptions!$B$17+IF($B15&gt;4,Assumptions!$B$22,0))</f>
        <v>0</v>
      </c>
      <c r="D15" s="10">
        <f>IF($U15&gt;500000,0,IF($B15&gt;4,(Assumptions!$B$17+Assumptions!$B$22)-$U15,Assumptions!$B$17-$U15))</f>
        <v>269000</v>
      </c>
      <c r="E15" s="10">
        <f>Cash_Flow!$P15</f>
        <v>215709.88741158761</v>
      </c>
      <c r="F15" s="8">
        <f>Fleet_Schedule!$G15</f>
        <v>13</v>
      </c>
      <c r="G15" s="8">
        <f>Fleet_Schedule!$I15</f>
        <v>17</v>
      </c>
      <c r="H15" s="10">
        <f>$F15*Assumptions!$B$4</f>
        <v>780000</v>
      </c>
      <c r="I15" s="10">
        <f>$G15*Assumptions!$B$4</f>
        <v>1020000</v>
      </c>
      <c r="J15" s="16">
        <f>Cash_Flow!$J15</f>
        <v>84828.825067193306</v>
      </c>
      <c r="K15" s="16">
        <f>Cash_Flow!$K15</f>
        <v>240000</v>
      </c>
      <c r="L15" s="16">
        <f>L14+(F15*Assumptions!$B$5)</f>
        <v>3060000</v>
      </c>
      <c r="M15" s="17">
        <f>$M14+Cash_Flow!$E15</f>
        <v>1715640</v>
      </c>
      <c r="N15" s="17">
        <f>$N14+Income_Statement!$M15</f>
        <v>1344360</v>
      </c>
      <c r="O15" s="17">
        <f>IF(Cash_Flow!$F15&lt;=0,0,$O14+(Cash_Flow!$F15+Cash_Flow!$G15))</f>
        <v>51912.91661892493</v>
      </c>
      <c r="P15" s="17">
        <f>Income_Statement!$P15</f>
        <v>54243.073086259479</v>
      </c>
      <c r="Q15" s="17">
        <f>$Q14+Income_Statement!$P15</f>
        <v>424555.90271023597</v>
      </c>
      <c r="R15" s="17">
        <f>$R14+Income_Statement!$Q15</f>
        <v>902181.2932592514</v>
      </c>
      <c r="S15" s="17">
        <f>Income_Statement!$R15</f>
        <v>26499.999999999996</v>
      </c>
      <c r="T15" s="17">
        <f>Income_Statement!$Q15</f>
        <v>115266.53030830139</v>
      </c>
      <c r="U15" s="17">
        <f>$U14+Cash_Flow!$I15</f>
        <v>231000</v>
      </c>
      <c r="V15" s="17">
        <f>Cash_Flow!$N15</f>
        <v>116891.18067083909</v>
      </c>
      <c r="W15" s="17">
        <f>($W14+Cash_Flow!$J15)-(Cash_Flow!$B15+Cash_Flow!$C15)</f>
        <v>636891.18067083927</v>
      </c>
    </row>
    <row r="16" spans="1:24" x14ac:dyDescent="0.25">
      <c r="A16" s="9">
        <f>Fleet_Schedule!$B16</f>
        <v>2</v>
      </c>
      <c r="B16" s="9">
        <f>Fleet_Schedule!A16</f>
        <v>14</v>
      </c>
      <c r="C16" s="10">
        <f>IF($A16&gt;1,0,Assumptions!$B$17+IF($B16&gt;4,Assumptions!$B$22,0))</f>
        <v>0</v>
      </c>
      <c r="D16" s="10">
        <f>IF($U16&gt;500000,0,IF($B16&gt;4,(Assumptions!$B$17+Assumptions!$B$22)-$U16,Assumptions!$B$17-$U16))</f>
        <v>242500</v>
      </c>
      <c r="E16" s="10">
        <f>Cash_Flow!$P16</f>
        <v>211739.36796013697</v>
      </c>
      <c r="F16" s="8">
        <f>Fleet_Schedule!$G16</f>
        <v>13</v>
      </c>
      <c r="G16" s="8">
        <f>Fleet_Schedule!$I16</f>
        <v>17</v>
      </c>
      <c r="H16" s="10">
        <f>$F16*Assumptions!$B$4</f>
        <v>780000</v>
      </c>
      <c r="I16" s="10">
        <f>$G16*Assumptions!$B$4</f>
        <v>1020000</v>
      </c>
      <c r="J16" s="16">
        <f>Cash_Flow!$J16</f>
        <v>84818.324519883696</v>
      </c>
      <c r="K16" s="16">
        <f>Cash_Flow!$K16</f>
        <v>0</v>
      </c>
      <c r="L16" s="16">
        <f>L15+(F16*Assumptions!$B$5)</f>
        <v>3450000</v>
      </c>
      <c r="M16" s="17">
        <f>$M15+Cash_Flow!$E16</f>
        <v>1934300</v>
      </c>
      <c r="N16" s="17">
        <f>$N15+Income_Statement!$M16</f>
        <v>1515700</v>
      </c>
      <c r="O16" s="17">
        <f>IF(Cash_Flow!$F16&lt;=0,0,$O15+(Cash_Flow!$F16+Cash_Flow!$G16))</f>
        <v>57681.018465472145</v>
      </c>
      <c r="P16" s="17">
        <f>Income_Statement!$P16</f>
        <v>54253.573633569096</v>
      </c>
      <c r="Q16" s="17">
        <f>$Q15+Income_Statement!$P16</f>
        <v>478809.47634380509</v>
      </c>
      <c r="R16" s="17">
        <f>$R15+Income_Statement!$Q16</f>
        <v>1017470.1372305858</v>
      </c>
      <c r="S16" s="17">
        <f>Income_Statement!$R16</f>
        <v>26499.999999999996</v>
      </c>
      <c r="T16" s="17">
        <f>Income_Statement!$Q16</f>
        <v>115288.84397133434</v>
      </c>
      <c r="U16" s="17">
        <f>$U15+Cash_Flow!$I16</f>
        <v>257500</v>
      </c>
      <c r="V16" s="17">
        <f>Cash_Flow!$N16</f>
        <v>201709.50519072279</v>
      </c>
      <c r="W16" s="17">
        <f>($W15+Cash_Flow!$J16)-(Cash_Flow!$B16+Cash_Flow!$C16)</f>
        <v>721709.50519072299</v>
      </c>
    </row>
    <row r="17" spans="1:23" x14ac:dyDescent="0.25">
      <c r="A17" s="9">
        <f>Fleet_Schedule!$B17</f>
        <v>2</v>
      </c>
      <c r="B17" s="9">
        <f>Fleet_Schedule!A17</f>
        <v>15</v>
      </c>
      <c r="C17" s="10">
        <f>IF($A17&gt;1,0,Assumptions!$B$17+IF($B17&gt;4,Assumptions!$B$22,0))</f>
        <v>0</v>
      </c>
      <c r="D17" s="10">
        <f>IF($U17&gt;500000,0,IF($B17&gt;4,(Assumptions!$B$17+Assumptions!$B$22)-$U17,Assumptions!$B$17-$U17))</f>
        <v>216000</v>
      </c>
      <c r="E17" s="10">
        <f>Cash_Flow!$P17</f>
        <v>207735.76084659089</v>
      </c>
      <c r="F17" s="8">
        <f>Fleet_Schedule!$G17</f>
        <v>13</v>
      </c>
      <c r="G17" s="8">
        <f>Fleet_Schedule!$I17</f>
        <v>17</v>
      </c>
      <c r="H17" s="10">
        <f>$F17*Assumptions!$B$4</f>
        <v>780000</v>
      </c>
      <c r="I17" s="10">
        <f>$G17*Assumptions!$B$4</f>
        <v>1020000</v>
      </c>
      <c r="J17" s="16">
        <f>Cash_Flow!$J17</f>
        <v>84807.736468013143</v>
      </c>
      <c r="K17" s="16">
        <f>Cash_Flow!$K17</f>
        <v>0</v>
      </c>
      <c r="L17" s="16">
        <f>L16+(F17*Assumptions!$B$5)</f>
        <v>3840000</v>
      </c>
      <c r="M17" s="17">
        <f>$M16+Cash_Flow!$E17</f>
        <v>2152960</v>
      </c>
      <c r="N17" s="17">
        <f>$N16+Income_Statement!$M17</f>
        <v>1687040</v>
      </c>
      <c r="O17" s="17">
        <f>IF(Cash_Flow!$F17&lt;=0,0,$O16+(Cash_Flow!$F17+Cash_Flow!$G17))</f>
        <v>63449.12031201936</v>
      </c>
      <c r="P17" s="17">
        <f>Income_Statement!$P17</f>
        <v>54264.161685439642</v>
      </c>
      <c r="Q17" s="17">
        <f>$Q16+Income_Statement!$P17</f>
        <v>533073.63802924473</v>
      </c>
      <c r="R17" s="17">
        <f>$R16+Income_Statement!$Q17</f>
        <v>1132781.4808121449</v>
      </c>
      <c r="S17" s="17">
        <f>Income_Statement!$R17</f>
        <v>26499.999999999996</v>
      </c>
      <c r="T17" s="17">
        <f>Income_Statement!$Q17</f>
        <v>115311.34358155922</v>
      </c>
      <c r="U17" s="17">
        <f>$U16+Cash_Flow!$I17</f>
        <v>284000</v>
      </c>
      <c r="V17" s="17">
        <f>Cash_Flow!$N17</f>
        <v>286517.2416587359</v>
      </c>
      <c r="W17" s="17">
        <f>($W16+Cash_Flow!$J17)-(Cash_Flow!$B17+Cash_Flow!$C17)</f>
        <v>806517.24165873614</v>
      </c>
    </row>
    <row r="18" spans="1:23" x14ac:dyDescent="0.25">
      <c r="A18" s="9">
        <f>Fleet_Schedule!$B18</f>
        <v>2</v>
      </c>
      <c r="B18" s="9">
        <f>Fleet_Schedule!A18</f>
        <v>16</v>
      </c>
      <c r="C18" s="10">
        <f>IF($A18&gt;1,0,Assumptions!$B$17+IF($B18&gt;4,Assumptions!$B$22,0))</f>
        <v>0</v>
      </c>
      <c r="D18" s="10">
        <f>IF($U18&gt;500000,0,IF($B18&gt;4,(Assumptions!$B$17+Assumptions!$B$22)-$U18,Assumptions!$B$17-$U18))</f>
        <v>177500</v>
      </c>
      <c r="E18" s="10">
        <f>Cash_Flow!$P18</f>
        <v>203698.79034043194</v>
      </c>
      <c r="F18" s="8">
        <f>Fleet_Schedule!$G18</f>
        <v>17</v>
      </c>
      <c r="G18" s="8">
        <f>Fleet_Schedule!$I18</f>
        <v>21</v>
      </c>
      <c r="H18" s="10">
        <f>$F18*Assumptions!$B$4</f>
        <v>1020000</v>
      </c>
      <c r="I18" s="10">
        <f>$G18*Assumptions!$B$4</f>
        <v>1260000</v>
      </c>
      <c r="J18" s="16">
        <f>Cash_Flow!$J18</f>
        <v>108646.66018237703</v>
      </c>
      <c r="K18" s="16">
        <f>Cash_Flow!$K18</f>
        <v>240000</v>
      </c>
      <c r="L18" s="16">
        <f>L17+(F18*Assumptions!$B$5)</f>
        <v>4350000</v>
      </c>
      <c r="M18" s="17">
        <f>$M17+Cash_Flow!$E18</f>
        <v>2438900</v>
      </c>
      <c r="N18" s="17">
        <f>$N17+Income_Statement!$M18</f>
        <v>1911100</v>
      </c>
      <c r="O18" s="17">
        <f>IF(Cash_Flow!$F18&lt;=0,0,$O17+(Cash_Flow!$F18+Cash_Flow!$G18))</f>
        <v>69217.222158566568</v>
      </c>
      <c r="P18" s="17">
        <f>Income_Statement!$P18</f>
        <v>71145.237971075752</v>
      </c>
      <c r="Q18" s="17">
        <f>$Q17+Income_Statement!$P18</f>
        <v>604218.87600032054</v>
      </c>
      <c r="R18" s="17">
        <f>$R17+Income_Statement!$Q18</f>
        <v>1283965.1115006809</v>
      </c>
      <c r="S18" s="17">
        <f>Income_Statement!$R18</f>
        <v>38500</v>
      </c>
      <c r="T18" s="17">
        <f>Income_Statement!$Q18</f>
        <v>151183.63068853598</v>
      </c>
      <c r="U18" s="17">
        <f>$U17+Cash_Flow!$I18</f>
        <v>322500</v>
      </c>
      <c r="V18" s="17">
        <f>Cash_Flow!$N18</f>
        <v>155163.90184111294</v>
      </c>
      <c r="W18" s="17">
        <f>($W17+Cash_Flow!$J18)-(Cash_Flow!$B18+Cash_Flow!$C18)</f>
        <v>915163.90184111311</v>
      </c>
    </row>
    <row r="19" spans="1:23" x14ac:dyDescent="0.25">
      <c r="A19" s="9">
        <f>Fleet_Schedule!$B19</f>
        <v>2</v>
      </c>
      <c r="B19" s="9">
        <f>Fleet_Schedule!A19</f>
        <v>17</v>
      </c>
      <c r="C19" s="10">
        <f>IF($A19&gt;1,0,Assumptions!$B$17+IF($B19&gt;4,Assumptions!$B$22,0))</f>
        <v>0</v>
      </c>
      <c r="D19" s="10">
        <f>IF($U19&gt;500000,0,IF($B19&gt;4,(Assumptions!$B$17+Assumptions!$B$22)-$U19,Assumptions!$B$17-$U19))</f>
        <v>139000</v>
      </c>
      <c r="E19" s="10">
        <f>Cash_Flow!$P19</f>
        <v>199628.17841338832</v>
      </c>
      <c r="F19" s="8">
        <f>Fleet_Schedule!$G19</f>
        <v>17</v>
      </c>
      <c r="G19" s="8">
        <f>Fleet_Schedule!$I19</f>
        <v>21</v>
      </c>
      <c r="H19" s="10">
        <f>$F19*Assumptions!$B$4</f>
        <v>1020000</v>
      </c>
      <c r="I19" s="10">
        <f>$G19*Assumptions!$B$4</f>
        <v>1260000</v>
      </c>
      <c r="J19" s="16">
        <f>Cash_Flow!$J19</f>
        <v>108635.89492769394</v>
      </c>
      <c r="K19" s="16">
        <f>Cash_Flow!$K19</f>
        <v>0</v>
      </c>
      <c r="L19" s="16">
        <f>L18+(F19*Assumptions!$B$5)</f>
        <v>4860000</v>
      </c>
      <c r="M19" s="17">
        <f>$M18+Cash_Flow!$E19</f>
        <v>2724840</v>
      </c>
      <c r="N19" s="17">
        <f>$N18+Income_Statement!$M19</f>
        <v>2135160</v>
      </c>
      <c r="O19" s="17">
        <f>IF(Cash_Flow!$F19&lt;=0,0,$O18+(Cash_Flow!$F19+Cash_Flow!$G19))</f>
        <v>74985.324005113784</v>
      </c>
      <c r="P19" s="17">
        <f>Income_Statement!$P19</f>
        <v>71156.003225758846</v>
      </c>
      <c r="Q19" s="17">
        <f>$Q18+Income_Statement!$P19</f>
        <v>675374.87922607944</v>
      </c>
      <c r="R19" s="17">
        <f>$R18+Income_Statement!$Q19</f>
        <v>1435171.6183554186</v>
      </c>
      <c r="S19" s="17">
        <f>Income_Statement!$R19</f>
        <v>38500</v>
      </c>
      <c r="T19" s="17">
        <f>Income_Statement!$Q19</f>
        <v>151206.50685473756</v>
      </c>
      <c r="U19" s="17">
        <f>$U18+Cash_Flow!$I19</f>
        <v>361000</v>
      </c>
      <c r="V19" s="17">
        <f>Cash_Flow!$N19</f>
        <v>263799.79676880687</v>
      </c>
      <c r="W19" s="17">
        <f>($W18+Cash_Flow!$J19)-(Cash_Flow!$B19+Cash_Flow!$C19)</f>
        <v>1023799.7967688071</v>
      </c>
    </row>
    <row r="20" spans="1:23" x14ac:dyDescent="0.25">
      <c r="A20" s="9">
        <f>Fleet_Schedule!$B20</f>
        <v>2</v>
      </c>
      <c r="B20" s="9">
        <f>Fleet_Schedule!A20</f>
        <v>18</v>
      </c>
      <c r="C20" s="10">
        <f>IF($A20&gt;1,0,Assumptions!$B$17+IF($B20&gt;4,Assumptions!$B$22,0))</f>
        <v>0</v>
      </c>
      <c r="D20" s="10">
        <f>IF($U20&gt;500000,0,IF($B20&gt;4,(Assumptions!$B$17+Assumptions!$B$22)-$U20,Assumptions!$B$17-$U20))</f>
        <v>100500</v>
      </c>
      <c r="E20" s="10">
        <f>Cash_Flow!$P20</f>
        <v>195523.64472028601</v>
      </c>
      <c r="F20" s="8">
        <f>Fleet_Schedule!$G20</f>
        <v>17</v>
      </c>
      <c r="G20" s="8">
        <f>Fleet_Schedule!$I20</f>
        <v>21</v>
      </c>
      <c r="H20" s="10">
        <f>$F20*Assumptions!$B$4</f>
        <v>1020000</v>
      </c>
      <c r="I20" s="10">
        <f>$G20*Assumptions!$B$4</f>
        <v>1260000</v>
      </c>
      <c r="J20" s="16">
        <f>Cash_Flow!$J20</f>
        <v>108625.03996255517</v>
      </c>
      <c r="K20" s="16">
        <f>Cash_Flow!$K20</f>
        <v>240000</v>
      </c>
      <c r="L20" s="16">
        <f>L19+(F20*Assumptions!$B$5)</f>
        <v>5370000</v>
      </c>
      <c r="M20" s="17">
        <f>$M19+Cash_Flow!$E20</f>
        <v>3010780</v>
      </c>
      <c r="N20" s="17">
        <f>$N19+Income_Statement!$M20</f>
        <v>2359220</v>
      </c>
      <c r="O20" s="17">
        <f>IF(Cash_Flow!$F20&lt;=0,0,$O19+(Cash_Flow!$F20+Cash_Flow!$G20))</f>
        <v>80753.425851660999</v>
      </c>
      <c r="P20" s="17">
        <f>Income_Statement!$P20</f>
        <v>71166.858190897634</v>
      </c>
      <c r="Q20" s="17">
        <f>$Q19+Income_Statement!$P20</f>
        <v>746541.73741697706</v>
      </c>
      <c r="R20" s="17">
        <f>$R19+Income_Statement!$Q20</f>
        <v>1586401.192011076</v>
      </c>
      <c r="S20" s="17">
        <f>Income_Statement!$R20</f>
        <v>38500</v>
      </c>
      <c r="T20" s="17">
        <f>Income_Statement!$Q20</f>
        <v>151229.57365565747</v>
      </c>
      <c r="U20" s="17">
        <f>$U19+Cash_Flow!$I20</f>
        <v>399500</v>
      </c>
      <c r="V20" s="17">
        <f>Cash_Flow!$N20</f>
        <v>132424.83673136204</v>
      </c>
      <c r="W20" s="17">
        <f>($W19+Cash_Flow!$J20)-(Cash_Flow!$B20+Cash_Flow!$C20)</f>
        <v>1132424.8367313622</v>
      </c>
    </row>
    <row r="21" spans="1:23" x14ac:dyDescent="0.25">
      <c r="A21" s="9">
        <f>Fleet_Schedule!$B21</f>
        <v>2</v>
      </c>
      <c r="B21" s="9">
        <f>Fleet_Schedule!A21</f>
        <v>19</v>
      </c>
      <c r="C21" s="10">
        <f>IF($A21&gt;1,0,Assumptions!$B$17+IF($B21&gt;4,Assumptions!$B$22,0))</f>
        <v>0</v>
      </c>
      <c r="D21" s="10">
        <f>IF($U21&gt;500000,0,IF($B21&gt;4,(Assumptions!$B$17+Assumptions!$B$22)-$U21,Assumptions!$B$17-$U21))</f>
        <v>77000</v>
      </c>
      <c r="E21" s="10">
        <f>Cash_Flow!$P21</f>
        <v>191384.90657974119</v>
      </c>
      <c r="F21" s="8">
        <f>Fleet_Schedule!$G21</f>
        <v>12</v>
      </c>
      <c r="G21" s="8">
        <f>Fleet_Schedule!$I21</f>
        <v>25</v>
      </c>
      <c r="H21" s="10">
        <f>$F21*Assumptions!$B$4</f>
        <v>720000</v>
      </c>
      <c r="I21" s="10">
        <f>$G21*Assumptions!$B$4</f>
        <v>1500000</v>
      </c>
      <c r="J21" s="16">
        <f>Cash_Flow!$J21</f>
        <v>78802.094539373546</v>
      </c>
      <c r="K21" s="16">
        <f>Cash_Flow!$K21</f>
        <v>0</v>
      </c>
      <c r="L21" s="16">
        <f>L20+(F21*Assumptions!$B$5)</f>
        <v>5730000</v>
      </c>
      <c r="M21" s="17">
        <f>$M20+Cash_Flow!$E21</f>
        <v>3212620</v>
      </c>
      <c r="N21" s="17">
        <f>$N20+Income_Statement!$M21</f>
        <v>2517380</v>
      </c>
      <c r="O21" s="17">
        <f>IF(Cash_Flow!$F21&lt;=0,0,$O20+(Cash_Flow!$F21+Cash_Flow!$G21))</f>
        <v>86521.527698208214</v>
      </c>
      <c r="P21" s="17">
        <f>Income_Statement!$P21</f>
        <v>50089.803614079239</v>
      </c>
      <c r="Q21" s="17">
        <f>$Q20+Income_Statement!$P21</f>
        <v>796631.54103105632</v>
      </c>
      <c r="R21" s="17">
        <f>$R20+Income_Statement!$Q21</f>
        <v>1692842.0246909943</v>
      </c>
      <c r="S21" s="17">
        <f>Income_Statement!$R21</f>
        <v>23500</v>
      </c>
      <c r="T21" s="17">
        <f>Income_Statement!$Q21</f>
        <v>106440.83267991837</v>
      </c>
      <c r="U21" s="17">
        <f>$U20+Cash_Flow!$I21</f>
        <v>423000</v>
      </c>
      <c r="V21" s="17">
        <f>Cash_Flow!$N21</f>
        <v>211226.93127073557</v>
      </c>
      <c r="W21" s="17">
        <f>($W20+Cash_Flow!$J21)-(Cash_Flow!$B21+Cash_Flow!$C21)</f>
        <v>1211226.9312707358</v>
      </c>
    </row>
    <row r="22" spans="1:23" x14ac:dyDescent="0.25">
      <c r="A22" s="9">
        <f>Fleet_Schedule!$B22</f>
        <v>2</v>
      </c>
      <c r="B22" s="9">
        <f>Fleet_Schedule!A22</f>
        <v>20</v>
      </c>
      <c r="C22" s="10">
        <f>IF($A22&gt;1,0,Assumptions!$B$17+IF($B22&gt;4,Assumptions!$B$22,0))</f>
        <v>0</v>
      </c>
      <c r="D22" s="10">
        <f>IF($U22&gt;500000,0,IF($B22&gt;4,(Assumptions!$B$17+Assumptions!$B$22)-$U22,Assumptions!$B$17-$U22))</f>
        <v>53500</v>
      </c>
      <c r="E22" s="10">
        <f>Cash_Flow!$P22</f>
        <v>187211.67895469183</v>
      </c>
      <c r="F22" s="8">
        <f>Fleet_Schedule!$G22</f>
        <v>12</v>
      </c>
      <c r="G22" s="8">
        <f>Fleet_Schedule!$I22</f>
        <v>25</v>
      </c>
      <c r="H22" s="10">
        <f>$F22*Assumptions!$B$4</f>
        <v>720000</v>
      </c>
      <c r="I22" s="10">
        <f>$G22*Assumptions!$B$4</f>
        <v>1500000</v>
      </c>
      <c r="J22" s="16">
        <f>Cash_Flow!$J22</f>
        <v>78791.05790433209</v>
      </c>
      <c r="K22" s="16">
        <f>Cash_Flow!$K22</f>
        <v>0</v>
      </c>
      <c r="L22" s="16">
        <f>L21+(F22*Assumptions!$B$5)</f>
        <v>6090000</v>
      </c>
      <c r="M22" s="17">
        <f>$M21+Cash_Flow!$E22</f>
        <v>3414460</v>
      </c>
      <c r="N22" s="17">
        <f>$N21+Income_Statement!$M22</f>
        <v>2675540</v>
      </c>
      <c r="O22" s="17">
        <f>IF(Cash_Flow!$F22&lt;=0,0,$O21+(Cash_Flow!$F22+Cash_Flow!$G22))</f>
        <v>92289.629544755429</v>
      </c>
      <c r="P22" s="17">
        <f>Income_Statement!$P22</f>
        <v>50100.840249120687</v>
      </c>
      <c r="Q22" s="17">
        <f>$Q21+Income_Statement!$P22</f>
        <v>846732.38128017704</v>
      </c>
      <c r="R22" s="17">
        <f>$R21+Income_Statement!$Q22</f>
        <v>1799306.3102203757</v>
      </c>
      <c r="S22" s="17">
        <f>Income_Statement!$R22</f>
        <v>23500</v>
      </c>
      <c r="T22" s="17">
        <f>Income_Statement!$Q22</f>
        <v>106464.28552938145</v>
      </c>
      <c r="U22" s="17">
        <f>$U21+Cash_Flow!$I22</f>
        <v>446500</v>
      </c>
      <c r="V22" s="17">
        <f>Cash_Flow!$N22</f>
        <v>290017.98917506763</v>
      </c>
      <c r="W22" s="17">
        <f>($W21+Cash_Flow!$J22)-(Cash_Flow!$B22+Cash_Flow!$C22)</f>
        <v>1290017.989175068</v>
      </c>
    </row>
    <row r="23" spans="1:23" x14ac:dyDescent="0.25">
      <c r="A23" s="9">
        <f>Fleet_Schedule!$B23</f>
        <v>2</v>
      </c>
      <c r="B23" s="9">
        <f>Fleet_Schedule!A23</f>
        <v>21</v>
      </c>
      <c r="C23" s="10">
        <f>IF($A23&gt;1,0,Assumptions!$B$17+IF($B23&gt;4,Assumptions!$B$22,0))</f>
        <v>0</v>
      </c>
      <c r="D23" s="10">
        <f>IF($U23&gt;500000,0,IF($B23&gt;4,(Assumptions!$B$17+Assumptions!$B$22)-$U23,Assumptions!$B$17-$U23))</f>
        <v>18000</v>
      </c>
      <c r="E23" s="10">
        <f>Cash_Flow!$P23</f>
        <v>183003.67443276706</v>
      </c>
      <c r="F23" s="8">
        <f>Fleet_Schedule!$G23</f>
        <v>16</v>
      </c>
      <c r="G23" s="8">
        <f>Fleet_Schedule!$I23</f>
        <v>29</v>
      </c>
      <c r="H23" s="10">
        <f>$F23*Assumptions!$B$4</f>
        <v>960000</v>
      </c>
      <c r="I23" s="10">
        <f>$G23*Assumptions!$B$4</f>
        <v>1740000</v>
      </c>
      <c r="J23" s="16">
        <f>Cash_Flow!$J23</f>
        <v>102629.52929733196</v>
      </c>
      <c r="K23" s="16">
        <f>Cash_Flow!$K23</f>
        <v>240000</v>
      </c>
      <c r="L23" s="16">
        <f>L22+(F23*Assumptions!$B$5)</f>
        <v>6570000</v>
      </c>
      <c r="M23" s="17">
        <f>$M22+Cash_Flow!$E23</f>
        <v>3683580</v>
      </c>
      <c r="N23" s="17">
        <f>$N22+Income_Statement!$M23</f>
        <v>2886420</v>
      </c>
      <c r="O23" s="17">
        <f>IF(Cash_Flow!$F23&lt;=0,0,$O22+(Cash_Flow!$F23+Cash_Flow!$G23))</f>
        <v>98057.731391302645</v>
      </c>
      <c r="P23" s="17">
        <f>Income_Statement!$P23</f>
        <v>66982.368856120826</v>
      </c>
      <c r="Q23" s="17">
        <f>$Q22+Income_Statement!$P23</f>
        <v>913714.75013629789</v>
      </c>
      <c r="R23" s="17">
        <f>$R22+Income_Statement!$Q23</f>
        <v>1941643.8440396325</v>
      </c>
      <c r="S23" s="17">
        <f>Income_Statement!$R23</f>
        <v>35500</v>
      </c>
      <c r="T23" s="17">
        <f>Income_Statement!$Q23</f>
        <v>142337.53381925673</v>
      </c>
      <c r="U23" s="17">
        <f>$U22+Cash_Flow!$I23</f>
        <v>482000</v>
      </c>
      <c r="V23" s="17">
        <f>Cash_Flow!$N23</f>
        <v>152647.51847239959</v>
      </c>
      <c r="W23" s="17">
        <f>($W22+Cash_Flow!$J23)-(Cash_Flow!$B23+Cash_Flow!$C23)</f>
        <v>1392647.5184724</v>
      </c>
    </row>
    <row r="24" spans="1:23" x14ac:dyDescent="0.25">
      <c r="A24" s="9">
        <f>Fleet_Schedule!$B24</f>
        <v>2</v>
      </c>
      <c r="B24" s="9">
        <f>Fleet_Schedule!A24</f>
        <v>22</v>
      </c>
      <c r="C24" s="10">
        <f>IF($A24&gt;1,0,Assumptions!$B$17+IF($B24&gt;4,Assumptions!$B$22,0))</f>
        <v>0</v>
      </c>
      <c r="D24" s="10">
        <f>IF($U24&gt;500000,0,IF($B24&gt;4,(Assumptions!$B$17+Assumptions!$B$22)-$U24,Assumptions!$B$17-$U24))</f>
        <v>0</v>
      </c>
      <c r="E24" s="10">
        <f>Cash_Flow!$P24</f>
        <v>178760.6032064929</v>
      </c>
      <c r="F24" s="8">
        <f>Fleet_Schedule!$G24</f>
        <v>16</v>
      </c>
      <c r="G24" s="8">
        <f>Fleet_Schedule!$I24</f>
        <v>29</v>
      </c>
      <c r="H24" s="10">
        <f>$F24*Assumptions!$B$4</f>
        <v>960000</v>
      </c>
      <c r="I24" s="10">
        <f>$G24*Assumptions!$B$4</f>
        <v>1740000</v>
      </c>
      <c r="J24" s="16">
        <f>Cash_Flow!$J24</f>
        <v>102618.30795194017</v>
      </c>
      <c r="K24" s="16">
        <f>Cash_Flow!$K24</f>
        <v>0</v>
      </c>
      <c r="L24" s="16">
        <f>L23+(F24*Assumptions!$B$5)</f>
        <v>7050000</v>
      </c>
      <c r="M24" s="17">
        <f>$M23+Cash_Flow!$E24</f>
        <v>3952700</v>
      </c>
      <c r="N24" s="17">
        <f>$N23+Income_Statement!$M24</f>
        <v>3097300</v>
      </c>
      <c r="O24" s="17">
        <f>IF(Cash_Flow!$F24&lt;=0,0,$O23+(Cash_Flow!$F24+Cash_Flow!$G24))</f>
        <v>103825.83323784986</v>
      </c>
      <c r="P24" s="17">
        <f>Income_Statement!$P24</f>
        <v>66993.590201512619</v>
      </c>
      <c r="Q24" s="17">
        <f>$Q23+Income_Statement!$P24</f>
        <v>980708.34033781057</v>
      </c>
      <c r="R24" s="17">
        <f>$R23+Income_Statement!$Q24</f>
        <v>2084005.2232178468</v>
      </c>
      <c r="S24" s="17">
        <f>Income_Statement!$R24</f>
        <v>35500</v>
      </c>
      <c r="T24" s="17">
        <f>Income_Statement!$Q24</f>
        <v>142361.37917821432</v>
      </c>
      <c r="U24" s="17">
        <f>$U23+Cash_Flow!$I24</f>
        <v>517500</v>
      </c>
      <c r="V24" s="17">
        <f>Cash_Flow!$N24</f>
        <v>255265.82642433976</v>
      </c>
      <c r="W24" s="17">
        <f>($W23+Cash_Flow!$J24)-(Cash_Flow!$B24+Cash_Flow!$C24)</f>
        <v>1495265.8264243403</v>
      </c>
    </row>
    <row r="25" spans="1:23" x14ac:dyDescent="0.25">
      <c r="A25" s="9">
        <f>Fleet_Schedule!$B25</f>
        <v>2</v>
      </c>
      <c r="B25" s="9">
        <f>Fleet_Schedule!A25</f>
        <v>23</v>
      </c>
      <c r="C25" s="10">
        <f>IF($A25&gt;1,0,Assumptions!$B$17+IF($B25&gt;4,Assumptions!$B$22,0))</f>
        <v>0</v>
      </c>
      <c r="D25" s="10">
        <f>IF($U25&gt;500000,0,IF($B25&gt;4,(Assumptions!$B$17+Assumptions!$B$22)-$U25,Assumptions!$B$17-$U25))</f>
        <v>0</v>
      </c>
      <c r="E25" s="10">
        <f>Cash_Flow!$P25</f>
        <v>174482.17305333313</v>
      </c>
      <c r="F25" s="8">
        <f>Fleet_Schedule!$G25</f>
        <v>16</v>
      </c>
      <c r="G25" s="8">
        <f>Fleet_Schedule!$I25</f>
        <v>29</v>
      </c>
      <c r="H25" s="10">
        <f>$F25*Assumptions!$B$4</f>
        <v>960000</v>
      </c>
      <c r="I25" s="10">
        <f>$G25*Assumptions!$B$4</f>
        <v>1740000</v>
      </c>
      <c r="J25" s="16">
        <f>Cash_Flow!$J25</f>
        <v>102606.99309533677</v>
      </c>
      <c r="K25" s="16">
        <f>Cash_Flow!$K25</f>
        <v>240000</v>
      </c>
      <c r="L25" s="16">
        <f>L24+(F25*Assumptions!$B$5)</f>
        <v>7530000</v>
      </c>
      <c r="M25" s="17">
        <f>$M24+Cash_Flow!$E25</f>
        <v>4221820</v>
      </c>
      <c r="N25" s="17">
        <f>$N24+Income_Statement!$M25</f>
        <v>3308180</v>
      </c>
      <c r="O25" s="17">
        <f>IF(Cash_Flow!$F25&lt;=0,0,$O24+(Cash_Flow!$F25+Cash_Flow!$G25))</f>
        <v>109593.93508439708</v>
      </c>
      <c r="P25" s="17">
        <f>Income_Statement!$P25</f>
        <v>67004.905058116026</v>
      </c>
      <c r="Q25" s="17">
        <f>$Q24+Income_Statement!$P25</f>
        <v>1047713.2453959266</v>
      </c>
      <c r="R25" s="17">
        <f>$R24+Income_Statement!$Q25</f>
        <v>2226390.6464663432</v>
      </c>
      <c r="S25" s="17">
        <f>Income_Statement!$R25</f>
        <v>35500</v>
      </c>
      <c r="T25" s="17">
        <f>Income_Statement!$Q25</f>
        <v>142385.42324849655</v>
      </c>
      <c r="U25" s="17">
        <f>$U24+Cash_Flow!$I25</f>
        <v>553000</v>
      </c>
      <c r="V25" s="17">
        <f>Cash_Flow!$N25</f>
        <v>117872.81951967653</v>
      </c>
      <c r="W25" s="17">
        <f>($W24+Cash_Flow!$J25)-(Cash_Flow!$B25+Cash_Flow!$C25)</f>
        <v>1597872.819519677</v>
      </c>
    </row>
    <row r="26" spans="1:23" x14ac:dyDescent="0.25">
      <c r="A26" s="9">
        <f>Fleet_Schedule!$B26</f>
        <v>2</v>
      </c>
      <c r="B26" s="9">
        <f>Fleet_Schedule!A26</f>
        <v>24</v>
      </c>
      <c r="C26" s="10">
        <f>IF($A26&gt;1,0,Assumptions!$B$17+IF($B26&gt;4,Assumptions!$B$22,0))</f>
        <v>0</v>
      </c>
      <c r="D26" s="10">
        <f>IF($U26&gt;500000,0,IF($B26&gt;4,(Assumptions!$B$17+Assumptions!$B$22)-$U26,Assumptions!$B$17-$U26))</f>
        <v>0</v>
      </c>
      <c r="E26" s="10">
        <f>Cash_Flow!$P26</f>
        <v>170168.0893155637</v>
      </c>
      <c r="F26" s="8">
        <f>Fleet_Schedule!$G26</f>
        <v>16</v>
      </c>
      <c r="G26" s="8">
        <f>Fleet_Schedule!$I26</f>
        <v>33</v>
      </c>
      <c r="H26" s="10">
        <f>$F26*Assumptions!$B$4</f>
        <v>960000</v>
      </c>
      <c r="I26" s="10">
        <f>$G26*Assumptions!$B$4</f>
        <v>1980000</v>
      </c>
      <c r="J26" s="16">
        <f>Cash_Flow!$J26</f>
        <v>102595.58394826169</v>
      </c>
      <c r="K26" s="16">
        <f>Cash_Flow!$K26</f>
        <v>0</v>
      </c>
      <c r="L26" s="16">
        <f>L25+(F26*Assumptions!$B$5)</f>
        <v>8010000</v>
      </c>
      <c r="M26" s="17">
        <f>$M25+Cash_Flow!$E26</f>
        <v>4490940</v>
      </c>
      <c r="N26" s="17">
        <f>$N25+Income_Statement!$M26</f>
        <v>3519060</v>
      </c>
      <c r="O26" s="17">
        <f>IF(Cash_Flow!$F26&lt;=0,0,$O25+(Cash_Flow!$F26+Cash_Flow!$G26))</f>
        <v>115362.03693094429</v>
      </c>
      <c r="P26" s="17">
        <f>Income_Statement!$P26</f>
        <v>67016.314205191113</v>
      </c>
      <c r="Q26" s="17">
        <f>$Q25+Income_Statement!$P26</f>
        <v>1114729.5596011179</v>
      </c>
      <c r="R26" s="17">
        <f>$R25+Income_Statement!$Q26</f>
        <v>2368800.3141523744</v>
      </c>
      <c r="S26" s="17">
        <f>Income_Statement!$R26</f>
        <v>35500</v>
      </c>
      <c r="T26" s="17">
        <f>Income_Statement!$Q26</f>
        <v>142409.66768603108</v>
      </c>
      <c r="U26" s="17">
        <f>$U25+Cash_Flow!$I26</f>
        <v>588500</v>
      </c>
      <c r="V26" s="17">
        <f>Cash_Flow!$N26</f>
        <v>220468.40346793822</v>
      </c>
      <c r="W26" s="17">
        <f>($W25+Cash_Flow!$J26)-(Cash_Flow!$B26+Cash_Flow!$C26)</f>
        <v>1700468.4034679388</v>
      </c>
    </row>
    <row r="27" spans="1:23" x14ac:dyDescent="0.25">
      <c r="A27" s="9">
        <f>Fleet_Schedule!$B27</f>
        <v>3</v>
      </c>
      <c r="B27" s="9">
        <f>Fleet_Schedule!A27</f>
        <v>25</v>
      </c>
      <c r="C27" s="10">
        <f>IF($A27&gt;1,0,Assumptions!$B$17+IF($B27&gt;4,Assumptions!$B$22,0))</f>
        <v>0</v>
      </c>
      <c r="D27" s="10">
        <f>IF($U27&gt;500000,0,IF($B27&gt;4,(Assumptions!$B$17+Assumptions!$B$22)-$U27,Assumptions!$B$17-$U27))</f>
        <v>0</v>
      </c>
      <c r="E27" s="10">
        <f>Cash_Flow!$P27</f>
        <v>165818.05487997952</v>
      </c>
      <c r="F27" s="8">
        <f>Fleet_Schedule!$G27</f>
        <v>16</v>
      </c>
      <c r="G27" s="8">
        <f>Fleet_Schedule!$I27</f>
        <v>33</v>
      </c>
      <c r="H27" s="10">
        <f>$F27*Assumptions!$B$4</f>
        <v>960000</v>
      </c>
      <c r="I27" s="10">
        <f>$G27*Assumptions!$B$4</f>
        <v>1980000</v>
      </c>
      <c r="J27" s="16">
        <f>Cash_Flow!$J27</f>
        <v>102584.07972496096</v>
      </c>
      <c r="K27" s="16">
        <f>Cash_Flow!$K27</f>
        <v>0</v>
      </c>
      <c r="L27" s="16">
        <f>L26+(F27*Assumptions!$B$5)</f>
        <v>8490000</v>
      </c>
      <c r="M27" s="17">
        <f>$M26+Cash_Flow!$E27</f>
        <v>4760060</v>
      </c>
      <c r="N27" s="17">
        <f>$N26+Income_Statement!$M27</f>
        <v>3729940</v>
      </c>
      <c r="O27" s="17">
        <f>IF(Cash_Flow!$F27&lt;=0,0,$O26+(Cash_Flow!$F27+Cash_Flow!$G27))</f>
        <v>121130.13877749151</v>
      </c>
      <c r="P27" s="17">
        <f>Income_Statement!$P27</f>
        <v>67027.818428491824</v>
      </c>
      <c r="Q27" s="17">
        <f>$Q26+Income_Statement!$P27</f>
        <v>1181757.3780296096</v>
      </c>
      <c r="R27" s="17">
        <f>$R26+Income_Statement!$Q27</f>
        <v>2511234.4283129196</v>
      </c>
      <c r="S27" s="17">
        <f>Income_Statement!$R27</f>
        <v>35500</v>
      </c>
      <c r="T27" s="17">
        <f>Income_Statement!$Q27</f>
        <v>142434.11416054514</v>
      </c>
      <c r="U27" s="17">
        <f>$U26+Cash_Flow!$I27</f>
        <v>624000</v>
      </c>
      <c r="V27" s="17">
        <f>Cash_Flow!$N27</f>
        <v>323052.48319289915</v>
      </c>
      <c r="W27" s="17">
        <f>($W26+Cash_Flow!$J27)-(Cash_Flow!$B27+Cash_Flow!$C27)</f>
        <v>1803052.4831928997</v>
      </c>
    </row>
    <row r="28" spans="1:23" x14ac:dyDescent="0.25">
      <c r="A28" s="9">
        <f>Fleet_Schedule!$B28</f>
        <v>3</v>
      </c>
      <c r="B28" s="9">
        <f>Fleet_Schedule!A28</f>
        <v>26</v>
      </c>
      <c r="C28" s="10">
        <f>IF($A28&gt;1,0,Assumptions!$B$17+IF($B28&gt;4,Assumptions!$B$22,0))</f>
        <v>0</v>
      </c>
      <c r="D28" s="10">
        <f>IF($U28&gt;500000,0,IF($B28&gt;4,(Assumptions!$B$17+Assumptions!$B$22)-$U28,Assumptions!$B$17-$U28))</f>
        <v>0</v>
      </c>
      <c r="E28" s="10">
        <f>Cash_Flow!$P28</f>
        <v>161431.77015743213</v>
      </c>
      <c r="F28" s="8">
        <f>Fleet_Schedule!$G28</f>
        <v>20</v>
      </c>
      <c r="G28" s="8">
        <f>Fleet_Schedule!$I28</f>
        <v>37</v>
      </c>
      <c r="H28" s="10">
        <f>$F28*Assumptions!$B$4</f>
        <v>1200000</v>
      </c>
      <c r="I28" s="10">
        <f>$G28*Assumptions!$B$4</f>
        <v>2220000</v>
      </c>
      <c r="J28" s="16">
        <f>Cash_Flow!$J28</f>
        <v>126422.07963313273</v>
      </c>
      <c r="K28" s="16">
        <f>Cash_Flow!$K28</f>
        <v>300000</v>
      </c>
      <c r="L28" s="16">
        <f>L27+(F28*Assumptions!$B$5)</f>
        <v>9090000</v>
      </c>
      <c r="M28" s="17">
        <f>$M27+Cash_Flow!$E28</f>
        <v>5096460</v>
      </c>
      <c r="N28" s="17">
        <f>$N27+Income_Statement!$M28</f>
        <v>3993540</v>
      </c>
      <c r="O28" s="17">
        <f>IF(Cash_Flow!$F28&lt;=0,0,$O27+(Cash_Flow!$F28+Cash_Flow!$G28))</f>
        <v>126898.24062403872</v>
      </c>
      <c r="P28" s="17">
        <f>Income_Statement!$P28</f>
        <v>83909.818520320056</v>
      </c>
      <c r="Q28" s="17">
        <f>$Q27+Income_Statement!$P28</f>
        <v>1265667.1965499297</v>
      </c>
      <c r="R28" s="17">
        <f>$R27+Income_Statement!$Q28</f>
        <v>2689542.7926685996</v>
      </c>
      <c r="S28" s="17">
        <f>Income_Statement!$R28</f>
        <v>47500</v>
      </c>
      <c r="T28" s="17">
        <f>Income_Statement!$Q28</f>
        <v>178308.36435568013</v>
      </c>
      <c r="U28" s="17">
        <f>$U27+Cash_Flow!$I28</f>
        <v>671500</v>
      </c>
      <c r="V28" s="17">
        <f>Cash_Flow!$N28</f>
        <v>149474.56282603188</v>
      </c>
      <c r="W28" s="17">
        <f>($W27+Cash_Flow!$J28)-(Cash_Flow!$B28+Cash_Flow!$C28)</f>
        <v>1929474.5628260325</v>
      </c>
    </row>
    <row r="29" spans="1:23" x14ac:dyDescent="0.25">
      <c r="A29" s="9">
        <f>Fleet_Schedule!$B29</f>
        <v>3</v>
      </c>
      <c r="B29" s="9">
        <f>Fleet_Schedule!A29</f>
        <v>27</v>
      </c>
      <c r="C29" s="10">
        <f>IF($A29&gt;1,0,Assumptions!$B$17+IF($B29&gt;4,Assumptions!$B$22,0))</f>
        <v>0</v>
      </c>
      <c r="D29" s="10">
        <f>IF($U29&gt;500000,0,IF($B29&gt;4,(Assumptions!$B$17+Assumptions!$B$22)-$U29,Assumptions!$B$17-$U29))</f>
        <v>0</v>
      </c>
      <c r="E29" s="10">
        <f>Cash_Flow!$P29</f>
        <v>157008.93306219685</v>
      </c>
      <c r="F29" s="8">
        <f>Fleet_Schedule!$G29</f>
        <v>16</v>
      </c>
      <c r="G29" s="8">
        <f>Fleet_Schedule!$I29</f>
        <v>37</v>
      </c>
      <c r="H29" s="10">
        <f>$F29*Assumptions!$B$4</f>
        <v>960000</v>
      </c>
      <c r="I29" s="10">
        <f>$G29*Assumptions!$B$4</f>
        <v>2220000</v>
      </c>
      <c r="J29" s="16">
        <f>Cash_Flow!$J29</f>
        <v>102560.78287387261</v>
      </c>
      <c r="K29" s="16">
        <f>Cash_Flow!$K29</f>
        <v>0</v>
      </c>
      <c r="L29" s="16">
        <f>L28+(F29*Assumptions!$B$5)</f>
        <v>9570000</v>
      </c>
      <c r="M29" s="17">
        <f>$M28+Cash_Flow!$E29</f>
        <v>5365580</v>
      </c>
      <c r="N29" s="17">
        <f>$N28+Income_Statement!$M29</f>
        <v>4204420</v>
      </c>
      <c r="O29" s="17">
        <f>IF(Cash_Flow!$F29&lt;=0,0,$O28+(Cash_Flow!$F29+Cash_Flow!$G29))</f>
        <v>132666.34247058592</v>
      </c>
      <c r="P29" s="17">
        <f>Income_Statement!$P29</f>
        <v>67051.115279580175</v>
      </c>
      <c r="Q29" s="17">
        <f>$Q28+Income_Statement!$P29</f>
        <v>1332718.3118295099</v>
      </c>
      <c r="R29" s="17">
        <f>$R28+Income_Statement!$Q29</f>
        <v>2832026.4126377073</v>
      </c>
      <c r="S29" s="17">
        <f>Income_Statement!$R29</f>
        <v>35500</v>
      </c>
      <c r="T29" s="17">
        <f>Income_Statement!$Q29</f>
        <v>142483.61996910788</v>
      </c>
      <c r="U29" s="17">
        <f>$U28+Cash_Flow!$I29</f>
        <v>707000</v>
      </c>
      <c r="V29" s="17">
        <f>Cash_Flow!$N29</f>
        <v>252035.34569990449</v>
      </c>
      <c r="W29" s="17">
        <f>($W28+Cash_Flow!$J29)-(Cash_Flow!$B29+Cash_Flow!$C29)</f>
        <v>2032035.3456999052</v>
      </c>
    </row>
    <row r="30" spans="1:23" x14ac:dyDescent="0.25">
      <c r="A30" s="9">
        <f>Fleet_Schedule!$B30</f>
        <v>3</v>
      </c>
      <c r="B30" s="9">
        <f>Fleet_Schedule!A30</f>
        <v>28</v>
      </c>
      <c r="C30" s="10">
        <f>IF($A30&gt;1,0,Assumptions!$B$17+IF($B30&gt;4,Assumptions!$B$22,0))</f>
        <v>0</v>
      </c>
      <c r="D30" s="10">
        <f>IF($U30&gt;500000,0,IF($B30&gt;4,(Assumptions!$B$17+Assumptions!$B$22)-$U30,Assumptions!$B$17-$U30))</f>
        <v>0</v>
      </c>
      <c r="E30" s="10">
        <f>Cash_Flow!$P30</f>
        <v>152549.23899116795</v>
      </c>
      <c r="F30" s="8">
        <f>Fleet_Schedule!$G30</f>
        <v>16</v>
      </c>
      <c r="G30" s="8">
        <f>Fleet_Schedule!$I30</f>
        <v>37</v>
      </c>
      <c r="H30" s="10">
        <f>$F30*Assumptions!$B$4</f>
        <v>960000</v>
      </c>
      <c r="I30" s="10">
        <f>$G30*Assumptions!$B$4</f>
        <v>2220000</v>
      </c>
      <c r="J30" s="16">
        <f>Cash_Flow!$J30</f>
        <v>102548.98864161863</v>
      </c>
      <c r="K30" s="16">
        <f>Cash_Flow!$K30</f>
        <v>240000</v>
      </c>
      <c r="L30" s="16">
        <f>L29+(F30*Assumptions!$B$5)</f>
        <v>10050000</v>
      </c>
      <c r="M30" s="17">
        <f>$M29+Cash_Flow!$E30</f>
        <v>5634700</v>
      </c>
      <c r="N30" s="17">
        <f>$N29+Income_Statement!$M30</f>
        <v>4415300</v>
      </c>
      <c r="O30" s="17">
        <f>IF(Cash_Flow!$F30&lt;=0,0,$O29+(Cash_Flow!$F30+Cash_Flow!$G30))</f>
        <v>138434.44431713314</v>
      </c>
      <c r="P30" s="17">
        <f>Income_Statement!$P30</f>
        <v>67062.909511834136</v>
      </c>
      <c r="Q30" s="17">
        <f>$Q29+Income_Statement!$P30</f>
        <v>1399781.2213413441</v>
      </c>
      <c r="R30" s="17">
        <f>$R29+Income_Statement!$Q30</f>
        <v>2974535.0953503549</v>
      </c>
      <c r="S30" s="17">
        <f>Income_Statement!$R30</f>
        <v>35500</v>
      </c>
      <c r="T30" s="17">
        <f>Income_Statement!$Q30</f>
        <v>142508.68271264754</v>
      </c>
      <c r="U30" s="17">
        <f>$U29+Cash_Flow!$I30</f>
        <v>742500</v>
      </c>
      <c r="V30" s="17">
        <f>Cash_Flow!$N30</f>
        <v>114584.33434152312</v>
      </c>
      <c r="W30" s="17">
        <f>($W29+Cash_Flow!$J30)-(Cash_Flow!$B30+Cash_Flow!$C30)</f>
        <v>2134584.3343415237</v>
      </c>
    </row>
    <row r="31" spans="1:23" x14ac:dyDescent="0.25">
      <c r="A31" s="9">
        <f>Fleet_Schedule!$B31</f>
        <v>3</v>
      </c>
      <c r="B31" s="9">
        <f>Fleet_Schedule!A31</f>
        <v>29</v>
      </c>
      <c r="C31" s="10">
        <f>IF($A31&gt;1,0,Assumptions!$B$17+IF($B31&gt;4,Assumptions!$B$22,0))</f>
        <v>0</v>
      </c>
      <c r="D31" s="10">
        <f>IF($U31&gt;500000,0,IF($B31&gt;4,(Assumptions!$B$17+Assumptions!$B$22)-$U31,Assumptions!$B$17-$U31))</f>
        <v>0</v>
      </c>
      <c r="E31" s="10">
        <f>Cash_Flow!$P31</f>
        <v>148052.38080288048</v>
      </c>
      <c r="F31" s="8">
        <f>Fleet_Schedule!$G31</f>
        <v>21</v>
      </c>
      <c r="G31" s="8">
        <f>Fleet_Schedule!$I31</f>
        <v>42</v>
      </c>
      <c r="H31" s="10">
        <f>$F31*Assumptions!$B$4</f>
        <v>1260000</v>
      </c>
      <c r="I31" s="10">
        <f>$G31*Assumptions!$B$4</f>
        <v>2520000</v>
      </c>
      <c r="J31" s="16">
        <f>Cash_Flow!$J31</f>
        <v>132349.0961240959</v>
      </c>
      <c r="K31" s="16">
        <f>Cash_Flow!$K31</f>
        <v>0</v>
      </c>
      <c r="L31" s="16">
        <f>L30+(F31*Assumptions!$B$5)</f>
        <v>10680000</v>
      </c>
      <c r="M31" s="17">
        <f>$M30+Cash_Flow!$E31</f>
        <v>5987920</v>
      </c>
      <c r="N31" s="17">
        <f>$N30+Income_Statement!$M31</f>
        <v>4692080</v>
      </c>
      <c r="O31" s="17">
        <f>IF(Cash_Flow!$F31&lt;=0,0,$O30+(Cash_Flow!$F31+Cash_Flow!$G31))</f>
        <v>144202.54616368035</v>
      </c>
      <c r="P31" s="17">
        <f>Income_Statement!$P31</f>
        <v>88162.802029356884</v>
      </c>
      <c r="Q31" s="17">
        <f>$Q30+Income_Statement!$P31</f>
        <v>1487944.0233707009</v>
      </c>
      <c r="R31" s="17">
        <f>$R30+Income_Statement!$Q31</f>
        <v>3161881.0496627381</v>
      </c>
      <c r="S31" s="17">
        <f>Income_Statement!$R31</f>
        <v>50500</v>
      </c>
      <c r="T31" s="17">
        <f>Income_Statement!$Q31</f>
        <v>187345.95431238337</v>
      </c>
      <c r="U31" s="17">
        <f>$U30+Cash_Flow!$I31</f>
        <v>793000</v>
      </c>
      <c r="V31" s="17">
        <f>Cash_Flow!$N31</f>
        <v>246933.43046561902</v>
      </c>
      <c r="W31" s="17">
        <f>($W30+Cash_Flow!$J31)-(Cash_Flow!$B31+Cash_Flow!$C31)</f>
        <v>2266933.4304656195</v>
      </c>
    </row>
    <row r="32" spans="1:23" x14ac:dyDescent="0.25">
      <c r="A32" s="9">
        <f>Fleet_Schedule!$B32</f>
        <v>3</v>
      </c>
      <c r="B32" s="9">
        <f>Fleet_Schedule!A32</f>
        <v>30</v>
      </c>
      <c r="C32" s="10">
        <f>IF($A32&gt;1,0,Assumptions!$B$17+IF($B32&gt;4,Assumptions!$B$22,0))</f>
        <v>0</v>
      </c>
      <c r="D32" s="10">
        <f>IF($U32&gt;500000,0,IF($B32&gt;4,(Assumptions!$B$17+Assumptions!$B$22)-$U32,Assumptions!$B$17-$U32))</f>
        <v>0</v>
      </c>
      <c r="E32" s="10">
        <f>Cash_Flow!$P32</f>
        <v>143518.04879635727</v>
      </c>
      <c r="F32" s="8">
        <f>Fleet_Schedule!$G32</f>
        <v>17</v>
      </c>
      <c r="G32" s="8">
        <f>Fleet_Schedule!$I32</f>
        <v>42</v>
      </c>
      <c r="H32" s="10">
        <f>$F32*Assumptions!$B$4</f>
        <v>1020000</v>
      </c>
      <c r="I32" s="10">
        <f>$G32*Assumptions!$B$4</f>
        <v>2520000</v>
      </c>
      <c r="J32" s="16">
        <f>Cash_Flow!$J32</f>
        <v>108487.50450226048</v>
      </c>
      <c r="K32" s="16">
        <f>Cash_Flow!$K32</f>
        <v>240000</v>
      </c>
      <c r="L32" s="16">
        <f>L31+(F32*Assumptions!$B$5)</f>
        <v>11190000</v>
      </c>
      <c r="M32" s="17">
        <f>$M31+Cash_Flow!$E32</f>
        <v>6273860</v>
      </c>
      <c r="N32" s="17">
        <f>$N31+Income_Statement!$M32</f>
        <v>4916140</v>
      </c>
      <c r="O32" s="17">
        <f>IF(Cash_Flow!$F32&lt;=0,0,$O31+(Cash_Flow!$F32+Cash_Flow!$G32))</f>
        <v>149970.64801022757</v>
      </c>
      <c r="P32" s="17">
        <f>Income_Statement!$P32</f>
        <v>71304.393651192324</v>
      </c>
      <c r="Q32" s="17">
        <f>$Q31+Income_Statement!$P32</f>
        <v>1559248.4170218932</v>
      </c>
      <c r="R32" s="17">
        <f>$R31+Income_Statement!$Q32</f>
        <v>3313402.8861715216</v>
      </c>
      <c r="S32" s="17">
        <f>Income_Statement!$R32</f>
        <v>38500</v>
      </c>
      <c r="T32" s="17">
        <f>Income_Statement!$Q32</f>
        <v>151521.83650878369</v>
      </c>
      <c r="U32" s="17">
        <f>$U31+Cash_Flow!$I32</f>
        <v>831500</v>
      </c>
      <c r="V32" s="17">
        <f>Cash_Flow!$N32</f>
        <v>115420.9349678795</v>
      </c>
      <c r="W32" s="17">
        <f>($W31+Cash_Flow!$J32)-(Cash_Flow!$B32+Cash_Flow!$C32)</f>
        <v>2375420.9349678801</v>
      </c>
    </row>
    <row r="33" spans="1:23" x14ac:dyDescent="0.25">
      <c r="A33" s="9">
        <f>Fleet_Schedule!$B33</f>
        <v>3</v>
      </c>
      <c r="B33" s="9">
        <f>Fleet_Schedule!A33</f>
        <v>31</v>
      </c>
      <c r="C33" s="10">
        <f>IF($A33&gt;1,0,Assumptions!$B$17+IF($B33&gt;4,Assumptions!$B$22,0))</f>
        <v>0</v>
      </c>
      <c r="D33" s="10">
        <f>IF($U33&gt;500000,0,IF($B33&gt;4,(Assumptions!$B$17+Assumptions!$B$22)-$U33,Assumptions!$B$17-$U33))</f>
        <v>0</v>
      </c>
      <c r="E33" s="10">
        <f>Cash_Flow!$P33</f>
        <v>138945.93068977969</v>
      </c>
      <c r="F33" s="8">
        <f>Fleet_Schedule!$G33</f>
        <v>21</v>
      </c>
      <c r="G33" s="8">
        <f>Fleet_Schedule!$I33</f>
        <v>46</v>
      </c>
      <c r="H33" s="10">
        <f>$F33*Assumptions!$B$4</f>
        <v>1260000</v>
      </c>
      <c r="I33" s="10">
        <f>$G33*Assumptions!$B$4</f>
        <v>2760000</v>
      </c>
      <c r="J33" s="16">
        <f>Cash_Flow!$J33</f>
        <v>132325.01295024308</v>
      </c>
      <c r="K33" s="16">
        <f>Cash_Flow!$K33</f>
        <v>0</v>
      </c>
      <c r="L33" s="16">
        <f>L32+(F33*Assumptions!$B$5)</f>
        <v>11820000</v>
      </c>
      <c r="M33" s="17">
        <f>$M32+Cash_Flow!$E33</f>
        <v>6627080</v>
      </c>
      <c r="N33" s="17">
        <f>$N32+Income_Statement!$M33</f>
        <v>5192920</v>
      </c>
      <c r="O33" s="17">
        <f>IF(Cash_Flow!$F33&lt;=0,0,$O32+(Cash_Flow!$F33+Cash_Flow!$G33))</f>
        <v>155738.74985677478</v>
      </c>
      <c r="P33" s="17">
        <f>Income_Statement!$P33</f>
        <v>88186.885203209706</v>
      </c>
      <c r="Q33" s="17">
        <f>$Q32+Income_Statement!$P33</f>
        <v>1647435.3022251029</v>
      </c>
      <c r="R33" s="17">
        <f>$R32+Income_Statement!$Q33</f>
        <v>3500800.0172283421</v>
      </c>
      <c r="S33" s="17">
        <f>Income_Statement!$R33</f>
        <v>50500</v>
      </c>
      <c r="T33" s="17">
        <f>Income_Statement!$Q33</f>
        <v>187397.13105682062</v>
      </c>
      <c r="U33" s="17">
        <f>$U32+Cash_Flow!$I33</f>
        <v>882000</v>
      </c>
      <c r="V33" s="17">
        <f>Cash_Flow!$N33</f>
        <v>247745.94791812258</v>
      </c>
      <c r="W33" s="17">
        <f>($W32+Cash_Flow!$J33)-(Cash_Flow!$B33+Cash_Flow!$C33)</f>
        <v>2507745.9479181231</v>
      </c>
    </row>
    <row r="34" spans="1:23" x14ac:dyDescent="0.25">
      <c r="A34" s="9">
        <f>Fleet_Schedule!$B34</f>
        <v>3</v>
      </c>
      <c r="B34" s="9">
        <f>Fleet_Schedule!A34</f>
        <v>32</v>
      </c>
      <c r="C34" s="10">
        <f>IF($A34&gt;1,0,Assumptions!$B$17+IF($B34&gt;4,Assumptions!$B$22,0))</f>
        <v>0</v>
      </c>
      <c r="D34" s="10">
        <f>IF($U34&gt;500000,0,IF($B34&gt;4,(Assumptions!$B$17+Assumptions!$B$22)-$U34,Assumptions!$B$17-$U34))</f>
        <v>0</v>
      </c>
      <c r="E34" s="10">
        <f>Cash_Flow!$P34</f>
        <v>134335.71159898065</v>
      </c>
      <c r="F34" s="8">
        <f>Fleet_Schedule!$G34</f>
        <v>17</v>
      </c>
      <c r="G34" s="8">
        <f>Fleet_Schedule!$I34</f>
        <v>46</v>
      </c>
      <c r="H34" s="10">
        <f>$F34*Assumptions!$B$4</f>
        <v>1020000</v>
      </c>
      <c r="I34" s="10">
        <f>$G34*Assumptions!$B$4</f>
        <v>2760000</v>
      </c>
      <c r="J34" s="16">
        <f>Cash_Flow!$J34</f>
        <v>108463.22063529218</v>
      </c>
      <c r="K34" s="16">
        <f>Cash_Flow!$K34</f>
        <v>240000</v>
      </c>
      <c r="L34" s="16">
        <f>L33+(F34*Assumptions!$B$5)</f>
        <v>12330000</v>
      </c>
      <c r="M34" s="17">
        <f>$M33+Cash_Flow!$E34</f>
        <v>6913020</v>
      </c>
      <c r="N34" s="17">
        <f>$N33+Income_Statement!$M34</f>
        <v>5416980</v>
      </c>
      <c r="O34" s="17">
        <f>IF(Cash_Flow!$F34&lt;=0,0,$O33+(Cash_Flow!$F34+Cash_Flow!$G34))</f>
        <v>161506.851703322</v>
      </c>
      <c r="P34" s="17">
        <f>Income_Statement!$P34</f>
        <v>71328.677518160592</v>
      </c>
      <c r="Q34" s="17">
        <f>$Q33+Income_Statement!$P34</f>
        <v>1718763.9797432635</v>
      </c>
      <c r="R34" s="17">
        <f>$R33+Income_Statement!$Q34</f>
        <v>3652373.4569544336</v>
      </c>
      <c r="S34" s="17">
        <f>Income_Statement!$R34</f>
        <v>38500</v>
      </c>
      <c r="T34" s="17">
        <f>Income_Statement!$Q34</f>
        <v>151573.43972609122</v>
      </c>
      <c r="U34" s="17">
        <f>$U33+Cash_Flow!$I34</f>
        <v>920500</v>
      </c>
      <c r="V34" s="17">
        <f>Cash_Flow!$N34</f>
        <v>116209.16855341475</v>
      </c>
      <c r="W34" s="17">
        <f>($W33+Cash_Flow!$J34)-(Cash_Flow!$B34+Cash_Flow!$C34)</f>
        <v>2616209.1685534152</v>
      </c>
    </row>
    <row r="35" spans="1:23" x14ac:dyDescent="0.25">
      <c r="A35" s="9">
        <f>Fleet_Schedule!$B35</f>
        <v>3</v>
      </c>
      <c r="B35" s="9">
        <f>Fleet_Schedule!A35</f>
        <v>33</v>
      </c>
      <c r="C35" s="10">
        <f>IF($A35&gt;1,0,Assumptions!$B$17+IF($B35&gt;4,Assumptions!$B$22,0))</f>
        <v>0</v>
      </c>
      <c r="D35" s="10">
        <f>IF($U35&gt;500000,0,IF($B35&gt;4,(Assumptions!$B$17+Assumptions!$B$22)-$U35,Assumptions!$B$17-$U35))</f>
        <v>0</v>
      </c>
      <c r="E35" s="10">
        <f>Cash_Flow!$P35</f>
        <v>129687.07401575828</v>
      </c>
      <c r="F35" s="8">
        <f>Fleet_Schedule!$G35</f>
        <v>21</v>
      </c>
      <c r="G35" s="8">
        <f>Fleet_Schedule!$I35</f>
        <v>50</v>
      </c>
      <c r="H35" s="10">
        <f>$F35*Assumptions!$B$4</f>
        <v>1260000</v>
      </c>
      <c r="I35" s="10">
        <f>$G35*Assumptions!$B$4</f>
        <v>3000000</v>
      </c>
      <c r="J35" s="16">
        <f>Cash_Flow!$J35</f>
        <v>132300.52671771674</v>
      </c>
      <c r="K35" s="16">
        <f>Cash_Flow!$K35</f>
        <v>0</v>
      </c>
      <c r="L35" s="16">
        <f>L34+(F35*Assumptions!$B$5)</f>
        <v>12960000</v>
      </c>
      <c r="M35" s="17">
        <f>$M34+Cash_Flow!$E35</f>
        <v>7266240</v>
      </c>
      <c r="N35" s="17">
        <f>$N34+Income_Statement!$M35</f>
        <v>5693760</v>
      </c>
      <c r="O35" s="17">
        <f>IF(Cash_Flow!$F35&lt;=0,0,$O34+(Cash_Flow!$F35+Cash_Flow!$G35))</f>
        <v>167274.95354986921</v>
      </c>
      <c r="P35" s="17">
        <f>Income_Statement!$P35</f>
        <v>88211.371435736044</v>
      </c>
      <c r="Q35" s="17">
        <f>$Q34+Income_Statement!$P35</f>
        <v>1806975.3511789995</v>
      </c>
      <c r="R35" s="17">
        <f>$R34+Income_Statement!$Q35</f>
        <v>3839822.6212553727</v>
      </c>
      <c r="S35" s="17">
        <f>Income_Statement!$R35</f>
        <v>50500</v>
      </c>
      <c r="T35" s="17">
        <f>Income_Statement!$Q35</f>
        <v>187449.1643009391</v>
      </c>
      <c r="U35" s="17">
        <f>$U34+Cash_Flow!$I35</f>
        <v>971000</v>
      </c>
      <c r="V35" s="17">
        <f>Cash_Flow!$N35</f>
        <v>248509.6952711315</v>
      </c>
      <c r="W35" s="17">
        <f>($W34+Cash_Flow!$J35)-(Cash_Flow!$B35+Cash_Flow!$C35)</f>
        <v>2748509.695271132</v>
      </c>
    </row>
    <row r="36" spans="1:23" x14ac:dyDescent="0.25">
      <c r="A36" s="9">
        <f>Fleet_Schedule!$B36</f>
        <v>3</v>
      </c>
      <c r="B36" s="9">
        <f>Fleet_Schedule!A36</f>
        <v>34</v>
      </c>
      <c r="C36" s="10">
        <f>IF($A36&gt;1,0,Assumptions!$B$17+IF($B36&gt;4,Assumptions!$B$22,0))</f>
        <v>0</v>
      </c>
      <c r="D36" s="10">
        <f>IF($U36&gt;500000,0,IF($B36&gt;4,(Assumptions!$B$17+Assumptions!$B$22)-$U36,Assumptions!$B$17-$U36))</f>
        <v>0</v>
      </c>
      <c r="E36" s="10">
        <f>Cash_Flow!$P36</f>
        <v>124999.69778600906</v>
      </c>
      <c r="F36" s="8">
        <f>Fleet_Schedule!$G36</f>
        <v>21</v>
      </c>
      <c r="G36" s="8">
        <f>Fleet_Schedule!$I36</f>
        <v>50</v>
      </c>
      <c r="H36" s="10">
        <f>$F36*Assumptions!$B$4</f>
        <v>1260000</v>
      </c>
      <c r="I36" s="10">
        <f>$G36*Assumptions!$B$4</f>
        <v>3000000</v>
      </c>
      <c r="J36" s="16">
        <f>Cash_Flow!$J36</f>
        <v>132288.13035082814</v>
      </c>
      <c r="K36" s="16">
        <f>Cash_Flow!$K36</f>
        <v>240000</v>
      </c>
      <c r="L36" s="16">
        <f>L35+(F36*Assumptions!$B$5)</f>
        <v>13590000</v>
      </c>
      <c r="M36" s="17">
        <f>$M35+Cash_Flow!$E36</f>
        <v>7619460</v>
      </c>
      <c r="N36" s="17">
        <f>$N35+Income_Statement!$M36</f>
        <v>5970540</v>
      </c>
      <c r="O36" s="17">
        <f>IF(Cash_Flow!$F36&lt;=0,0,$O35+(Cash_Flow!$F36+Cash_Flow!$G36))</f>
        <v>173043.05539641643</v>
      </c>
      <c r="P36" s="17">
        <f>Income_Statement!$P36</f>
        <v>88223.767802624643</v>
      </c>
      <c r="Q36" s="17">
        <f>$Q35+Income_Statement!$P36</f>
        <v>1895199.1189816243</v>
      </c>
      <c r="R36" s="17">
        <f>$R35+Income_Statement!$Q36</f>
        <v>4027298.1278359499</v>
      </c>
      <c r="S36" s="17">
        <f>Income_Statement!$R36</f>
        <v>50500</v>
      </c>
      <c r="T36" s="17">
        <f>Income_Statement!$Q36</f>
        <v>187475.50658057738</v>
      </c>
      <c r="U36" s="17">
        <f>$U35+Cash_Flow!$I36</f>
        <v>1021500</v>
      </c>
      <c r="V36" s="17">
        <f>Cash_Flow!$N36</f>
        <v>140797.82562195964</v>
      </c>
      <c r="W36" s="17">
        <f>($W35+Cash_Flow!$J36)-(Cash_Flow!$B36+Cash_Flow!$C36)</f>
        <v>2880797.8256219602</v>
      </c>
    </row>
    <row r="37" spans="1:23" x14ac:dyDescent="0.25">
      <c r="A37" s="9">
        <f>Fleet_Schedule!$B37</f>
        <v>3</v>
      </c>
      <c r="B37" s="9">
        <f>Fleet_Schedule!A37</f>
        <v>35</v>
      </c>
      <c r="C37" s="10">
        <f>IF($A37&gt;1,0,Assumptions!$B$17+IF($B37&gt;4,Assumptions!$B$22,0))</f>
        <v>0</v>
      </c>
      <c r="D37" s="10">
        <f>IF($U37&gt;500000,0,IF($B37&gt;4,(Assumptions!$B$17+Assumptions!$B$22)-$U37,Assumptions!$B$17-$U37))</f>
        <v>0</v>
      </c>
      <c r="E37" s="10">
        <f>Cash_Flow!$P37</f>
        <v>120273.26008767859</v>
      </c>
      <c r="F37" s="8">
        <f>Fleet_Schedule!$G37</f>
        <v>21</v>
      </c>
      <c r="G37" s="8">
        <f>Fleet_Schedule!$I37</f>
        <v>54</v>
      </c>
      <c r="H37" s="10">
        <f>$F37*Assumptions!$B$4</f>
        <v>1260000</v>
      </c>
      <c r="I37" s="10">
        <f>$G37*Assumptions!$B$4</f>
        <v>3240000</v>
      </c>
      <c r="J37" s="16">
        <f>Cash_Flow!$J37</f>
        <v>132275.63068088214</v>
      </c>
      <c r="K37" s="16">
        <f>Cash_Flow!$K37</f>
        <v>0</v>
      </c>
      <c r="L37" s="16">
        <f>L36+(F37*Assumptions!$B$5)</f>
        <v>14220000</v>
      </c>
      <c r="M37" s="17">
        <f>$M36+Cash_Flow!$E37</f>
        <v>7972680</v>
      </c>
      <c r="N37" s="17">
        <f>$N36+Income_Statement!$M37</f>
        <v>6247320</v>
      </c>
      <c r="O37" s="17">
        <f>IF(Cash_Flow!$F37&lt;=0,0,$O36+(Cash_Flow!$F37+Cash_Flow!$G37))</f>
        <v>178811.15724296364</v>
      </c>
      <c r="P37" s="17">
        <f>Income_Statement!$P37</f>
        <v>88236.267472570646</v>
      </c>
      <c r="Q37" s="17">
        <f>$Q36+Income_Statement!$P37</f>
        <v>1983435.3864541948</v>
      </c>
      <c r="R37" s="17">
        <f>$R36+Income_Statement!$Q37</f>
        <v>4214800.1962151621</v>
      </c>
      <c r="S37" s="17">
        <f>Income_Statement!$R37</f>
        <v>50500</v>
      </c>
      <c r="T37" s="17">
        <f>Income_Statement!$Q37</f>
        <v>187502.06837921264</v>
      </c>
      <c r="U37" s="17">
        <f>$U36+Cash_Flow!$I37</f>
        <v>1072000</v>
      </c>
      <c r="V37" s="17">
        <f>Cash_Flow!$N37</f>
        <v>273073.45630284178</v>
      </c>
      <c r="W37" s="17">
        <f>($W36+Cash_Flow!$J37)-(Cash_Flow!$B37+Cash_Flow!$C37)</f>
        <v>3013073.4563028421</v>
      </c>
    </row>
    <row r="38" spans="1:23" x14ac:dyDescent="0.25">
      <c r="A38" s="9">
        <f>Fleet_Schedule!$B38</f>
        <v>3</v>
      </c>
      <c r="B38" s="9">
        <f>Fleet_Schedule!A38</f>
        <v>36</v>
      </c>
      <c r="C38" s="10">
        <f>IF($A38&gt;1,0,Assumptions!$B$17+IF($B38&gt;4,Assumptions!$B$22,0))</f>
        <v>0</v>
      </c>
      <c r="D38" s="10">
        <f>IF($U38&gt;500000,0,IF($B38&gt;4,(Assumptions!$B$17+Assumptions!$B$22)-$U38,Assumptions!$B$17-$U38))</f>
        <v>0</v>
      </c>
      <c r="E38" s="10">
        <f>Cash_Flow!$P38</f>
        <v>115507.43540852869</v>
      </c>
      <c r="F38" s="8">
        <f>Fleet_Schedule!$G38</f>
        <v>21</v>
      </c>
      <c r="G38" s="8">
        <f>Fleet_Schedule!$I38</f>
        <v>54</v>
      </c>
      <c r="H38" s="10">
        <f>$F38*Assumptions!$B$4</f>
        <v>1260000</v>
      </c>
      <c r="I38" s="10">
        <f>$G38*Assumptions!$B$4</f>
        <v>3240000</v>
      </c>
      <c r="J38" s="16">
        <f>Cash_Flow!$J38</f>
        <v>132263.02684701991</v>
      </c>
      <c r="K38" s="16">
        <f>Cash_Flow!$K38</f>
        <v>240000</v>
      </c>
      <c r="L38" s="16">
        <f>L37+(F38*Assumptions!$B$5)</f>
        <v>14850000</v>
      </c>
      <c r="M38" s="17">
        <f>$M37+Cash_Flow!$E38</f>
        <v>8325900</v>
      </c>
      <c r="N38" s="17">
        <f>$N37+Income_Statement!$M38</f>
        <v>6524100</v>
      </c>
      <c r="O38" s="17">
        <f>IF(Cash_Flow!$F38&lt;=0,0,$O37+(Cash_Flow!$F38+Cash_Flow!$G38))</f>
        <v>184579.25908951086</v>
      </c>
      <c r="P38" s="17">
        <f>Income_Statement!$P38</f>
        <v>88248.871306432862</v>
      </c>
      <c r="Q38" s="17">
        <f>$Q37+Income_Statement!$P38</f>
        <v>2071684.2577606277</v>
      </c>
      <c r="R38" s="17">
        <f>$R37+Income_Statement!$Q38</f>
        <v>4402329.0477413321</v>
      </c>
      <c r="S38" s="17">
        <f>Income_Statement!$R38</f>
        <v>50500</v>
      </c>
      <c r="T38" s="17">
        <f>Income_Statement!$Q38</f>
        <v>187528.8515261698</v>
      </c>
      <c r="U38" s="17">
        <f>$U37+Cash_Flow!$I38</f>
        <v>1122500</v>
      </c>
      <c r="V38" s="17">
        <f>Cash_Flow!$N38</f>
        <v>165336.48314986168</v>
      </c>
      <c r="W38" s="17">
        <f>($W37+Cash_Flow!$J38)-(Cash_Flow!$B38+Cash_Flow!$C38)</f>
        <v>3145336.4831498619</v>
      </c>
    </row>
    <row r="39" spans="1:23" x14ac:dyDescent="0.25">
      <c r="A39" s="9">
        <f>Fleet_Schedule!$B39</f>
        <v>4</v>
      </c>
      <c r="B39" s="9">
        <f>Fleet_Schedule!A39</f>
        <v>37</v>
      </c>
      <c r="C39" s="10">
        <f>IF($A39&gt;1,0,Assumptions!$B$17+IF($B39&gt;4,Assumptions!$B$22,0))</f>
        <v>0</v>
      </c>
      <c r="D39" s="10">
        <f>IF($U39&gt;500000,0,IF($B39&gt;4,(Assumptions!$B$17+Assumptions!$B$22)-$U39,Assumptions!$B$17-$U39))</f>
        <v>0</v>
      </c>
      <c r="E39" s="10">
        <f>Cash_Flow!$P39</f>
        <v>110701.89552371921</v>
      </c>
      <c r="F39" s="8">
        <f>Fleet_Schedule!$G39</f>
        <v>21</v>
      </c>
      <c r="G39" s="8">
        <f>Fleet_Schedule!$I39</f>
        <v>58</v>
      </c>
      <c r="H39" s="10">
        <f>$F39*Assumptions!$B$4</f>
        <v>1260000</v>
      </c>
      <c r="I39" s="10">
        <f>$G39*Assumptions!$B$4</f>
        <v>3480000</v>
      </c>
      <c r="J39" s="16">
        <f>Cash_Flow!$J39</f>
        <v>132250.31798120885</v>
      </c>
      <c r="K39" s="16">
        <f>Cash_Flow!$K39</f>
        <v>0</v>
      </c>
      <c r="L39" s="16">
        <f>L38+(F39*Assumptions!$B$5)</f>
        <v>15480000</v>
      </c>
      <c r="M39" s="17">
        <f>$M38+Cash_Flow!$E39</f>
        <v>8679120</v>
      </c>
      <c r="N39" s="17">
        <f>$N38+Income_Statement!$M39</f>
        <v>6800880</v>
      </c>
      <c r="O39" s="17">
        <f>IF(Cash_Flow!$F39&lt;=0,0,$O38+(Cash_Flow!$F39+Cash_Flow!$G39))</f>
        <v>190347.36093605807</v>
      </c>
      <c r="P39" s="17">
        <f>Income_Statement!$P39</f>
        <v>88261.580172243921</v>
      </c>
      <c r="Q39" s="17">
        <f>$Q38+Income_Statement!$P39</f>
        <v>2159945.8379328717</v>
      </c>
      <c r="R39" s="17">
        <f>$R38+Income_Statement!$Q39</f>
        <v>4589884.9056073502</v>
      </c>
      <c r="S39" s="17">
        <f>Income_Statement!$R39</f>
        <v>50500</v>
      </c>
      <c r="T39" s="17">
        <f>Income_Statement!$Q39</f>
        <v>187555.85786601831</v>
      </c>
      <c r="U39" s="17">
        <f>$U38+Cash_Flow!$I39</f>
        <v>1173000</v>
      </c>
      <c r="V39" s="17">
        <f>Cash_Flow!$N39</f>
        <v>297586.80113107053</v>
      </c>
      <c r="W39" s="17">
        <f>($W38+Cash_Flow!$J39)-(Cash_Flow!$B39+Cash_Flow!$C39)</f>
        <v>3277586.8011310706</v>
      </c>
    </row>
    <row r="40" spans="1:23" x14ac:dyDescent="0.25">
      <c r="A40" s="9">
        <f>Fleet_Schedule!$B40</f>
        <v>4</v>
      </c>
      <c r="B40" s="9">
        <f>Fleet_Schedule!A40</f>
        <v>38</v>
      </c>
      <c r="C40" s="10">
        <f>IF($A40&gt;1,0,Assumptions!$B$17+IF($B40&gt;4,Assumptions!$B$22,0))</f>
        <v>0</v>
      </c>
      <c r="D40" s="10">
        <f>IF($U40&gt;500000,0,IF($B40&gt;4,(Assumptions!$B$17+Assumptions!$B$22)-$U40,Assumptions!$B$17-$U40))</f>
        <v>0</v>
      </c>
      <c r="E40" s="10">
        <f>Cash_Flow!$P40</f>
        <v>105856.30947320299</v>
      </c>
      <c r="F40" s="8">
        <f>Fleet_Schedule!$G40</f>
        <v>21</v>
      </c>
      <c r="G40" s="8">
        <f>Fleet_Schedule!$I40</f>
        <v>58</v>
      </c>
      <c r="H40" s="10">
        <f>$F40*Assumptions!$B$4</f>
        <v>1260000</v>
      </c>
      <c r="I40" s="10">
        <f>$G40*Assumptions!$B$4</f>
        <v>3480000</v>
      </c>
      <c r="J40" s="16">
        <f>Cash_Flow!$J40</f>
        <v>132237.50320818269</v>
      </c>
      <c r="K40" s="16">
        <f>Cash_Flow!$K40</f>
        <v>240000</v>
      </c>
      <c r="L40" s="16">
        <f>L39+(F40*Assumptions!$B$5)</f>
        <v>16110000</v>
      </c>
      <c r="M40" s="17">
        <f>$M39+Cash_Flow!$E40</f>
        <v>9032340</v>
      </c>
      <c r="N40" s="17">
        <f>$N39+Income_Statement!$M40</f>
        <v>7077660</v>
      </c>
      <c r="O40" s="17">
        <f>IF(Cash_Flow!$F40&lt;=0,0,$O39+(Cash_Flow!$F40+Cash_Flow!$G40))</f>
        <v>196115.46278260529</v>
      </c>
      <c r="P40" s="17">
        <f>Income_Statement!$P40</f>
        <v>88274.394945270091</v>
      </c>
      <c r="Q40" s="17">
        <f>$Q39+Income_Statement!$P40</f>
        <v>2248220.2328781416</v>
      </c>
      <c r="R40" s="17">
        <f>$R39+Income_Statement!$Q40</f>
        <v>4777467.9948660489</v>
      </c>
      <c r="S40" s="17">
        <f>Income_Statement!$R40</f>
        <v>50500</v>
      </c>
      <c r="T40" s="17">
        <f>Income_Statement!$Q40</f>
        <v>187583.08925869892</v>
      </c>
      <c r="U40" s="17">
        <f>$U39+Cash_Flow!$I40</f>
        <v>1223500</v>
      </c>
      <c r="V40" s="17">
        <f>Cash_Flow!$N40</f>
        <v>189824.30433925323</v>
      </c>
      <c r="W40" s="17">
        <f>($W39+Cash_Flow!$J40)-(Cash_Flow!$B40+Cash_Flow!$C40)</f>
        <v>3409824.3043392533</v>
      </c>
    </row>
    <row r="41" spans="1:23" x14ac:dyDescent="0.25">
      <c r="A41" s="9">
        <f>Fleet_Schedule!$B41</f>
        <v>4</v>
      </c>
      <c r="B41" s="9">
        <f>Fleet_Schedule!A41</f>
        <v>39</v>
      </c>
      <c r="C41" s="10">
        <f>IF($A41&gt;1,0,Assumptions!$B$17+IF($B41&gt;4,Assumptions!$B$22,0))</f>
        <v>0</v>
      </c>
      <c r="D41" s="10">
        <f>IF($U41&gt;500000,0,IF($B41&gt;4,(Assumptions!$B$17+Assumptions!$B$22)-$U41,Assumptions!$B$17-$U41))</f>
        <v>0</v>
      </c>
      <c r="E41" s="10">
        <f>Cash_Flow!$P41</f>
        <v>100970.34353893246</v>
      </c>
      <c r="F41" s="8">
        <f>Fleet_Schedule!$G41</f>
        <v>25</v>
      </c>
      <c r="G41" s="8">
        <f>Fleet_Schedule!$I41</f>
        <v>62</v>
      </c>
      <c r="H41" s="10">
        <f>$F41*Assumptions!$B$4</f>
        <v>1500000</v>
      </c>
      <c r="I41" s="10">
        <f>$G41*Assumptions!$B$4</f>
        <v>3720000</v>
      </c>
      <c r="J41" s="16">
        <f>Cash_Flow!$J41</f>
        <v>156074.18164538132</v>
      </c>
      <c r="K41" s="16">
        <f>Cash_Flow!$K41</f>
        <v>0</v>
      </c>
      <c r="L41" s="16">
        <f>L40+(F41*Assumptions!$B$5)</f>
        <v>16860000</v>
      </c>
      <c r="M41" s="17">
        <f>$M40+Cash_Flow!$E41</f>
        <v>9452840</v>
      </c>
      <c r="N41" s="17">
        <f>$N40+Income_Statement!$M41</f>
        <v>7407160</v>
      </c>
      <c r="O41" s="17">
        <f>IF(Cash_Flow!$F41&lt;=0,0,$O40+(Cash_Flow!$F41+Cash_Flow!$G41))</f>
        <v>201883.5646291525</v>
      </c>
      <c r="P41" s="17">
        <f>Income_Statement!$P41</f>
        <v>105157.71650807146</v>
      </c>
      <c r="Q41" s="17">
        <f>$Q40+Income_Statement!$P41</f>
        <v>2353377.949386213</v>
      </c>
      <c r="R41" s="17">
        <f>$R40+Income_Statement!$Q41</f>
        <v>5000928.1424457012</v>
      </c>
      <c r="S41" s="17">
        <f>Income_Statement!$R41</f>
        <v>62500</v>
      </c>
      <c r="T41" s="17">
        <f>Income_Statement!$Q41</f>
        <v>223460.14757965185</v>
      </c>
      <c r="U41" s="17">
        <f>$U40+Cash_Flow!$I41</f>
        <v>1286000</v>
      </c>
      <c r="V41" s="17">
        <f>Cash_Flow!$N41</f>
        <v>345898.48598463455</v>
      </c>
      <c r="W41" s="17">
        <f>($W40+Cash_Flow!$J41)-(Cash_Flow!$B41+Cash_Flow!$C41)</f>
        <v>3565898.4859846346</v>
      </c>
    </row>
    <row r="42" spans="1:23" x14ac:dyDescent="0.25">
      <c r="A42" s="9">
        <f>Fleet_Schedule!$B42</f>
        <v>4</v>
      </c>
      <c r="B42" s="9">
        <f>Fleet_Schedule!A42</f>
        <v>40</v>
      </c>
      <c r="C42" s="10">
        <f>IF($A42&gt;1,0,Assumptions!$B$17+IF($B42&gt;4,Assumptions!$B$22,0))</f>
        <v>0</v>
      </c>
      <c r="D42" s="10">
        <f>IF($U42&gt;500000,0,IF($B42&gt;4,(Assumptions!$B$17+Assumptions!$B$22)-$U42,Assumptions!$B$17-$U42))</f>
        <v>0</v>
      </c>
      <c r="E42" s="10">
        <f>Cash_Flow!$P42</f>
        <v>96043.661221876348</v>
      </c>
      <c r="F42" s="8">
        <f>Fleet_Schedule!$G42</f>
        <v>20</v>
      </c>
      <c r="G42" s="8">
        <f>Fleet_Schedule!$I42</f>
        <v>62</v>
      </c>
      <c r="H42" s="10">
        <f>$F42*Assumptions!$B$4</f>
        <v>1200000</v>
      </c>
      <c r="I42" s="10">
        <f>$G42*Assumptions!$B$4</f>
        <v>3720000</v>
      </c>
      <c r="J42" s="16">
        <f>Cash_Flow!$J42</f>
        <v>126249.15240288991</v>
      </c>
      <c r="K42" s="16">
        <f>Cash_Flow!$K42</f>
        <v>300000</v>
      </c>
      <c r="L42" s="16">
        <f>L41+(F42*Assumptions!$B$5)</f>
        <v>17460000</v>
      </c>
      <c r="M42" s="17">
        <f>$M41+Cash_Flow!$E42</f>
        <v>9789240</v>
      </c>
      <c r="N42" s="17">
        <f>$N41+Income_Statement!$M42</f>
        <v>7670760</v>
      </c>
      <c r="O42" s="17">
        <f>IF(Cash_Flow!$F42&lt;=0,0,$O41+(Cash_Flow!$F42+Cash_Flow!$G42))</f>
        <v>207651.66647569972</v>
      </c>
      <c r="P42" s="17">
        <f>Income_Statement!$P42</f>
        <v>84082.745750562855</v>
      </c>
      <c r="Q42" s="17">
        <f>$Q41+Income_Statement!$P42</f>
        <v>2437460.6951367757</v>
      </c>
      <c r="R42" s="17">
        <f>$R41+Income_Statement!$Q42</f>
        <v>5179603.9771656469</v>
      </c>
      <c r="S42" s="17">
        <f>Income_Statement!$R42</f>
        <v>47500</v>
      </c>
      <c r="T42" s="17">
        <f>Income_Statement!$Q42</f>
        <v>178675.83471994603</v>
      </c>
      <c r="U42" s="17">
        <f>$U41+Cash_Flow!$I42</f>
        <v>1333500</v>
      </c>
      <c r="V42" s="17">
        <f>Cash_Flow!$N42</f>
        <v>172147.63838752446</v>
      </c>
      <c r="W42" s="17">
        <f>($W41+Cash_Flow!$J42)-(Cash_Flow!$B42+Cash_Flow!$C42)</f>
        <v>3692147.6383875245</v>
      </c>
    </row>
    <row r="43" spans="1:23" x14ac:dyDescent="0.25">
      <c r="A43" s="9">
        <f>Fleet_Schedule!$B43</f>
        <v>4</v>
      </c>
      <c r="B43" s="9">
        <f>Fleet_Schedule!A43</f>
        <v>41</v>
      </c>
      <c r="C43" s="10">
        <f>IF($A43&gt;1,0,Assumptions!$B$17+IF($B43&gt;4,Assumptions!$B$22,0))</f>
        <v>0</v>
      </c>
      <c r="D43" s="10">
        <f>IF($U43&gt;500000,0,IF($B43&gt;4,(Assumptions!$B$17+Assumptions!$B$22)-$U43,Assumptions!$B$17-$U43))</f>
        <v>0</v>
      </c>
      <c r="E43" s="10">
        <f>Cash_Flow!$P43</f>
        <v>91075.923218844764</v>
      </c>
      <c r="F43" s="8">
        <f>Fleet_Schedule!$G43</f>
        <v>24</v>
      </c>
      <c r="G43" s="8">
        <f>Fleet_Schedule!$I43</f>
        <v>66</v>
      </c>
      <c r="H43" s="10">
        <f>$F43*Assumptions!$B$4</f>
        <v>1440000</v>
      </c>
      <c r="I43" s="10">
        <f>$G43*Assumptions!$B$4</f>
        <v>3960000</v>
      </c>
      <c r="J43" s="16">
        <f>Cash_Flow!$J43</f>
        <v>150085.61458337778</v>
      </c>
      <c r="K43" s="16">
        <f>Cash_Flow!$K43</f>
        <v>0</v>
      </c>
      <c r="L43" s="16">
        <f>L42+(F43*Assumptions!$B$5)</f>
        <v>18180000</v>
      </c>
      <c r="M43" s="17">
        <f>$M42+Cash_Flow!$E43</f>
        <v>10192920</v>
      </c>
      <c r="N43" s="17">
        <f>$N42+Income_Statement!$M43</f>
        <v>7987080</v>
      </c>
      <c r="O43" s="17">
        <f>IF(Cash_Flow!$F43&lt;=0,0,$O42+(Cash_Flow!$F43+Cash_Flow!$G43))</f>
        <v>213419.76832224693</v>
      </c>
      <c r="P43" s="17">
        <f>Income_Statement!$P43</f>
        <v>100966.283570075</v>
      </c>
      <c r="Q43" s="17">
        <f>$Q42+Income_Statement!$P43</f>
        <v>2538426.9787068507</v>
      </c>
      <c r="R43" s="17">
        <f>$R42+Income_Statement!$Q43</f>
        <v>5394157.3297520559</v>
      </c>
      <c r="S43" s="17">
        <f>Income_Statement!$R43</f>
        <v>59500</v>
      </c>
      <c r="T43" s="17">
        <f>Income_Statement!$Q43</f>
        <v>214553.35258640937</v>
      </c>
      <c r="U43" s="17">
        <f>$U42+Cash_Flow!$I43</f>
        <v>1393000</v>
      </c>
      <c r="V43" s="17">
        <f>Cash_Flow!$N43</f>
        <v>322233.25297090225</v>
      </c>
      <c r="W43" s="17">
        <f>($W42+Cash_Flow!$J43)-(Cash_Flow!$B43+Cash_Flow!$C43)</f>
        <v>3842233.2529709022</v>
      </c>
    </row>
    <row r="44" spans="1:23" x14ac:dyDescent="0.25">
      <c r="A44" s="9">
        <f>Fleet_Schedule!$B44</f>
        <v>4</v>
      </c>
      <c r="B44" s="9">
        <f>Fleet_Schedule!A44</f>
        <v>42</v>
      </c>
      <c r="C44" s="10">
        <f>IF($A44&gt;1,0,Assumptions!$B$17+IF($B44&gt;4,Assumptions!$B$22,0))</f>
        <v>0</v>
      </c>
      <c r="D44" s="10">
        <f>IF($U44&gt;500000,0,IF($B44&gt;4,(Assumptions!$B$17+Assumptions!$B$22)-$U44,Assumptions!$B$17-$U44))</f>
        <v>0</v>
      </c>
      <c r="E44" s="10">
        <f>Cash_Flow!$P44</f>
        <v>86066.787399121255</v>
      </c>
      <c r="F44" s="8">
        <f>Fleet_Schedule!$G44</f>
        <v>20</v>
      </c>
      <c r="G44" s="8">
        <f>Fleet_Schedule!$I44</f>
        <v>66</v>
      </c>
      <c r="H44" s="10">
        <f>$F44*Assumptions!$B$4</f>
        <v>1200000</v>
      </c>
      <c r="I44" s="10">
        <f>$G44*Assumptions!$B$4</f>
        <v>3960000</v>
      </c>
      <c r="J44" s="16">
        <f>Cash_Flow!$J44</f>
        <v>126222.76728203637</v>
      </c>
      <c r="K44" s="16">
        <f>Cash_Flow!$K44</f>
        <v>300000</v>
      </c>
      <c r="L44" s="16">
        <f>L43+(F44*Assumptions!$B$5)</f>
        <v>18780000</v>
      </c>
      <c r="M44" s="17">
        <f>$M43+Cash_Flow!$E44</f>
        <v>10529320</v>
      </c>
      <c r="N44" s="17">
        <f>$N43+Income_Statement!$M44</f>
        <v>8250680</v>
      </c>
      <c r="O44" s="17">
        <f>IF(Cash_Flow!$F44&lt;=0,0,$O43+(Cash_Flow!$F44+Cash_Flow!$G44))</f>
        <v>219187.87016879415</v>
      </c>
      <c r="P44" s="17">
        <f>Income_Statement!$P44</f>
        <v>84109.130871416404</v>
      </c>
      <c r="Q44" s="17">
        <f>$Q43+Income_Statement!$P44</f>
        <v>2622536.1095782672</v>
      </c>
      <c r="R44" s="17">
        <f>$R43+Income_Statement!$Q44</f>
        <v>5572889.2328538159</v>
      </c>
      <c r="S44" s="17">
        <f>Income_Statement!$R44</f>
        <v>47500</v>
      </c>
      <c r="T44" s="17">
        <f>Income_Statement!$Q44</f>
        <v>178731.90310175985</v>
      </c>
      <c r="U44" s="17">
        <f>$U43+Cash_Flow!$I44</f>
        <v>1440500</v>
      </c>
      <c r="V44" s="17">
        <f>Cash_Flow!$N44</f>
        <v>148456.02025293862</v>
      </c>
      <c r="W44" s="17">
        <f>($W43+Cash_Flow!$J44)-(Cash_Flow!$B44+Cash_Flow!$C44)</f>
        <v>3968456.0202529384</v>
      </c>
    </row>
    <row r="45" spans="1:23" x14ac:dyDescent="0.25">
      <c r="A45" s="9">
        <f>Fleet_Schedule!$B45</f>
        <v>4</v>
      </c>
      <c r="B45" s="9">
        <f>Fleet_Schedule!A45</f>
        <v>43</v>
      </c>
      <c r="C45" s="10">
        <f>IF($A45&gt;1,0,Assumptions!$B$17+IF($B45&gt;4,Assumptions!$B$22,0))</f>
        <v>0</v>
      </c>
      <c r="D45" s="10">
        <f>IF($U45&gt;500000,0,IF($B45&gt;4,(Assumptions!$B$17+Assumptions!$B$22)-$U45,Assumptions!$B$17-$U45))</f>
        <v>0</v>
      </c>
      <c r="E45" s="10">
        <f>Cash_Flow!$P45</f>
        <v>81015.908780900048</v>
      </c>
      <c r="F45" s="8">
        <f>Fleet_Schedule!$G45</f>
        <v>25</v>
      </c>
      <c r="G45" s="8">
        <f>Fleet_Schedule!$I45</f>
        <v>71</v>
      </c>
      <c r="H45" s="10">
        <f>$F45*Assumptions!$B$4</f>
        <v>1500000</v>
      </c>
      <c r="I45" s="10">
        <f>$G45*Assumptions!$B$4</f>
        <v>4260000</v>
      </c>
      <c r="J45" s="16">
        <f>Cash_Flow!$J45</f>
        <v>156021.40958651711</v>
      </c>
      <c r="K45" s="16">
        <f>Cash_Flow!$K45</f>
        <v>0</v>
      </c>
      <c r="L45" s="16">
        <f>L44+(F45*Assumptions!$B$5)</f>
        <v>19530000</v>
      </c>
      <c r="M45" s="17">
        <f>$M44+Cash_Flow!$E45</f>
        <v>10949820</v>
      </c>
      <c r="N45" s="17">
        <f>$N44+Income_Statement!$M45</f>
        <v>8580180</v>
      </c>
      <c r="O45" s="17">
        <f>IF(Cash_Flow!$F45&lt;=0,0,$O44+(Cash_Flow!$F45+Cash_Flow!$G45))</f>
        <v>224955.97201534137</v>
      </c>
      <c r="P45" s="17">
        <f>Income_Statement!$P45</f>
        <v>105210.48856693567</v>
      </c>
      <c r="Q45" s="17">
        <f>$Q44+Income_Statement!$P45</f>
        <v>2727746.5981452027</v>
      </c>
      <c r="R45" s="17">
        <f>$R44+Income_Statement!$Q45</f>
        <v>5796461.5210585538</v>
      </c>
      <c r="S45" s="17">
        <f>Income_Statement!$R45</f>
        <v>62500</v>
      </c>
      <c r="T45" s="17">
        <f>Income_Statement!$Q45</f>
        <v>223572.28820473832</v>
      </c>
      <c r="U45" s="17">
        <f>$U44+Cash_Flow!$I45</f>
        <v>1503000</v>
      </c>
      <c r="V45" s="17">
        <f>Cash_Flow!$N45</f>
        <v>304477.42983945576</v>
      </c>
      <c r="W45" s="17">
        <f>($W44+Cash_Flow!$J45)-(Cash_Flow!$B45+Cash_Flow!$C45)</f>
        <v>4124477.4298394555</v>
      </c>
    </row>
    <row r="46" spans="1:23" x14ac:dyDescent="0.25">
      <c r="A46" s="9">
        <f>Fleet_Schedule!$B46</f>
        <v>4</v>
      </c>
      <c r="B46" s="9">
        <f>Fleet_Schedule!A46</f>
        <v>44</v>
      </c>
      <c r="C46" s="10">
        <f>IF($A46&gt;1,0,Assumptions!$B$17+IF($B46&gt;4,Assumptions!$B$22,0))</f>
        <v>0</v>
      </c>
      <c r="D46" s="10">
        <f>IF($U46&gt;500000,0,IF($B46&gt;4,(Assumptions!$B$17+Assumptions!$B$22)-$U46,Assumptions!$B$17-$U46))</f>
        <v>0</v>
      </c>
      <c r="E46" s="10">
        <f>Cash_Flow!$P46</f>
        <v>75922.939507527</v>
      </c>
      <c r="F46" s="8">
        <f>Fleet_Schedule!$G46</f>
        <v>21</v>
      </c>
      <c r="G46" s="8">
        <f>Fleet_Schedule!$I46</f>
        <v>71</v>
      </c>
      <c r="H46" s="10">
        <f>$F46*Assumptions!$B$4</f>
        <v>1260000</v>
      </c>
      <c r="I46" s="10">
        <f>$G46*Assumptions!$B$4</f>
        <v>4260000</v>
      </c>
      <c r="J46" s="16">
        <f>Cash_Flow!$J46</f>
        <v>132158.34057686856</v>
      </c>
      <c r="K46" s="16">
        <f>Cash_Flow!$K46</f>
        <v>300000</v>
      </c>
      <c r="L46" s="16">
        <f>L45+(F46*Assumptions!$B$5)</f>
        <v>20160000</v>
      </c>
      <c r="M46" s="17">
        <f>$M45+Cash_Flow!$E46</f>
        <v>11303040</v>
      </c>
      <c r="N46" s="17">
        <f>$N45+Income_Statement!$M46</f>
        <v>8856960</v>
      </c>
      <c r="O46" s="17">
        <f>IF(Cash_Flow!$F46&lt;=0,0,$O45+(Cash_Flow!$F46+Cash_Flow!$G46))</f>
        <v>230724.07386188858</v>
      </c>
      <c r="P46" s="17">
        <f>Income_Statement!$P46</f>
        <v>88353.55757658428</v>
      </c>
      <c r="Q46" s="17">
        <f>$Q45+Income_Statement!$P46</f>
        <v>2816100.1557217869</v>
      </c>
      <c r="R46" s="17">
        <f>$R45+Income_Statement!$Q46</f>
        <v>5984212.8309087958</v>
      </c>
      <c r="S46" s="17">
        <f>Income_Statement!$R46</f>
        <v>50500</v>
      </c>
      <c r="T46" s="17">
        <f>Income_Statement!$Q46</f>
        <v>187751.30985024158</v>
      </c>
      <c r="U46" s="17">
        <f>$U45+Cash_Flow!$I46</f>
        <v>1553500</v>
      </c>
      <c r="V46" s="17">
        <f>Cash_Flow!$N46</f>
        <v>136635.77041632432</v>
      </c>
      <c r="W46" s="17">
        <f>($W45+Cash_Flow!$J46)-(Cash_Flow!$B46+Cash_Flow!$C46)</f>
        <v>4256635.770416324</v>
      </c>
    </row>
    <row r="47" spans="1:23" x14ac:dyDescent="0.25">
      <c r="A47" s="9">
        <f>Fleet_Schedule!$B47</f>
        <v>4</v>
      </c>
      <c r="B47" s="9">
        <f>Fleet_Schedule!A47</f>
        <v>45</v>
      </c>
      <c r="C47" s="10">
        <f>IF($A47&gt;1,0,Assumptions!$B$17+IF($B47&gt;4,Assumptions!$B$22,0))</f>
        <v>0</v>
      </c>
      <c r="D47" s="10">
        <f>IF($U47&gt;500000,0,IF($B47&gt;4,(Assumptions!$B$17+Assumptions!$B$22)-$U47,Assumptions!$B$17-$U47))</f>
        <v>0</v>
      </c>
      <c r="E47" s="10">
        <f>Cash_Flow!$P47</f>
        <v>70787.528823542511</v>
      </c>
      <c r="F47" s="8">
        <f>Fleet_Schedule!$G47</f>
        <v>26</v>
      </c>
      <c r="G47" s="8">
        <f>Fleet_Schedule!$I47</f>
        <v>76</v>
      </c>
      <c r="H47" s="10">
        <f>$F47*Assumptions!$B$4</f>
        <v>1560000</v>
      </c>
      <c r="I47" s="10">
        <f>$G47*Assumptions!$B$4</f>
        <v>4560000</v>
      </c>
      <c r="J47" s="16">
        <f>Cash_Flow!$J47</f>
        <v>161956.7593254729</v>
      </c>
      <c r="K47" s="16">
        <f>Cash_Flow!$K47</f>
        <v>0</v>
      </c>
      <c r="L47" s="16">
        <f>L46+(F47*Assumptions!$B$5)</f>
        <v>20940000</v>
      </c>
      <c r="M47" s="17">
        <f>$M46+Cash_Flow!$E47</f>
        <v>11740360</v>
      </c>
      <c r="N47" s="17">
        <f>$N46+Income_Statement!$M47</f>
        <v>9199640</v>
      </c>
      <c r="O47" s="17">
        <f>IF(Cash_Flow!$F47&lt;=0,0,$O46+(Cash_Flow!$F47+Cash_Flow!$G47))</f>
        <v>236492.1757084358</v>
      </c>
      <c r="P47" s="17">
        <f>Income_Statement!$P47</f>
        <v>109455.13882797994</v>
      </c>
      <c r="Q47" s="17">
        <f>$Q46+Income_Statement!$P47</f>
        <v>2925555.2945497669</v>
      </c>
      <c r="R47" s="17">
        <f>$R46+Income_Statement!$Q47</f>
        <v>6216805.0009182533</v>
      </c>
      <c r="S47" s="17">
        <f>Income_Statement!$R47</f>
        <v>65500</v>
      </c>
      <c r="T47" s="17">
        <f>Income_Statement!$Q47</f>
        <v>232592.17000945736</v>
      </c>
      <c r="U47" s="17">
        <f>$U46+Cash_Flow!$I47</f>
        <v>1619000</v>
      </c>
      <c r="V47" s="17">
        <f>Cash_Flow!$N47</f>
        <v>298592.52974179725</v>
      </c>
      <c r="W47" s="17">
        <f>($W46+Cash_Flow!$J47)-(Cash_Flow!$B47+Cash_Flow!$C47)</f>
        <v>4418592.5297417967</v>
      </c>
    </row>
    <row r="48" spans="1:23" x14ac:dyDescent="0.25">
      <c r="A48" s="9">
        <f>Fleet_Schedule!$B48</f>
        <v>4</v>
      </c>
      <c r="B48" s="9">
        <f>Fleet_Schedule!A48</f>
        <v>46</v>
      </c>
      <c r="C48" s="10">
        <f>IF($A48&gt;1,0,Assumptions!$B$17+IF($B48&gt;4,Assumptions!$B$22,0))</f>
        <v>0</v>
      </c>
      <c r="D48" s="10">
        <f>IF($U48&gt;500000,0,IF($B48&gt;4,(Assumptions!$B$17+Assumptions!$B$22)-$U48,Assumptions!$B$17-$U48))</f>
        <v>0</v>
      </c>
      <c r="E48" s="10">
        <f>Cash_Flow!$P48</f>
        <v>65609.323050524821</v>
      </c>
      <c r="F48" s="8">
        <f>Fleet_Schedule!$G48</f>
        <v>22</v>
      </c>
      <c r="G48" s="8">
        <f>Fleet_Schedule!$I48</f>
        <v>76</v>
      </c>
      <c r="H48" s="10">
        <f>$F48*Assumptions!$B$4</f>
        <v>1320000</v>
      </c>
      <c r="I48" s="10">
        <f>$G48*Assumptions!$B$4</f>
        <v>4560000</v>
      </c>
      <c r="J48" s="16">
        <f>Cash_Flow!$J48</f>
        <v>138093.46489698222</v>
      </c>
      <c r="K48" s="16">
        <f>Cash_Flow!$K48</f>
        <v>240000</v>
      </c>
      <c r="L48" s="16">
        <f>L47+(F48*Assumptions!$B$5)</f>
        <v>21600000</v>
      </c>
      <c r="M48" s="17">
        <f>$M47+Cash_Flow!$E48</f>
        <v>12110400</v>
      </c>
      <c r="N48" s="17">
        <f>$N47+Income_Statement!$M48</f>
        <v>9489600</v>
      </c>
      <c r="O48" s="17">
        <f>IF(Cash_Flow!$F48&lt;=0,0,$O47+(Cash_Flow!$F48+Cash_Flow!$G48))</f>
        <v>242260.27755498301</v>
      </c>
      <c r="P48" s="17">
        <f>Income_Statement!$P48</f>
        <v>92598.433256470569</v>
      </c>
      <c r="Q48" s="17">
        <f>$Q47+Income_Statement!$P48</f>
        <v>3018153.7278062375</v>
      </c>
      <c r="R48" s="17">
        <f>$R47+Income_Statement!$Q48</f>
        <v>6413576.6715882532</v>
      </c>
      <c r="S48" s="17">
        <f>Income_Statement!$R48</f>
        <v>53500</v>
      </c>
      <c r="T48" s="17">
        <f>Income_Statement!$Q48</f>
        <v>196771.67066999993</v>
      </c>
      <c r="U48" s="17">
        <f>$U47+Cash_Flow!$I48</f>
        <v>1672500</v>
      </c>
      <c r="V48" s="17">
        <f>Cash_Flow!$N48</f>
        <v>196685.99463877946</v>
      </c>
      <c r="W48" s="17">
        <f>($W47+Cash_Flow!$J48)-(Cash_Flow!$B48+Cash_Flow!$C48)</f>
        <v>4556685.9946387792</v>
      </c>
    </row>
    <row r="49" spans="1:23" x14ac:dyDescent="0.25">
      <c r="A49" s="9">
        <f>Fleet_Schedule!$B49</f>
        <v>4</v>
      </c>
      <c r="B49" s="9">
        <f>Fleet_Schedule!A49</f>
        <v>47</v>
      </c>
      <c r="C49" s="10">
        <f>IF($A49&gt;1,0,Assumptions!$B$17+IF($B49&gt;4,Assumptions!$B$22,0))</f>
        <v>0</v>
      </c>
      <c r="D49" s="10">
        <f>IF($U49&gt;500000,0,IF($B49&gt;4,(Assumptions!$B$17+Assumptions!$B$22)-$U49,Assumptions!$B$17-$U49))</f>
        <v>0</v>
      </c>
      <c r="E49" s="10">
        <f>Cash_Flow!$P49</f>
        <v>60387.965562731981</v>
      </c>
      <c r="F49" s="8">
        <f>Fleet_Schedule!$G49</f>
        <v>27</v>
      </c>
      <c r="G49" s="8">
        <f>Fleet_Schedule!$I49</f>
        <v>81</v>
      </c>
      <c r="H49" s="10">
        <f>$F49*Assumptions!$B$4</f>
        <v>1620000</v>
      </c>
      <c r="I49" s="10">
        <f>$G49*Assumptions!$B$4</f>
        <v>4860000</v>
      </c>
      <c r="J49" s="16">
        <f>Cash_Flow!$J49</f>
        <v>167891.65634825418</v>
      </c>
      <c r="K49" s="16">
        <f>Cash_Flow!$K49</f>
        <v>0</v>
      </c>
      <c r="L49" s="16">
        <f>L48+(F49*Assumptions!$B$5)</f>
        <v>22410000</v>
      </c>
      <c r="M49" s="17">
        <f>$M48+Cash_Flow!$E49</f>
        <v>12564540</v>
      </c>
      <c r="N49" s="17">
        <f>$N48+Income_Statement!$M49</f>
        <v>9845460</v>
      </c>
      <c r="O49" s="17">
        <f>IF(Cash_Flow!$F49&lt;=0,0,$O48+(Cash_Flow!$F49+Cash_Flow!$G49))</f>
        <v>248028.37940153023</v>
      </c>
      <c r="P49" s="17">
        <f>Income_Statement!$P49</f>
        <v>113700.2418051986</v>
      </c>
      <c r="Q49" s="17">
        <f>$Q48+Income_Statement!$P49</f>
        <v>3131853.9696114361</v>
      </c>
      <c r="R49" s="17">
        <f>$R48+Income_Statement!$Q49</f>
        <v>6655189.6854242999</v>
      </c>
      <c r="S49" s="17">
        <f>Income_Statement!$R49</f>
        <v>68500</v>
      </c>
      <c r="T49" s="17">
        <f>Income_Statement!$Q49</f>
        <v>241613.01383604703</v>
      </c>
      <c r="U49" s="17">
        <f>$U48+Cash_Flow!$I49</f>
        <v>1741000</v>
      </c>
      <c r="V49" s="17">
        <f>Cash_Flow!$N49</f>
        <v>364577.65098703362</v>
      </c>
      <c r="W49" s="17">
        <f>($W48+Cash_Flow!$J49)-(Cash_Flow!$B49+Cash_Flow!$C49)</f>
        <v>4724577.6509870337</v>
      </c>
    </row>
    <row r="50" spans="1:23" x14ac:dyDescent="0.25">
      <c r="A50" s="9">
        <f>Fleet_Schedule!$B50</f>
        <v>4</v>
      </c>
      <c r="B50" s="9">
        <f>Fleet_Schedule!A50</f>
        <v>48</v>
      </c>
      <c r="C50" s="10">
        <f>IF($A50&gt;1,0,Assumptions!$B$17+IF($B50&gt;4,Assumptions!$B$22,0))</f>
        <v>0</v>
      </c>
      <c r="D50" s="10">
        <f>IF($U50&gt;500000,0,IF($B50&gt;4,(Assumptions!$B$17+Assumptions!$B$22)-$U50,Assumptions!$B$17-$U50))</f>
        <v>0</v>
      </c>
      <c r="E50" s="10">
        <f>Cash_Flow!$P50</f>
        <v>55123.096762540867</v>
      </c>
      <c r="F50" s="8">
        <f>Fleet_Schedule!$G50</f>
        <v>23</v>
      </c>
      <c r="G50" s="8">
        <f>Fleet_Schedule!$I50</f>
        <v>81</v>
      </c>
      <c r="H50" s="10">
        <f>$F50*Assumptions!$B$4</f>
        <v>1380000</v>
      </c>
      <c r="I50" s="10">
        <f>$G50*Assumptions!$B$4</f>
        <v>4860000</v>
      </c>
      <c r="J50" s="16">
        <f>Cash_Flow!$J50</f>
        <v>144028.13272828673</v>
      </c>
      <c r="K50" s="16">
        <f>Cash_Flow!$K50</f>
        <v>360000</v>
      </c>
      <c r="L50" s="16">
        <f>L49+(F50*Assumptions!$B$5)</f>
        <v>23100000</v>
      </c>
      <c r="M50" s="17">
        <f>$M49+Cash_Flow!$E50</f>
        <v>12951400</v>
      </c>
      <c r="N50" s="17">
        <f>$N49+Income_Statement!$M50</f>
        <v>10148600</v>
      </c>
      <c r="O50" s="17">
        <f>IF(Cash_Flow!$F50&lt;=0,0,$O49+(Cash_Flow!$F50+Cash_Flow!$G50))</f>
        <v>253796.48124807744</v>
      </c>
      <c r="P50" s="17">
        <f>Income_Statement!$P50</f>
        <v>96843.765425166042</v>
      </c>
      <c r="Q50" s="17">
        <f>$Q49+Income_Statement!$P50</f>
        <v>3228697.7350366022</v>
      </c>
      <c r="R50" s="17">
        <f>$R49+Income_Statement!$Q50</f>
        <v>6860982.6869527781</v>
      </c>
      <c r="S50" s="17">
        <f>Income_Statement!$R50</f>
        <v>56500</v>
      </c>
      <c r="T50" s="17">
        <f>Income_Statement!$Q50</f>
        <v>205793.00152847782</v>
      </c>
      <c r="U50" s="17">
        <f>$U49+Cash_Flow!$I50</f>
        <v>1797500</v>
      </c>
      <c r="V50" s="17">
        <f>Cash_Flow!$N50</f>
        <v>148605.78371532034</v>
      </c>
      <c r="W50" s="17">
        <f>($W49+Cash_Flow!$J50)-(Cash_Flow!$B50+Cash_Flow!$C50)</f>
        <v>4868605.7837153208</v>
      </c>
    </row>
    <row r="51" spans="1:23" x14ac:dyDescent="0.25">
      <c r="A51" s="9">
        <f>Fleet_Schedule!$B51</f>
        <v>5</v>
      </c>
      <c r="B51" s="9">
        <f>Fleet_Schedule!A51</f>
        <v>49</v>
      </c>
      <c r="C51" s="10">
        <f>IF($A51&gt;1,0,Assumptions!$B$17+IF($B51&gt;4,Assumptions!$B$22,0))</f>
        <v>0</v>
      </c>
      <c r="D51" s="10">
        <f>IF($U51&gt;500000,0,IF($B51&gt;4,(Assumptions!$B$17+Assumptions!$B$22)-$U51,Assumptions!$B$17-$U51))</f>
        <v>0</v>
      </c>
      <c r="E51" s="10">
        <f>Cash_Flow!$P51</f>
        <v>49814.354055681491</v>
      </c>
      <c r="F51" s="8">
        <f>Fleet_Schedule!$G51</f>
        <v>27</v>
      </c>
      <c r="G51" s="8">
        <f>Fleet_Schedule!$I51</f>
        <v>85</v>
      </c>
      <c r="H51" s="10">
        <f>$F51*Assumptions!$B$4</f>
        <v>1620000</v>
      </c>
      <c r="I51" s="10">
        <f>$G51*Assumptions!$B$4</f>
        <v>5100000</v>
      </c>
      <c r="J51" s="16">
        <f>Cash_Flow!$J51</f>
        <v>167863.69307815289</v>
      </c>
      <c r="K51" s="16">
        <f>Cash_Flow!$K51</f>
        <v>0</v>
      </c>
      <c r="L51" s="16">
        <f>L50+(F51*Assumptions!$B$5)</f>
        <v>23910000</v>
      </c>
      <c r="M51" s="17">
        <f>$M50+Cash_Flow!$E51</f>
        <v>13405540</v>
      </c>
      <c r="N51" s="17">
        <f>$N50+Income_Statement!$M51</f>
        <v>10504460</v>
      </c>
      <c r="O51" s="17">
        <f>IF(Cash_Flow!$F51&lt;=0,0,$O50+(Cash_Flow!$F51+Cash_Flow!$G51))</f>
        <v>259564.58309462466</v>
      </c>
      <c r="P51" s="17">
        <f>Income_Statement!$P51</f>
        <v>113728.20507529989</v>
      </c>
      <c r="Q51" s="17">
        <f>$Q50+Income_Statement!$P51</f>
        <v>3342425.9401119021</v>
      </c>
      <c r="R51" s="17">
        <f>$R50+Income_Statement!$Q51</f>
        <v>7102655.1227377905</v>
      </c>
      <c r="S51" s="17">
        <f>Income_Statement!$R51</f>
        <v>68500</v>
      </c>
      <c r="T51" s="17">
        <f>Income_Statement!$Q51</f>
        <v>241672.43578501226</v>
      </c>
      <c r="U51" s="17">
        <f>$U50+Cash_Flow!$I51</f>
        <v>1866000</v>
      </c>
      <c r="V51" s="17">
        <f>Cash_Flow!$N51</f>
        <v>316469.47679347324</v>
      </c>
      <c r="W51" s="17">
        <f>($W50+Cash_Flow!$J51)-(Cash_Flow!$B51+Cash_Flow!$C51)</f>
        <v>5036469.4767934736</v>
      </c>
    </row>
    <row r="52" spans="1:23" x14ac:dyDescent="0.25">
      <c r="A52" s="9">
        <f>Fleet_Schedule!$B52</f>
        <v>5</v>
      </c>
      <c r="B52" s="9">
        <f>Fleet_Schedule!A52</f>
        <v>50</v>
      </c>
      <c r="C52" s="10">
        <f>IF($A52&gt;1,0,Assumptions!$B$17+IF($B52&gt;4,Assumptions!$B$22,0))</f>
        <v>0</v>
      </c>
      <c r="D52" s="10">
        <f>IF($U52&gt;500000,0,IF($B52&gt;4,(Assumptions!$B$17+Assumptions!$B$22)-$U52,Assumptions!$B$17-$U52))</f>
        <v>0</v>
      </c>
      <c r="E52" s="10">
        <f>Cash_Flow!$P52</f>
        <v>44461.371826264956</v>
      </c>
      <c r="F52" s="8">
        <f>Fleet_Schedule!$G52</f>
        <v>23</v>
      </c>
      <c r="G52" s="8">
        <f>Fleet_Schedule!$I52</f>
        <v>85</v>
      </c>
      <c r="H52" s="10">
        <f>$F52*Assumptions!$B$4</f>
        <v>1380000</v>
      </c>
      <c r="I52" s="10">
        <f>$G52*Assumptions!$B$4</f>
        <v>5100000</v>
      </c>
      <c r="J52" s="16">
        <f>Cash_Flow!$J52</f>
        <v>143999.93643093458</v>
      </c>
      <c r="K52" s="16">
        <f>Cash_Flow!$K52</f>
        <v>300000</v>
      </c>
      <c r="L52" s="16">
        <f>L51+(F52*Assumptions!$B$5)</f>
        <v>24600000</v>
      </c>
      <c r="M52" s="17">
        <f>$M51+Cash_Flow!$E52</f>
        <v>13792400</v>
      </c>
      <c r="N52" s="17">
        <f>$N51+Income_Statement!$M52</f>
        <v>10807600</v>
      </c>
      <c r="O52" s="17">
        <f>IF(Cash_Flow!$F52&lt;=0,0,$O51+(Cash_Flow!$F52+Cash_Flow!$G52))</f>
        <v>265332.68494117184</v>
      </c>
      <c r="P52" s="17">
        <f>Income_Statement!$P52</f>
        <v>96871.961722518186</v>
      </c>
      <c r="Q52" s="17">
        <f>$Q51+Income_Statement!$P52</f>
        <v>3439297.9018344204</v>
      </c>
      <c r="R52" s="17">
        <f>$R51+Income_Statement!$Q52</f>
        <v>7308508.0413981415</v>
      </c>
      <c r="S52" s="17">
        <f>Income_Statement!$R52</f>
        <v>56500</v>
      </c>
      <c r="T52" s="17">
        <f>Income_Statement!$Q52</f>
        <v>205852.91866035113</v>
      </c>
      <c r="U52" s="17">
        <f>$U51+Cash_Flow!$I52</f>
        <v>1922500</v>
      </c>
      <c r="V52" s="17">
        <f>Cash_Flow!$N52</f>
        <v>160469.41322440782</v>
      </c>
      <c r="W52" s="17">
        <f>($W51+Cash_Flow!$J52)-(Cash_Flow!$B52+Cash_Flow!$C52)</f>
        <v>5180469.4132244084</v>
      </c>
    </row>
    <row r="53" spans="1:23" x14ac:dyDescent="0.25">
      <c r="A53" s="9">
        <f>Fleet_Schedule!$B53</f>
        <v>5</v>
      </c>
      <c r="B53" s="9">
        <f>Fleet_Schedule!A53</f>
        <v>51</v>
      </c>
      <c r="C53" s="10">
        <f>IF($A53&gt;1,0,Assumptions!$B$17+IF($B53&gt;4,Assumptions!$B$22,0))</f>
        <v>0</v>
      </c>
      <c r="D53" s="10">
        <f>IF($U53&gt;500000,0,IF($B53&gt;4,(Assumptions!$B$17+Assumptions!$B$22)-$U53,Assumptions!$B$17-$U53))</f>
        <v>0</v>
      </c>
      <c r="E53" s="10">
        <f>Cash_Flow!$P53</f>
        <v>39063.781411603282</v>
      </c>
      <c r="F53" s="8">
        <f>Fleet_Schedule!$G53</f>
        <v>29</v>
      </c>
      <c r="G53" s="8">
        <f>Fleet_Schedule!$I53</f>
        <v>91</v>
      </c>
      <c r="H53" s="10">
        <f>$F53*Assumptions!$B$4</f>
        <v>1740000</v>
      </c>
      <c r="I53" s="10">
        <f>$G53*Assumptions!$B$4</f>
        <v>5460000</v>
      </c>
      <c r="J53" s="16">
        <f>Cash_Flow!$J53</f>
        <v>179760.06181165617</v>
      </c>
      <c r="K53" s="16">
        <f>Cash_Flow!$K53</f>
        <v>0</v>
      </c>
      <c r="L53" s="16">
        <f>L52+(F53*Assumptions!$B$5)</f>
        <v>25470000</v>
      </c>
      <c r="M53" s="17">
        <f>$M52+Cash_Flow!$E53</f>
        <v>14280180</v>
      </c>
      <c r="N53" s="17">
        <f>$N52+Income_Statement!$M53</f>
        <v>11189820</v>
      </c>
      <c r="O53" s="17">
        <f>IF(Cash_Flow!$F53&lt;=0,0,$O52+(Cash_Flow!$F53+Cash_Flow!$G53))</f>
        <v>271100.78678771906</v>
      </c>
      <c r="P53" s="17">
        <f>Income_Statement!$P53</f>
        <v>122191.83634179663</v>
      </c>
      <c r="Q53" s="17">
        <f>$Q52+Income_Statement!$P53</f>
        <v>3561489.7381762168</v>
      </c>
      <c r="R53" s="17">
        <f>$R52+Income_Statement!$Q53</f>
        <v>7568165.6936244592</v>
      </c>
      <c r="S53" s="17">
        <f>Income_Statement!$R53</f>
        <v>74500</v>
      </c>
      <c r="T53" s="17">
        <f>Income_Statement!$Q53</f>
        <v>259657.65222631785</v>
      </c>
      <c r="U53" s="17">
        <f>$U52+Cash_Flow!$I53</f>
        <v>1997000</v>
      </c>
      <c r="V53" s="17">
        <f>Cash_Flow!$N53</f>
        <v>340229.47503606399</v>
      </c>
      <c r="W53" s="17">
        <f>($W52+Cash_Flow!$J53)-(Cash_Flow!$B53+Cash_Flow!$C53)</f>
        <v>5360229.4750360642</v>
      </c>
    </row>
    <row r="54" spans="1:23" x14ac:dyDescent="0.25">
      <c r="A54" s="9">
        <f>Fleet_Schedule!$B54</f>
        <v>5</v>
      </c>
      <c r="B54" s="9">
        <f>Fleet_Schedule!A54</f>
        <v>52</v>
      </c>
      <c r="C54" s="10">
        <f>IF($A54&gt;1,0,Assumptions!$B$17+IF($B54&gt;4,Assumptions!$B$22,0))</f>
        <v>0</v>
      </c>
      <c r="D54" s="10">
        <f>IF($U54&gt;500000,0,IF($B54&gt;4,(Assumptions!$B$17+Assumptions!$B$22)-$U54,Assumptions!$B$17-$U54))</f>
        <v>0</v>
      </c>
      <c r="E54" s="10">
        <f>Cash_Flow!$P54</f>
        <v>33621.211076819425</v>
      </c>
      <c r="F54" s="8">
        <f>Fleet_Schedule!$G54</f>
        <v>25</v>
      </c>
      <c r="G54" s="8">
        <f>Fleet_Schedule!$I54</f>
        <v>91</v>
      </c>
      <c r="H54" s="10">
        <f>$F54*Assumptions!$B$4</f>
        <v>1500000</v>
      </c>
      <c r="I54" s="10">
        <f>$G54*Assumptions!$B$4</f>
        <v>5460000</v>
      </c>
      <c r="J54" s="16">
        <f>Cash_Flow!$J54</f>
        <v>155896.06823721706</v>
      </c>
      <c r="K54" s="16">
        <f>Cash_Flow!$K54</f>
        <v>300000</v>
      </c>
      <c r="L54" s="16">
        <f>L53+(F54*Assumptions!$B$5)</f>
        <v>26220000</v>
      </c>
      <c r="M54" s="17">
        <f>$M53+Cash_Flow!$E54</f>
        <v>14700680</v>
      </c>
      <c r="N54" s="17">
        <f>$N53+Income_Statement!$M54</f>
        <v>11519320</v>
      </c>
      <c r="O54" s="17">
        <f>IF(Cash_Flow!$F54&lt;=0,0,$O53+(Cash_Flow!$F54+Cash_Flow!$G54))</f>
        <v>276868.88863426627</v>
      </c>
      <c r="P54" s="17">
        <f>Income_Statement!$P54</f>
        <v>105335.82991623573</v>
      </c>
      <c r="Q54" s="17">
        <f>$Q53+Income_Statement!$P54</f>
        <v>3666825.5680924524</v>
      </c>
      <c r="R54" s="17">
        <f>$R53+Income_Statement!$Q54</f>
        <v>7792004.3321964601</v>
      </c>
      <c r="S54" s="17">
        <f>Income_Statement!$R54</f>
        <v>62500</v>
      </c>
      <c r="T54" s="17">
        <f>Income_Statement!$Q54</f>
        <v>223838.63857200093</v>
      </c>
      <c r="U54" s="17">
        <f>$U53+Cash_Flow!$I54</f>
        <v>2059500</v>
      </c>
      <c r="V54" s="17">
        <f>Cash_Flow!$N54</f>
        <v>196125.54327328104</v>
      </c>
      <c r="W54" s="17">
        <f>($W53+Cash_Flow!$J54)-(Cash_Flow!$B54+Cash_Flow!$C54)</f>
        <v>5516125.5432732813</v>
      </c>
    </row>
    <row r="55" spans="1:23" x14ac:dyDescent="0.25">
      <c r="A55" s="9">
        <f>Fleet_Schedule!$B55</f>
        <v>5</v>
      </c>
      <c r="B55" s="9">
        <f>Fleet_Schedule!A55</f>
        <v>53</v>
      </c>
      <c r="C55" s="10">
        <f>IF($A55&gt;1,0,Assumptions!$B$17+IF($B55&gt;4,Assumptions!$B$22,0))</f>
        <v>0</v>
      </c>
      <c r="D55" s="10">
        <f>IF($U55&gt;500000,0,IF($B55&gt;4,(Assumptions!$B$17+Assumptions!$B$22)-$U55,Assumptions!$B$17-$U55))</f>
        <v>0</v>
      </c>
      <c r="E55" s="10">
        <f>Cash_Flow!$P55</f>
        <v>28133.285989245705</v>
      </c>
      <c r="F55" s="8">
        <f>Fleet_Schedule!$G55</f>
        <v>30</v>
      </c>
      <c r="G55" s="8">
        <f>Fleet_Schedule!$I55</f>
        <v>96</v>
      </c>
      <c r="H55" s="10">
        <f>$F55*Assumptions!$B$4</f>
        <v>1800000</v>
      </c>
      <c r="I55" s="10">
        <f>$G55*Assumptions!$B$4</f>
        <v>5760000</v>
      </c>
      <c r="J55" s="16">
        <f>Cash_Flow!$J55</f>
        <v>185693.55471632432</v>
      </c>
      <c r="K55" s="16">
        <f>Cash_Flow!$K55</f>
        <v>0</v>
      </c>
      <c r="L55" s="16">
        <f>L54+(F55*Assumptions!$B$5)</f>
        <v>27120000</v>
      </c>
      <c r="M55" s="17">
        <f>$M54+Cash_Flow!$E55</f>
        <v>15205280</v>
      </c>
      <c r="N55" s="17">
        <f>$N54+Income_Statement!$M55</f>
        <v>11914720</v>
      </c>
      <c r="O55" s="17">
        <f>IF(Cash_Flow!$F55&lt;=0,0,$O54+(Cash_Flow!$F55+Cash_Flow!$G55))</f>
        <v>282636.99048081349</v>
      </c>
      <c r="P55" s="17">
        <f>Income_Statement!$P55</f>
        <v>126438.34343712848</v>
      </c>
      <c r="Q55" s="17">
        <f>$Q54+Income_Statement!$P55</f>
        <v>3793263.9115295811</v>
      </c>
      <c r="R55" s="17">
        <f>$R54+Income_Statement!$Q55</f>
        <v>8060685.8120003585</v>
      </c>
      <c r="S55" s="17">
        <f>Income_Statement!$R55</f>
        <v>77500</v>
      </c>
      <c r="T55" s="17">
        <f>Income_Statement!$Q55</f>
        <v>268681.47980389802</v>
      </c>
      <c r="U55" s="17">
        <f>$U54+Cash_Flow!$I55</f>
        <v>2137000</v>
      </c>
      <c r="V55" s="17">
        <f>Cash_Flow!$N55</f>
        <v>381819.09798960539</v>
      </c>
      <c r="W55" s="17">
        <f>($W54+Cash_Flow!$J55)-(Cash_Flow!$B55+Cash_Flow!$C55)</f>
        <v>5701819.0979896057</v>
      </c>
    </row>
    <row r="56" spans="1:23" x14ac:dyDescent="0.25">
      <c r="A56" s="9">
        <f>Fleet_Schedule!$B56</f>
        <v>5</v>
      </c>
      <c r="B56" s="9">
        <f>Fleet_Schedule!A56</f>
        <v>54</v>
      </c>
      <c r="C56" s="10">
        <f>IF($A56&gt;1,0,Assumptions!$B$17+IF($B56&gt;4,Assumptions!$B$22,0))</f>
        <v>0</v>
      </c>
      <c r="D56" s="10">
        <f>IF($U56&gt;500000,0,IF($B56&gt;4,(Assumptions!$B$17+Assumptions!$B$22)-$U56,Assumptions!$B$17-$U56))</f>
        <v>0</v>
      </c>
      <c r="E56" s="10">
        <f>Cash_Flow!$P56</f>
        <v>22599.62819260887</v>
      </c>
      <c r="F56" s="8">
        <f>Fleet_Schedule!$G56</f>
        <v>25</v>
      </c>
      <c r="G56" s="8">
        <f>Fleet_Schedule!$I56</f>
        <v>96</v>
      </c>
      <c r="H56" s="10">
        <f>$F56*Assumptions!$B$4</f>
        <v>1500000</v>
      </c>
      <c r="I56" s="10">
        <f>$G56*Assumptions!$B$4</f>
        <v>5760000</v>
      </c>
      <c r="J56" s="16">
        <f>Cash_Flow!$J56</f>
        <v>155866.92024942412</v>
      </c>
      <c r="K56" s="16">
        <f>Cash_Flow!$K56</f>
        <v>360000</v>
      </c>
      <c r="L56" s="16">
        <f>L55+(F56*Assumptions!$B$5)</f>
        <v>27870000</v>
      </c>
      <c r="M56" s="17">
        <f>$M55+Cash_Flow!$E56</f>
        <v>15625780</v>
      </c>
      <c r="N56" s="17">
        <f>$N55+Income_Statement!$M56</f>
        <v>12244220</v>
      </c>
      <c r="O56" s="17">
        <f>IF(Cash_Flow!$F56&lt;=0,0,$O55+(Cash_Flow!$F56+Cash_Flow!$G56))</f>
        <v>288405.0923273607</v>
      </c>
      <c r="P56" s="17">
        <f>Income_Statement!$P56</f>
        <v>105364.97790402867</v>
      </c>
      <c r="Q56" s="17">
        <f>$Q55+Income_Statement!$P56</f>
        <v>3898628.8894336098</v>
      </c>
      <c r="R56" s="17">
        <f>$R55+Income_Statement!$Q56</f>
        <v>8284586.3900464196</v>
      </c>
      <c r="S56" s="17">
        <f>Income_Statement!$R56</f>
        <v>62500</v>
      </c>
      <c r="T56" s="17">
        <f>Income_Statement!$Q56</f>
        <v>223900.57804606092</v>
      </c>
      <c r="U56" s="17">
        <f>$U55+Cash_Flow!$I56</f>
        <v>2199500</v>
      </c>
      <c r="V56" s="17">
        <f>Cash_Flow!$N56</f>
        <v>177686.01823902951</v>
      </c>
      <c r="W56" s="17">
        <f>($W55+Cash_Flow!$J56)-(Cash_Flow!$B56+Cash_Flow!$C56)</f>
        <v>5857686.0182390297</v>
      </c>
    </row>
    <row r="57" spans="1:23" x14ac:dyDescent="0.25">
      <c r="A57" s="9">
        <f>Fleet_Schedule!$B57</f>
        <v>5</v>
      </c>
      <c r="B57" s="9">
        <f>Fleet_Schedule!A57</f>
        <v>55</v>
      </c>
      <c r="C57" s="10">
        <f>IF($A57&gt;1,0,Assumptions!$B$17+IF($B57&gt;4,Assumptions!$B$22,0))</f>
        <v>0</v>
      </c>
      <c r="D57" s="10">
        <f>IF($U57&gt;500000,0,IF($B57&gt;4,(Assumptions!$B$17+Assumptions!$B$22)-$U57,Assumptions!$B$17-$U57))</f>
        <v>0</v>
      </c>
      <c r="E57" s="10">
        <f>Cash_Flow!$P57</f>
        <v>17019.856581000065</v>
      </c>
      <c r="F57" s="8">
        <f>Fleet_Schedule!$G57</f>
        <v>30</v>
      </c>
      <c r="G57" s="8">
        <f>Fleet_Schedule!$I57</f>
        <v>101</v>
      </c>
      <c r="H57" s="10">
        <f>$F57*Assumptions!$B$4</f>
        <v>1800000</v>
      </c>
      <c r="I57" s="10">
        <f>$G57*Assumptions!$B$4</f>
        <v>6060000</v>
      </c>
      <c r="J57" s="16">
        <f>Cash_Flow!$J57</f>
        <v>185664.16382863309</v>
      </c>
      <c r="K57" s="16">
        <f>Cash_Flow!$K57</f>
        <v>0</v>
      </c>
      <c r="L57" s="16">
        <f>L56+(F57*Assumptions!$B$5)</f>
        <v>28770000</v>
      </c>
      <c r="M57" s="17">
        <f>$M56+Cash_Flow!$E57</f>
        <v>16130380</v>
      </c>
      <c r="N57" s="17">
        <f>$N56+Income_Statement!$M57</f>
        <v>12639620</v>
      </c>
      <c r="O57" s="17">
        <f>IF(Cash_Flow!$F57&lt;=0,0,$O56+(Cash_Flow!$F57+Cash_Flow!$G57))</f>
        <v>294173.19417390792</v>
      </c>
      <c r="P57" s="17">
        <f>Income_Statement!$P57</f>
        <v>126467.73432481971</v>
      </c>
      <c r="Q57" s="17">
        <f>$Q56+Income_Statement!$P57</f>
        <v>4025096.6237584297</v>
      </c>
      <c r="R57" s="17">
        <f>$R56+Income_Statement!$Q57</f>
        <v>8553330.3254866619</v>
      </c>
      <c r="S57" s="17">
        <f>Income_Statement!$R57</f>
        <v>77500</v>
      </c>
      <c r="T57" s="17">
        <f>Income_Statement!$Q57</f>
        <v>268743.93544024188</v>
      </c>
      <c r="U57" s="17">
        <f>$U56+Cash_Flow!$I57</f>
        <v>2277000</v>
      </c>
      <c r="V57" s="17">
        <f>Cash_Flow!$N57</f>
        <v>363350.18206766259</v>
      </c>
      <c r="W57" s="17">
        <f>($W56+Cash_Flow!$J57)-(Cash_Flow!$B57+Cash_Flow!$C57)</f>
        <v>6043350.1820676625</v>
      </c>
    </row>
    <row r="58" spans="1:23" x14ac:dyDescent="0.25">
      <c r="A58" s="9">
        <f>Fleet_Schedule!$B58</f>
        <v>5</v>
      </c>
      <c r="B58" s="9">
        <f>Fleet_Schedule!A58</f>
        <v>56</v>
      </c>
      <c r="C58" s="10">
        <f>IF($A58&gt;1,0,Assumptions!$B$17+IF($B58&gt;4,Assumptions!$B$22,0))</f>
        <v>0</v>
      </c>
      <c r="D58" s="10">
        <f>IF($U58&gt;500000,0,IF($B58&gt;4,(Assumptions!$B$17+Assumptions!$B$22)-$U58,Assumptions!$B$17-$U58))</f>
        <v>0</v>
      </c>
      <c r="E58" s="10">
        <f>Cash_Flow!$P58</f>
        <v>11393.586872627851</v>
      </c>
      <c r="F58" s="8">
        <f>Fleet_Schedule!$G58</f>
        <v>25</v>
      </c>
      <c r="G58" s="8">
        <f>Fleet_Schedule!$I58</f>
        <v>101</v>
      </c>
      <c r="H58" s="10">
        <f>$F58*Assumptions!$B$4</f>
        <v>1500000</v>
      </c>
      <c r="I58" s="10">
        <f>$G58*Assumptions!$B$4</f>
        <v>6060000</v>
      </c>
      <c r="J58" s="16">
        <f>Cash_Flow!$J58</f>
        <v>155837.2844376688</v>
      </c>
      <c r="K58" s="16">
        <f>Cash_Flow!$K58</f>
        <v>360000</v>
      </c>
      <c r="L58" s="16">
        <f>L57+(F58*Assumptions!$B$5)</f>
        <v>29520000</v>
      </c>
      <c r="M58" s="17">
        <f>$M57+Cash_Flow!$E58</f>
        <v>16550880</v>
      </c>
      <c r="N58" s="17">
        <f>$N57+Income_Statement!$M58</f>
        <v>12969120</v>
      </c>
      <c r="O58" s="17">
        <f>IF(Cash_Flow!$F58&lt;=0,0,$O57+(Cash_Flow!$F58+Cash_Flow!$G58))</f>
        <v>299941.29602045513</v>
      </c>
      <c r="P58" s="17">
        <f>Income_Statement!$P58</f>
        <v>105394.613715784</v>
      </c>
      <c r="Q58" s="17">
        <f>$Q57+Income_Statement!$P58</f>
        <v>4130491.2374742138</v>
      </c>
      <c r="R58" s="17">
        <f>$R57+Income_Statement!$Q58</f>
        <v>8777293.8796327021</v>
      </c>
      <c r="S58" s="17">
        <f>Income_Statement!$R58</f>
        <v>62500</v>
      </c>
      <c r="T58" s="17">
        <f>Income_Statement!$Q58</f>
        <v>223963.55414604099</v>
      </c>
      <c r="U58" s="17">
        <f>$U57+Cash_Flow!$I58</f>
        <v>2339500</v>
      </c>
      <c r="V58" s="17">
        <f>Cash_Flow!$N58</f>
        <v>159187.46650533139</v>
      </c>
      <c r="W58" s="17">
        <f>($W57+Cash_Flow!$J58)-(Cash_Flow!$B58+Cash_Flow!$C58)</f>
        <v>6199187.466505331</v>
      </c>
    </row>
    <row r="59" spans="1:23" x14ac:dyDescent="0.25">
      <c r="A59" s="9">
        <f>Fleet_Schedule!$B59</f>
        <v>5</v>
      </c>
      <c r="B59" s="9">
        <f>Fleet_Schedule!A59</f>
        <v>57</v>
      </c>
      <c r="C59" s="10">
        <f>IF($A59&gt;1,0,Assumptions!$B$17+IF($B59&gt;4,Assumptions!$B$22,0))</f>
        <v>0</v>
      </c>
      <c r="D59" s="10">
        <f>IF($U59&gt;500000,0,IF($B59&gt;4,(Assumptions!$B$17+Assumptions!$B$22)-$U59,Assumptions!$B$17-$U59))</f>
        <v>0</v>
      </c>
      <c r="E59" s="10">
        <f>Cash_Flow!$P59</f>
        <v>5720.4315833525361</v>
      </c>
      <c r="F59" s="8">
        <f>Fleet_Schedule!$G59</f>
        <v>31</v>
      </c>
      <c r="G59" s="8">
        <f>Fleet_Schedule!$I59</f>
        <v>107</v>
      </c>
      <c r="H59" s="10">
        <f>$F59*Assumptions!$B$4</f>
        <v>1860000</v>
      </c>
      <c r="I59" s="10">
        <f>$G59*Assumptions!$B$4</f>
        <v>6420000</v>
      </c>
      <c r="J59" s="16">
        <f>Cash_Flow!$J59</f>
        <v>191596.68105177977</v>
      </c>
      <c r="K59" s="16">
        <f>Cash_Flow!$K59</f>
        <v>0</v>
      </c>
      <c r="L59" s="16">
        <f>L58+(F59*Assumptions!$B$5)</f>
        <v>30450000</v>
      </c>
      <c r="M59" s="17">
        <f>$M58+Cash_Flow!$E59</f>
        <v>17072300</v>
      </c>
      <c r="N59" s="17">
        <f>$N58+Income_Statement!$M59</f>
        <v>13377700</v>
      </c>
      <c r="O59" s="17">
        <f>IF(Cash_Flow!$F59&lt;=0,0,$O58+(Cash_Flow!$F59+Cash_Flow!$G59))</f>
        <v>305709.39786700235</v>
      </c>
      <c r="P59" s="17">
        <f>Income_Statement!$P59</f>
        <v>130715.217101673</v>
      </c>
      <c r="Q59" s="17">
        <f>$Q58+Income_Statement!$P59</f>
        <v>4261206.4545758869</v>
      </c>
      <c r="R59" s="17">
        <f>$R58+Income_Statement!$Q59</f>
        <v>9055063.7159737572</v>
      </c>
      <c r="S59" s="17">
        <f>Income_Statement!$R59</f>
        <v>80500</v>
      </c>
      <c r="T59" s="17">
        <f>Income_Statement!$Q59</f>
        <v>277769.83634105511</v>
      </c>
      <c r="U59" s="17">
        <f>$U58+Cash_Flow!$I59</f>
        <v>2420000</v>
      </c>
      <c r="V59" s="17">
        <f>Cash_Flow!$N59</f>
        <v>350784.14755711117</v>
      </c>
      <c r="W59" s="17">
        <f>($W58+Cash_Flow!$J59)-(Cash_Flow!$B59+Cash_Flow!$C59)</f>
        <v>6390784.1475571105</v>
      </c>
    </row>
    <row r="60" spans="1:23" x14ac:dyDescent="0.25">
      <c r="A60" s="9">
        <f>Fleet_Schedule!$B60</f>
        <v>5</v>
      </c>
      <c r="B60" s="9">
        <f>Fleet_Schedule!A60</f>
        <v>58</v>
      </c>
      <c r="C60" s="10">
        <f>IF($A60&gt;1,0,Assumptions!$B$17+IF($B60&gt;4,Assumptions!$B$22,0))</f>
        <v>0</v>
      </c>
      <c r="D60" s="10">
        <f>IF($U60&gt;500000,0,IF($B60&gt;4,(Assumptions!$B$17+Assumptions!$B$22)-$U60,Assumptions!$B$17-$U60))</f>
        <v>0</v>
      </c>
      <c r="E60" s="10">
        <f>Cash_Flow!$P60</f>
        <v>0</v>
      </c>
      <c r="F60" s="8">
        <f>Fleet_Schedule!$G60</f>
        <v>26</v>
      </c>
      <c r="G60" s="8">
        <f>Fleet_Schedule!$I60</f>
        <v>107</v>
      </c>
      <c r="H60" s="10">
        <f>$F60*Assumptions!$B$4</f>
        <v>1560000</v>
      </c>
      <c r="I60" s="10">
        <f>$G60*Assumptions!$B$4</f>
        <v>6420000</v>
      </c>
      <c r="J60" s="16">
        <f>Cash_Flow!$J60</f>
        <v>161769.55263767511</v>
      </c>
      <c r="K60" s="16">
        <f>Cash_Flow!$K60</f>
        <v>300000</v>
      </c>
      <c r="L60" s="16">
        <f>L59+(F60*Assumptions!$B$5)</f>
        <v>31230000</v>
      </c>
      <c r="M60" s="17">
        <f>$M59+Cash_Flow!$E60</f>
        <v>17509620</v>
      </c>
      <c r="N60" s="17">
        <f>$N59+Income_Statement!$M60</f>
        <v>13720380</v>
      </c>
      <c r="O60" s="17">
        <f>IF(Cash_Flow!$F60&lt;=0,0,$O59+(Cash_Flow!$F60+Cash_Flow!$G60))</f>
        <v>311477.49971354951</v>
      </c>
      <c r="P60" s="17">
        <f>Income_Statement!$P60</f>
        <v>109642.34551577774</v>
      </c>
      <c r="Q60" s="17">
        <f>$Q59+Income_Statement!$P60</f>
        <v>4370848.8000916643</v>
      </c>
      <c r="R60" s="17">
        <f>$R59+Income_Statement!$Q60</f>
        <v>9288053.7001947854</v>
      </c>
      <c r="S60" s="17">
        <f>Income_Statement!$R60</f>
        <v>65500</v>
      </c>
      <c r="T60" s="17">
        <f>Income_Statement!$Q60</f>
        <v>232989.98422102767</v>
      </c>
      <c r="U60" s="17">
        <f>$U59+Cash_Flow!$I60</f>
        <v>2485500</v>
      </c>
      <c r="V60" s="17">
        <f>Cash_Flow!$N60</f>
        <v>212553.70019478627</v>
      </c>
      <c r="W60" s="17">
        <f>($W59+Cash_Flow!$J60)-(Cash_Flow!$B60+Cash_Flow!$C60)</f>
        <v>6552553.7001947854</v>
      </c>
    </row>
    <row r="61" spans="1:23" x14ac:dyDescent="0.25">
      <c r="A61" s="9">
        <f>Fleet_Schedule!$B61</f>
        <v>5</v>
      </c>
      <c r="B61" s="9">
        <f>Fleet_Schedule!A61</f>
        <v>59</v>
      </c>
      <c r="C61" s="10">
        <f>IF($A61&gt;1,0,Assumptions!$B$17+IF($B61&gt;4,Assumptions!$B$22,0))</f>
        <v>0</v>
      </c>
      <c r="D61" s="10">
        <f>IF($U61&gt;500000,0,IF($B61&gt;4,(Assumptions!$B$17+Assumptions!$B$22)-$U61,Assumptions!$B$17-$U61))</f>
        <v>0</v>
      </c>
      <c r="E61" s="10">
        <f>Cash_Flow!$P61</f>
        <v>0</v>
      </c>
      <c r="F61" s="8">
        <f>Fleet_Schedule!$G61</f>
        <v>32</v>
      </c>
      <c r="G61" s="8">
        <f>Fleet_Schedule!$I61</f>
        <v>113</v>
      </c>
      <c r="H61" s="10">
        <f>$F61*Assumptions!$B$4</f>
        <v>1920000</v>
      </c>
      <c r="I61" s="10">
        <f>$G61*Assumptions!$B$4</f>
        <v>6780000</v>
      </c>
      <c r="J61" s="16">
        <f>Cash_Flow!$J61</f>
        <v>203296.8</v>
      </c>
      <c r="K61" s="16">
        <f>Cash_Flow!$K61</f>
        <v>0</v>
      </c>
      <c r="L61" s="16">
        <f>L60+(F61*Assumptions!$B$5)</f>
        <v>32190000</v>
      </c>
      <c r="M61" s="17">
        <f>$M60+Cash_Flow!$E61</f>
        <v>18047860</v>
      </c>
      <c r="N61" s="17">
        <f>$N60+Income_Statement!$M61</f>
        <v>14142140</v>
      </c>
      <c r="O61" s="17">
        <f>IF(Cash_Flow!$F61&lt;=0,0,$O60+(Cash_Flow!$F61+Cash_Flow!$G61))</f>
        <v>0</v>
      </c>
      <c r="P61" s="17">
        <f>Income_Statement!$P61</f>
        <v>134963.20000000001</v>
      </c>
      <c r="Q61" s="17">
        <f>$Q60+Income_Statement!$P61</f>
        <v>4505812.0000916645</v>
      </c>
      <c r="R61" s="17">
        <f>$R60+Income_Statement!$Q61</f>
        <v>9574850.5001947861</v>
      </c>
      <c r="S61" s="17">
        <f>Income_Statement!$R61</f>
        <v>83500</v>
      </c>
      <c r="T61" s="17">
        <f>Income_Statement!$Q61</f>
        <v>286796.79999999999</v>
      </c>
      <c r="U61" s="17">
        <f>$U60+Cash_Flow!$I61</f>
        <v>2569000</v>
      </c>
      <c r="V61" s="17">
        <f>Cash_Flow!$N61</f>
        <v>415850.50019478623</v>
      </c>
      <c r="W61" s="17">
        <f>($W60+Cash_Flow!$J61)-(Cash_Flow!$B61+Cash_Flow!$C61)</f>
        <v>6755850.5001947852</v>
      </c>
    </row>
    <row r="62" spans="1:23" x14ac:dyDescent="0.25">
      <c r="A62" s="9">
        <f>Fleet_Schedule!$B62</f>
        <v>5</v>
      </c>
      <c r="B62" s="9">
        <f>Fleet_Schedule!A62</f>
        <v>60</v>
      </c>
      <c r="C62" s="10">
        <f>IF($A62&gt;1,0,Assumptions!$B$17+IF($B62&gt;4,Assumptions!$B$22,0))</f>
        <v>0</v>
      </c>
      <c r="D62" s="10">
        <f>IF($U62&gt;500000,0,IF($B62&gt;4,(Assumptions!$B$17+Assumptions!$B$22)-$U62,Assumptions!$B$17-$U62))</f>
        <v>0</v>
      </c>
      <c r="E62" s="10">
        <f>Cash_Flow!$P62</f>
        <v>0</v>
      </c>
      <c r="F62" s="8">
        <f>Fleet_Schedule!$G62</f>
        <v>28</v>
      </c>
      <c r="G62" s="8">
        <f>Fleet_Schedule!$I62</f>
        <v>113</v>
      </c>
      <c r="H62" s="10">
        <f>$F62*Assumptions!$B$4</f>
        <v>1680000</v>
      </c>
      <c r="I62" s="10">
        <f>$G62*Assumptions!$B$4</f>
        <v>6780000</v>
      </c>
      <c r="J62" s="16">
        <f>Cash_Flow!$J62</f>
        <v>179447.2</v>
      </c>
      <c r="K62" s="16">
        <f>Cash_Flow!$K62</f>
        <v>360000</v>
      </c>
      <c r="L62" s="16">
        <f>L61+(F62*Assumptions!$B$5)</f>
        <v>33030000</v>
      </c>
      <c r="M62" s="17">
        <f>$M61+Cash_Flow!$E62</f>
        <v>18518820</v>
      </c>
      <c r="N62" s="17">
        <f>$N61+Income_Statement!$M62</f>
        <v>14511180</v>
      </c>
      <c r="O62" s="17">
        <f>IF(Cash_Flow!$F62&lt;=0,0,$O61+(Cash_Flow!$F62+Cash_Flow!$G62))</f>
        <v>0</v>
      </c>
      <c r="P62" s="17">
        <f>Income_Statement!$P62</f>
        <v>118092.8</v>
      </c>
      <c r="Q62" s="17">
        <f>$Q61+Income_Statement!$P62</f>
        <v>4623904.8000916643</v>
      </c>
      <c r="R62" s="17">
        <f>$R61+Income_Statement!$Q62</f>
        <v>9825797.7001947854</v>
      </c>
      <c r="S62" s="17">
        <f>Income_Statement!$R62</f>
        <v>71500</v>
      </c>
      <c r="T62" s="17">
        <f>Income_Statement!$Q62</f>
        <v>250947.20000000001</v>
      </c>
      <c r="U62" s="17">
        <f>$U61+Cash_Flow!$I62</f>
        <v>2640500</v>
      </c>
      <c r="V62" s="17">
        <f>Cash_Flow!$N62</f>
        <v>235297.70019478624</v>
      </c>
      <c r="W62" s="17">
        <f>($W61+Cash_Flow!$J62)-(Cash_Flow!$B62+Cash_Flow!$C62)</f>
        <v>6935297.7001947854</v>
      </c>
    </row>
  </sheetData>
  <mergeCells count="1">
    <mergeCell ref="B1:H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8"/>
  <sheetViews>
    <sheetView zoomScale="160" zoomScaleNormal="160" workbookViewId="0">
      <pane ySplit="4" topLeftCell="A5" activePane="bottomLeft" state="frozen"/>
      <selection pane="bottomLeft" activeCell="D9" sqref="D9"/>
    </sheetView>
  </sheetViews>
  <sheetFormatPr defaultColWidth="8.7109375" defaultRowHeight="15" customHeight="1" x14ac:dyDescent="0.25"/>
  <cols>
    <col min="1" max="1" width="12" customWidth="1"/>
    <col min="2" max="2" width="18" customWidth="1"/>
    <col min="3" max="5" width="14" customWidth="1"/>
    <col min="6" max="6" width="18" customWidth="1"/>
  </cols>
  <sheetData>
    <row r="1" spans="1:6" ht="18.75" x14ac:dyDescent="0.3">
      <c r="A1" s="20" t="s">
        <v>87</v>
      </c>
      <c r="B1" s="20"/>
      <c r="C1" s="20"/>
      <c r="D1" s="20"/>
      <c r="E1" s="20"/>
      <c r="F1" s="20"/>
    </row>
    <row r="2" spans="1:6" ht="28.35" customHeight="1" x14ac:dyDescent="0.25">
      <c r="A2" s="22" t="s">
        <v>88</v>
      </c>
      <c r="B2" s="22"/>
      <c r="C2" s="22"/>
      <c r="D2" s="22"/>
      <c r="E2" s="22"/>
      <c r="F2" s="22"/>
    </row>
    <row r="4" spans="1:6" x14ac:dyDescent="0.25">
      <c r="A4" s="2" t="s">
        <v>89</v>
      </c>
      <c r="B4" s="2" t="s">
        <v>90</v>
      </c>
      <c r="C4" s="2" t="s">
        <v>62</v>
      </c>
      <c r="D4" s="2" t="s">
        <v>91</v>
      </c>
      <c r="E4" s="2" t="s">
        <v>92</v>
      </c>
      <c r="F4" s="2" t="s">
        <v>93</v>
      </c>
    </row>
    <row r="5" spans="1:6" x14ac:dyDescent="0.25">
      <c r="A5" s="8">
        <f t="shared" ref="A5:A36" si="0">ROW()-4</f>
        <v>1</v>
      </c>
      <c r="B5" s="10">
        <f>INDEX(Cash_Flow!$O$3:$O$62,MATCH(Assumptions!$B$28+A5-1,Cash_Flow!$A$3:$A$62,0))+INDEX(Cash_Flow!$C$3:$C$62,MATCH(Assumptions!$B$28+A5-1,Cash_Flow!$A$3:$A$62,0))</f>
        <v>250000</v>
      </c>
      <c r="C5" s="10">
        <f>INDEX(Cash_Flow!$F$3:$F$62,MATCH(Assumptions!$B$28+A5-1,Cash_Flow!$A$3:$A$62,0))</f>
        <v>2083.3333333333335</v>
      </c>
      <c r="D5" s="10">
        <f>INDEX(Cash_Flow!$G$3:$G$62,MATCH(Assumptions!$B$28+A5-1,Cash_Flow!$A$3:$A$62,0))</f>
        <v>3684.7685132138809</v>
      </c>
      <c r="E5" s="10">
        <f t="shared" ref="E5:E36" si="1">C5+D5</f>
        <v>5768.1018465472143</v>
      </c>
      <c r="F5" s="10">
        <f>INDEX(Cash_Flow!$P$3:$P$62,MATCH(Assumptions!$B$28+A5-1,Cash_Flow!$A$3:$A$62,0))</f>
        <v>246315.23148678613</v>
      </c>
    </row>
    <row r="6" spans="1:6" x14ac:dyDescent="0.25">
      <c r="A6" s="8">
        <f t="shared" si="0"/>
        <v>2</v>
      </c>
      <c r="B6" s="10">
        <f>INDEX(Cash_Flow!$O$3:$O$62,MATCH(Assumptions!$B$28+A6-1,Cash_Flow!$A$3:$A$62,0))+INDEX(Cash_Flow!$C$3:$C$62,MATCH(Assumptions!$B$28+A6-1,Cash_Flow!$A$3:$A$62,0))</f>
        <v>246315.23148678613</v>
      </c>
      <c r="C6" s="10">
        <f>INDEX(Cash_Flow!$F$3:$F$62,MATCH(Assumptions!$B$28+A6-1,Cash_Flow!$A$3:$A$62,0))</f>
        <v>2052.626929056551</v>
      </c>
      <c r="D6" s="10">
        <f>INDEX(Cash_Flow!$G$3:$G$62,MATCH(Assumptions!$B$28+A6-1,Cash_Flow!$A$3:$A$62,0))</f>
        <v>3715.4749174906633</v>
      </c>
      <c r="E6" s="10">
        <f t="shared" si="1"/>
        <v>5768.1018465472143</v>
      </c>
      <c r="F6" s="10">
        <f>INDEX(Cash_Flow!$P$3:$P$62,MATCH(Assumptions!$B$28+A6-1,Cash_Flow!$A$3:$A$62,0))</f>
        <v>242599.75656929545</v>
      </c>
    </row>
    <row r="7" spans="1:6" x14ac:dyDescent="0.25">
      <c r="A7" s="8">
        <f t="shared" si="0"/>
        <v>3</v>
      </c>
      <c r="B7" s="10">
        <f>INDEX(Cash_Flow!$O$3:$O$62,MATCH(Assumptions!$B$28+A7-1,Cash_Flow!$A$3:$A$62,0))+INDEX(Cash_Flow!$C$3:$C$62,MATCH(Assumptions!$B$28+A7-1,Cash_Flow!$A$3:$A$62,0))</f>
        <v>242599.75656929545</v>
      </c>
      <c r="C7" s="10">
        <f>INDEX(Cash_Flow!$F$3:$F$62,MATCH(Assumptions!$B$28+A7-1,Cash_Flow!$A$3:$A$62,0))</f>
        <v>2021.6646380774621</v>
      </c>
      <c r="D7" s="10">
        <f>INDEX(Cash_Flow!$G$3:$G$62,MATCH(Assumptions!$B$28+A7-1,Cash_Flow!$A$3:$A$62,0))</f>
        <v>3746.4372084697525</v>
      </c>
      <c r="E7" s="10">
        <f t="shared" si="1"/>
        <v>5768.1018465472143</v>
      </c>
      <c r="F7" s="10">
        <f>INDEX(Cash_Flow!$P$3:$P$62,MATCH(Assumptions!$B$28+A7-1,Cash_Flow!$A$3:$A$62,0))</f>
        <v>238853.3193608257</v>
      </c>
    </row>
    <row r="8" spans="1:6" x14ac:dyDescent="0.25">
      <c r="A8" s="8">
        <f t="shared" si="0"/>
        <v>4</v>
      </c>
      <c r="B8" s="10">
        <f>INDEX(Cash_Flow!$O$3:$O$62,MATCH(Assumptions!$B$28+A8-1,Cash_Flow!$A$3:$A$62,0))+INDEX(Cash_Flow!$C$3:$C$62,MATCH(Assumptions!$B$28+A8-1,Cash_Flow!$A$3:$A$62,0))</f>
        <v>238853.3193608257</v>
      </c>
      <c r="C8" s="10">
        <f>INDEX(Cash_Flow!$F$3:$F$62,MATCH(Assumptions!$B$28+A8-1,Cash_Flow!$A$3:$A$62,0))</f>
        <v>1990.4443280068808</v>
      </c>
      <c r="D8" s="10">
        <f>INDEX(Cash_Flow!$G$3:$G$62,MATCH(Assumptions!$B$28+A8-1,Cash_Flow!$A$3:$A$62,0))</f>
        <v>3777.6575185403335</v>
      </c>
      <c r="E8" s="10">
        <f t="shared" si="1"/>
        <v>5768.1018465472143</v>
      </c>
      <c r="F8" s="10">
        <f>INDEX(Cash_Flow!$P$3:$P$62,MATCH(Assumptions!$B$28+A8-1,Cash_Flow!$A$3:$A$62,0))</f>
        <v>235075.66184228536</v>
      </c>
    </row>
    <row r="9" spans="1:6" x14ac:dyDescent="0.25">
      <c r="A9" s="8">
        <f t="shared" si="0"/>
        <v>5</v>
      </c>
      <c r="B9" s="10">
        <f>INDEX(Cash_Flow!$O$3:$O$62,MATCH(Assumptions!$B$28+A9-1,Cash_Flow!$A$3:$A$62,0))+INDEX(Cash_Flow!$C$3:$C$62,MATCH(Assumptions!$B$28+A9-1,Cash_Flow!$A$3:$A$62,0))</f>
        <v>235075.66184228536</v>
      </c>
      <c r="C9" s="10">
        <f>INDEX(Cash_Flow!$F$3:$F$62,MATCH(Assumptions!$B$28+A9-1,Cash_Flow!$A$3:$A$62,0))</f>
        <v>1958.9638486857114</v>
      </c>
      <c r="D9" s="10">
        <f>INDEX(Cash_Flow!$G$3:$G$62,MATCH(Assumptions!$B$28+A9-1,Cash_Flow!$A$3:$A$62,0))</f>
        <v>3809.1379978615032</v>
      </c>
      <c r="E9" s="10">
        <f t="shared" si="1"/>
        <v>5768.1018465472143</v>
      </c>
      <c r="F9" s="10">
        <f>INDEX(Cash_Flow!$P$3:$P$62,MATCH(Assumptions!$B$28+A9-1,Cash_Flow!$A$3:$A$62,0))</f>
        <v>231266.52384442385</v>
      </c>
    </row>
    <row r="10" spans="1:6" x14ac:dyDescent="0.25">
      <c r="A10" s="8">
        <f t="shared" si="0"/>
        <v>6</v>
      </c>
      <c r="B10" s="10">
        <f>INDEX(Cash_Flow!$O$3:$O$62,MATCH(Assumptions!$B$28+A10-1,Cash_Flow!$A$3:$A$62,0))+INDEX(Cash_Flow!$C$3:$C$62,MATCH(Assumptions!$B$28+A10-1,Cash_Flow!$A$3:$A$62,0))</f>
        <v>231266.52384442385</v>
      </c>
      <c r="C10" s="10">
        <f>INDEX(Cash_Flow!$F$3:$F$62,MATCH(Assumptions!$B$28+A10-1,Cash_Flow!$A$3:$A$62,0))</f>
        <v>1927.2210320368654</v>
      </c>
      <c r="D10" s="10">
        <f>INDEX(Cash_Flow!$G$3:$G$62,MATCH(Assumptions!$B$28+A10-1,Cash_Flow!$A$3:$A$62,0))</f>
        <v>3840.880814510349</v>
      </c>
      <c r="E10" s="10">
        <f t="shared" si="1"/>
        <v>5768.1018465472143</v>
      </c>
      <c r="F10" s="10">
        <f>INDEX(Cash_Flow!$P$3:$P$62,MATCH(Assumptions!$B$28+A10-1,Cash_Flow!$A$3:$A$62,0))</f>
        <v>227425.64302991351</v>
      </c>
    </row>
    <row r="11" spans="1:6" x14ac:dyDescent="0.25">
      <c r="A11" s="8">
        <f t="shared" si="0"/>
        <v>7</v>
      </c>
      <c r="B11" s="10">
        <f>INDEX(Cash_Flow!$O$3:$O$62,MATCH(Assumptions!$B$28+A11-1,Cash_Flow!$A$3:$A$62,0))+INDEX(Cash_Flow!$C$3:$C$62,MATCH(Assumptions!$B$28+A11-1,Cash_Flow!$A$3:$A$62,0))</f>
        <v>227425.64302991351</v>
      </c>
      <c r="C11" s="10">
        <f>INDEX(Cash_Flow!$F$3:$F$62,MATCH(Assumptions!$B$28+A11-1,Cash_Flow!$A$3:$A$62,0))</f>
        <v>1895.2136919159459</v>
      </c>
      <c r="D11" s="10">
        <f>INDEX(Cash_Flow!$G$3:$G$62,MATCH(Assumptions!$B$28+A11-1,Cash_Flow!$A$3:$A$62,0))</f>
        <v>3872.8881546312687</v>
      </c>
      <c r="E11" s="10">
        <f t="shared" si="1"/>
        <v>5768.1018465472143</v>
      </c>
      <c r="F11" s="10">
        <f>INDEX(Cash_Flow!$P$3:$P$62,MATCH(Assumptions!$B$28+A11-1,Cash_Flow!$A$3:$A$62,0))</f>
        <v>223552.75487528223</v>
      </c>
    </row>
    <row r="12" spans="1:6" x14ac:dyDescent="0.25">
      <c r="A12" s="8">
        <f t="shared" si="0"/>
        <v>8</v>
      </c>
      <c r="B12" s="10">
        <f>INDEX(Cash_Flow!$O$3:$O$62,MATCH(Assumptions!$B$28+A12-1,Cash_Flow!$A$3:$A$62,0))+INDEX(Cash_Flow!$C$3:$C$62,MATCH(Assumptions!$B$28+A12-1,Cash_Flow!$A$3:$A$62,0))</f>
        <v>223552.75487528223</v>
      </c>
      <c r="C12" s="10">
        <f>INDEX(Cash_Flow!$F$3:$F$62,MATCH(Assumptions!$B$28+A12-1,Cash_Flow!$A$3:$A$62,0))</f>
        <v>1862.9396239606851</v>
      </c>
      <c r="D12" s="10">
        <f>INDEX(Cash_Flow!$G$3:$G$62,MATCH(Assumptions!$B$28+A12-1,Cash_Flow!$A$3:$A$62,0))</f>
        <v>3905.1622225865294</v>
      </c>
      <c r="E12" s="10">
        <f t="shared" si="1"/>
        <v>5768.1018465472143</v>
      </c>
      <c r="F12" s="10">
        <f>INDEX(Cash_Flow!$P$3:$P$62,MATCH(Assumptions!$B$28+A12-1,Cash_Flow!$A$3:$A$62,0))</f>
        <v>219647.59265269569</v>
      </c>
    </row>
    <row r="13" spans="1:6" x14ac:dyDescent="0.25">
      <c r="A13" s="8">
        <f t="shared" si="0"/>
        <v>9</v>
      </c>
      <c r="B13" s="10">
        <f>INDEX(Cash_Flow!$O$3:$O$62,MATCH(Assumptions!$B$28+A13-1,Cash_Flow!$A$3:$A$62,0))+INDEX(Cash_Flow!$C$3:$C$62,MATCH(Assumptions!$B$28+A13-1,Cash_Flow!$A$3:$A$62,0))</f>
        <v>219647.59265269569</v>
      </c>
      <c r="C13" s="10">
        <f>INDEX(Cash_Flow!$F$3:$F$62,MATCH(Assumptions!$B$28+A13-1,Cash_Flow!$A$3:$A$62,0))</f>
        <v>1830.3966054391308</v>
      </c>
      <c r="D13" s="10">
        <f>INDEX(Cash_Flow!$G$3:$G$62,MATCH(Assumptions!$B$28+A13-1,Cash_Flow!$A$3:$A$62,0))</f>
        <v>3937.7052411080836</v>
      </c>
      <c r="E13" s="10">
        <f t="shared" si="1"/>
        <v>5768.1018465472143</v>
      </c>
      <c r="F13" s="10">
        <f>INDEX(Cash_Flow!$P$3:$P$62,MATCH(Assumptions!$B$28+A13-1,Cash_Flow!$A$3:$A$62,0))</f>
        <v>215709.88741158761</v>
      </c>
    </row>
    <row r="14" spans="1:6" x14ac:dyDescent="0.25">
      <c r="A14" s="8">
        <f t="shared" si="0"/>
        <v>10</v>
      </c>
      <c r="B14" s="10">
        <f>INDEX(Cash_Flow!$O$3:$O$62,MATCH(Assumptions!$B$28+A14-1,Cash_Flow!$A$3:$A$62,0))+INDEX(Cash_Flow!$C$3:$C$62,MATCH(Assumptions!$B$28+A14-1,Cash_Flow!$A$3:$A$62,0))</f>
        <v>215709.88741158761</v>
      </c>
      <c r="C14" s="10">
        <f>INDEX(Cash_Flow!$F$3:$F$62,MATCH(Assumptions!$B$28+A14-1,Cash_Flow!$A$3:$A$62,0))</f>
        <v>1797.5823950965635</v>
      </c>
      <c r="D14" s="10">
        <f>INDEX(Cash_Flow!$G$3:$G$62,MATCH(Assumptions!$B$28+A14-1,Cash_Flow!$A$3:$A$62,0))</f>
        <v>3970.5194514506511</v>
      </c>
      <c r="E14" s="10">
        <f t="shared" si="1"/>
        <v>5768.1018465472143</v>
      </c>
      <c r="F14" s="10">
        <f>INDEX(Cash_Flow!$P$3:$P$62,MATCH(Assumptions!$B$28+A14-1,Cash_Flow!$A$3:$A$62,0))</f>
        <v>211739.36796013697</v>
      </c>
    </row>
    <row r="15" spans="1:6" x14ac:dyDescent="0.25">
      <c r="A15" s="8">
        <f t="shared" si="0"/>
        <v>11</v>
      </c>
      <c r="B15" s="10">
        <f>INDEX(Cash_Flow!$O$3:$O$62,MATCH(Assumptions!$B$28+A15-1,Cash_Flow!$A$3:$A$62,0))+INDEX(Cash_Flow!$C$3:$C$62,MATCH(Assumptions!$B$28+A15-1,Cash_Flow!$A$3:$A$62,0))</f>
        <v>211739.36796013697</v>
      </c>
      <c r="C15" s="10">
        <f>INDEX(Cash_Flow!$F$3:$F$62,MATCH(Assumptions!$B$28+A15-1,Cash_Flow!$A$3:$A$62,0))</f>
        <v>1764.4947330011414</v>
      </c>
      <c r="D15" s="10">
        <f>INDEX(Cash_Flow!$G$3:$G$62,MATCH(Assumptions!$B$28+A15-1,Cash_Flow!$A$3:$A$62,0))</f>
        <v>4003.6071135460729</v>
      </c>
      <c r="E15" s="10">
        <f t="shared" si="1"/>
        <v>5768.1018465472143</v>
      </c>
      <c r="F15" s="10">
        <f>INDEX(Cash_Flow!$P$3:$P$62,MATCH(Assumptions!$B$28+A15-1,Cash_Flow!$A$3:$A$62,0))</f>
        <v>207735.76084659089</v>
      </c>
    </row>
    <row r="16" spans="1:6" x14ac:dyDescent="0.25">
      <c r="A16" s="8">
        <f t="shared" si="0"/>
        <v>12</v>
      </c>
      <c r="B16" s="10">
        <f>INDEX(Cash_Flow!$O$3:$O$62,MATCH(Assumptions!$B$28+A16-1,Cash_Flow!$A$3:$A$62,0))+INDEX(Cash_Flow!$C$3:$C$62,MATCH(Assumptions!$B$28+A16-1,Cash_Flow!$A$3:$A$62,0))</f>
        <v>207735.76084659089</v>
      </c>
      <c r="C16" s="10">
        <f>INDEX(Cash_Flow!$F$3:$F$62,MATCH(Assumptions!$B$28+A16-1,Cash_Flow!$A$3:$A$62,0))</f>
        <v>1731.1313403882573</v>
      </c>
      <c r="D16" s="10">
        <f>INDEX(Cash_Flow!$G$3:$G$62,MATCH(Assumptions!$B$28+A16-1,Cash_Flow!$A$3:$A$62,0))</f>
        <v>4036.9705061589571</v>
      </c>
      <c r="E16" s="10">
        <f t="shared" si="1"/>
        <v>5768.1018465472143</v>
      </c>
      <c r="F16" s="10">
        <f>INDEX(Cash_Flow!$P$3:$P$62,MATCH(Assumptions!$B$28+A16-1,Cash_Flow!$A$3:$A$62,0))</f>
        <v>203698.79034043194</v>
      </c>
    </row>
    <row r="17" spans="1:6" x14ac:dyDescent="0.25">
      <c r="A17" s="8">
        <f t="shared" si="0"/>
        <v>13</v>
      </c>
      <c r="B17" s="10">
        <f>INDEX(Cash_Flow!$O$3:$O$62,MATCH(Assumptions!$B$28+A17-1,Cash_Flow!$A$3:$A$62,0))+INDEX(Cash_Flow!$C$3:$C$62,MATCH(Assumptions!$B$28+A17-1,Cash_Flow!$A$3:$A$62,0))</f>
        <v>203698.79034043194</v>
      </c>
      <c r="C17" s="10">
        <f>INDEX(Cash_Flow!$F$3:$F$62,MATCH(Assumptions!$B$28+A17-1,Cash_Flow!$A$3:$A$62,0))</f>
        <v>1697.4899195035994</v>
      </c>
      <c r="D17" s="10">
        <f>INDEX(Cash_Flow!$G$3:$G$62,MATCH(Assumptions!$B$28+A17-1,Cash_Flow!$A$3:$A$62,0))</f>
        <v>4070.6119270436147</v>
      </c>
      <c r="E17" s="10">
        <f t="shared" si="1"/>
        <v>5768.1018465472143</v>
      </c>
      <c r="F17" s="10">
        <f>INDEX(Cash_Flow!$P$3:$P$62,MATCH(Assumptions!$B$28+A17-1,Cash_Flow!$A$3:$A$62,0))</f>
        <v>199628.17841338832</v>
      </c>
    </row>
    <row r="18" spans="1:6" x14ac:dyDescent="0.25">
      <c r="A18" s="8">
        <f t="shared" si="0"/>
        <v>14</v>
      </c>
      <c r="B18" s="10">
        <f>INDEX(Cash_Flow!$O$3:$O$62,MATCH(Assumptions!$B$28+A18-1,Cash_Flow!$A$3:$A$62,0))+INDEX(Cash_Flow!$C$3:$C$62,MATCH(Assumptions!$B$28+A18-1,Cash_Flow!$A$3:$A$62,0))</f>
        <v>199628.17841338832</v>
      </c>
      <c r="C18" s="10">
        <f>INDEX(Cash_Flow!$F$3:$F$62,MATCH(Assumptions!$B$28+A18-1,Cash_Flow!$A$3:$A$62,0))</f>
        <v>1663.5681534449027</v>
      </c>
      <c r="D18" s="10">
        <f>INDEX(Cash_Flow!$G$3:$G$62,MATCH(Assumptions!$B$28+A18-1,Cash_Flow!$A$3:$A$62,0))</f>
        <v>4104.5336931023121</v>
      </c>
      <c r="E18" s="10">
        <f t="shared" si="1"/>
        <v>5768.1018465472152</v>
      </c>
      <c r="F18" s="10">
        <f>INDEX(Cash_Flow!$P$3:$P$62,MATCH(Assumptions!$B$28+A18-1,Cash_Flow!$A$3:$A$62,0))</f>
        <v>195523.64472028601</v>
      </c>
    </row>
    <row r="19" spans="1:6" x14ac:dyDescent="0.25">
      <c r="A19" s="8">
        <f t="shared" si="0"/>
        <v>15</v>
      </c>
      <c r="B19" s="10">
        <f>INDEX(Cash_Flow!$O$3:$O$62,MATCH(Assumptions!$B$28+A19-1,Cash_Flow!$A$3:$A$62,0))+INDEX(Cash_Flow!$C$3:$C$62,MATCH(Assumptions!$B$28+A19-1,Cash_Flow!$A$3:$A$62,0))</f>
        <v>195523.64472028601</v>
      </c>
      <c r="C19" s="10">
        <f>INDEX(Cash_Flow!$F$3:$F$62,MATCH(Assumptions!$B$28+A19-1,Cash_Flow!$A$3:$A$62,0))</f>
        <v>1629.3637060023834</v>
      </c>
      <c r="D19" s="10">
        <f>INDEX(Cash_Flow!$G$3:$G$62,MATCH(Assumptions!$B$28+A19-1,Cash_Flow!$A$3:$A$62,0))</f>
        <v>4138.7381405448305</v>
      </c>
      <c r="E19" s="10">
        <f t="shared" si="1"/>
        <v>5768.1018465472134</v>
      </c>
      <c r="F19" s="10">
        <f>INDEX(Cash_Flow!$P$3:$P$62,MATCH(Assumptions!$B$28+A19-1,Cash_Flow!$A$3:$A$62,0))</f>
        <v>191384.90657974119</v>
      </c>
    </row>
    <row r="20" spans="1:6" x14ac:dyDescent="0.25">
      <c r="A20" s="8">
        <f t="shared" si="0"/>
        <v>16</v>
      </c>
      <c r="B20" s="10">
        <f>INDEX(Cash_Flow!$O$3:$O$62,MATCH(Assumptions!$B$28+A20-1,Cash_Flow!$A$3:$A$62,0))+INDEX(Cash_Flow!$C$3:$C$62,MATCH(Assumptions!$B$28+A20-1,Cash_Flow!$A$3:$A$62,0))</f>
        <v>191384.90657974119</v>
      </c>
      <c r="C20" s="10">
        <f>INDEX(Cash_Flow!$F$3:$F$62,MATCH(Assumptions!$B$28+A20-1,Cash_Flow!$A$3:$A$62,0))</f>
        <v>1594.8742214978433</v>
      </c>
      <c r="D20" s="10">
        <f>INDEX(Cash_Flow!$G$3:$G$62,MATCH(Assumptions!$B$28+A20-1,Cash_Flow!$A$3:$A$62,0))</f>
        <v>4173.2276250493705</v>
      </c>
      <c r="E20" s="10">
        <f t="shared" si="1"/>
        <v>5768.1018465472134</v>
      </c>
      <c r="F20" s="10">
        <f>INDEX(Cash_Flow!$P$3:$P$62,MATCH(Assumptions!$B$28+A20-1,Cash_Flow!$A$3:$A$62,0))</f>
        <v>187211.67895469183</v>
      </c>
    </row>
    <row r="21" spans="1:6" x14ac:dyDescent="0.25">
      <c r="A21" s="8">
        <f t="shared" si="0"/>
        <v>17</v>
      </c>
      <c r="B21" s="10">
        <f>INDEX(Cash_Flow!$O$3:$O$62,MATCH(Assumptions!$B$28+A21-1,Cash_Flow!$A$3:$A$62,0))+INDEX(Cash_Flow!$C$3:$C$62,MATCH(Assumptions!$B$28+A21-1,Cash_Flow!$A$3:$A$62,0))</f>
        <v>187211.67895469183</v>
      </c>
      <c r="C21" s="10">
        <f>INDEX(Cash_Flow!$F$3:$F$62,MATCH(Assumptions!$B$28+A21-1,Cash_Flow!$A$3:$A$62,0))</f>
        <v>1560.0973246224319</v>
      </c>
      <c r="D21" s="10">
        <f>INDEX(Cash_Flow!$G$3:$G$62,MATCH(Assumptions!$B$28+A21-1,Cash_Flow!$A$3:$A$62,0))</f>
        <v>4208.0045219247822</v>
      </c>
      <c r="E21" s="10">
        <f t="shared" si="1"/>
        <v>5768.1018465472143</v>
      </c>
      <c r="F21" s="10">
        <f>INDEX(Cash_Flow!$P$3:$P$62,MATCH(Assumptions!$B$28+A21-1,Cash_Flow!$A$3:$A$62,0))</f>
        <v>183003.67443276706</v>
      </c>
    </row>
    <row r="22" spans="1:6" x14ac:dyDescent="0.25">
      <c r="A22" s="8">
        <f t="shared" si="0"/>
        <v>18</v>
      </c>
      <c r="B22" s="10">
        <f>INDEX(Cash_Flow!$O$3:$O$62,MATCH(Assumptions!$B$28+A22-1,Cash_Flow!$A$3:$A$62,0))+INDEX(Cash_Flow!$C$3:$C$62,MATCH(Assumptions!$B$28+A22-1,Cash_Flow!$A$3:$A$62,0))</f>
        <v>183003.67443276706</v>
      </c>
      <c r="C22" s="10">
        <f>INDEX(Cash_Flow!$F$3:$F$62,MATCH(Assumptions!$B$28+A22-1,Cash_Flow!$A$3:$A$62,0))</f>
        <v>1525.0306202730587</v>
      </c>
      <c r="D22" s="10">
        <f>INDEX(Cash_Flow!$G$3:$G$62,MATCH(Assumptions!$B$28+A22-1,Cash_Flow!$A$3:$A$62,0))</f>
        <v>4243.0712262741554</v>
      </c>
      <c r="E22" s="10">
        <f t="shared" si="1"/>
        <v>5768.1018465472143</v>
      </c>
      <c r="F22" s="10">
        <f>INDEX(Cash_Flow!$P$3:$P$62,MATCH(Assumptions!$B$28+A22-1,Cash_Flow!$A$3:$A$62,0))</f>
        <v>178760.6032064929</v>
      </c>
    </row>
    <row r="23" spans="1:6" x14ac:dyDescent="0.25">
      <c r="A23" s="8">
        <f t="shared" si="0"/>
        <v>19</v>
      </c>
      <c r="B23" s="10">
        <f>INDEX(Cash_Flow!$O$3:$O$62,MATCH(Assumptions!$B$28+A23-1,Cash_Flow!$A$3:$A$62,0))+INDEX(Cash_Flow!$C$3:$C$62,MATCH(Assumptions!$B$28+A23-1,Cash_Flow!$A$3:$A$62,0))</f>
        <v>178760.6032064929</v>
      </c>
      <c r="C23" s="10">
        <f>INDEX(Cash_Flow!$F$3:$F$62,MATCH(Assumptions!$B$28+A23-1,Cash_Flow!$A$3:$A$62,0))</f>
        <v>1489.6716933874409</v>
      </c>
      <c r="D23" s="10">
        <f>INDEX(Cash_Flow!$G$3:$G$62,MATCH(Assumptions!$B$28+A23-1,Cash_Flow!$A$3:$A$62,0))</f>
        <v>4278.4301531597739</v>
      </c>
      <c r="E23" s="10">
        <f t="shared" si="1"/>
        <v>5768.1018465472152</v>
      </c>
      <c r="F23" s="10">
        <f>INDEX(Cash_Flow!$P$3:$P$62,MATCH(Assumptions!$B$28+A23-1,Cash_Flow!$A$3:$A$62,0))</f>
        <v>174482.17305333313</v>
      </c>
    </row>
    <row r="24" spans="1:6" x14ac:dyDescent="0.25">
      <c r="A24" s="8">
        <f t="shared" si="0"/>
        <v>20</v>
      </c>
      <c r="B24" s="10">
        <f>INDEX(Cash_Flow!$O$3:$O$62,MATCH(Assumptions!$B$28+A24-1,Cash_Flow!$A$3:$A$62,0))+INDEX(Cash_Flow!$C$3:$C$62,MATCH(Assumptions!$B$28+A24-1,Cash_Flow!$A$3:$A$62,0))</f>
        <v>174482.17305333313</v>
      </c>
      <c r="C24" s="10">
        <f>INDEX(Cash_Flow!$F$3:$F$62,MATCH(Assumptions!$B$28+A24-1,Cash_Flow!$A$3:$A$62,0))</f>
        <v>1454.018108777776</v>
      </c>
      <c r="D24" s="10">
        <f>INDEX(Cash_Flow!$G$3:$G$62,MATCH(Assumptions!$B$28+A24-1,Cash_Flow!$A$3:$A$62,0))</f>
        <v>4314.0837377694388</v>
      </c>
      <c r="E24" s="10">
        <f t="shared" si="1"/>
        <v>5768.1018465472152</v>
      </c>
      <c r="F24" s="10">
        <f>INDEX(Cash_Flow!$P$3:$P$62,MATCH(Assumptions!$B$28+A24-1,Cash_Flow!$A$3:$A$62,0))</f>
        <v>170168.0893155637</v>
      </c>
    </row>
    <row r="25" spans="1:6" x14ac:dyDescent="0.25">
      <c r="A25" s="8">
        <f t="shared" si="0"/>
        <v>21</v>
      </c>
      <c r="B25" s="10">
        <f>INDEX(Cash_Flow!$O$3:$O$62,MATCH(Assumptions!$B$28+A25-1,Cash_Flow!$A$3:$A$62,0))+INDEX(Cash_Flow!$C$3:$C$62,MATCH(Assumptions!$B$28+A25-1,Cash_Flow!$A$3:$A$62,0))</f>
        <v>170168.0893155637</v>
      </c>
      <c r="C25" s="10">
        <f>INDEX(Cash_Flow!$F$3:$F$62,MATCH(Assumptions!$B$28+A25-1,Cash_Flow!$A$3:$A$62,0))</f>
        <v>1418.0674109630309</v>
      </c>
      <c r="D25" s="10">
        <f>INDEX(Cash_Flow!$G$3:$G$62,MATCH(Assumptions!$B$28+A25-1,Cash_Flow!$A$3:$A$62,0))</f>
        <v>4350.0344355841835</v>
      </c>
      <c r="E25" s="10">
        <f t="shared" si="1"/>
        <v>5768.1018465472143</v>
      </c>
      <c r="F25" s="10">
        <f>INDEX(Cash_Flow!$P$3:$P$62,MATCH(Assumptions!$B$28+A25-1,Cash_Flow!$A$3:$A$62,0))</f>
        <v>165818.05487997952</v>
      </c>
    </row>
    <row r="26" spans="1:6" x14ac:dyDescent="0.25">
      <c r="A26" s="8">
        <f t="shared" si="0"/>
        <v>22</v>
      </c>
      <c r="B26" s="10">
        <f>INDEX(Cash_Flow!$O$3:$O$62,MATCH(Assumptions!$B$28+A26-1,Cash_Flow!$A$3:$A$62,0))+INDEX(Cash_Flow!$C$3:$C$62,MATCH(Assumptions!$B$28+A26-1,Cash_Flow!$A$3:$A$62,0))</f>
        <v>165818.05487997952</v>
      </c>
      <c r="C26" s="10">
        <f>INDEX(Cash_Flow!$F$3:$F$62,MATCH(Assumptions!$B$28+A26-1,Cash_Flow!$A$3:$A$62,0))</f>
        <v>1381.8171239998294</v>
      </c>
      <c r="D26" s="10">
        <f>INDEX(Cash_Flow!$G$3:$G$62,MATCH(Assumptions!$B$28+A26-1,Cash_Flow!$A$3:$A$62,0))</f>
        <v>4386.2847225473852</v>
      </c>
      <c r="E26" s="10">
        <f t="shared" si="1"/>
        <v>5768.1018465472143</v>
      </c>
      <c r="F26" s="10">
        <f>INDEX(Cash_Flow!$P$3:$P$62,MATCH(Assumptions!$B$28+A26-1,Cash_Flow!$A$3:$A$62,0))</f>
        <v>161431.77015743213</v>
      </c>
    </row>
    <row r="27" spans="1:6" x14ac:dyDescent="0.25">
      <c r="A27" s="8">
        <f t="shared" si="0"/>
        <v>23</v>
      </c>
      <c r="B27" s="10">
        <f>INDEX(Cash_Flow!$O$3:$O$62,MATCH(Assumptions!$B$28+A27-1,Cash_Flow!$A$3:$A$62,0))+INDEX(Cash_Flow!$C$3:$C$62,MATCH(Assumptions!$B$28+A27-1,Cash_Flow!$A$3:$A$62,0))</f>
        <v>161431.77015743213</v>
      </c>
      <c r="C27" s="10">
        <f>INDEX(Cash_Flow!$F$3:$F$62,MATCH(Assumptions!$B$28+A27-1,Cash_Flow!$A$3:$A$62,0))</f>
        <v>1345.2647513119343</v>
      </c>
      <c r="D27" s="10">
        <f>INDEX(Cash_Flow!$G$3:$G$62,MATCH(Assumptions!$B$28+A27-1,Cash_Flow!$A$3:$A$62,0))</f>
        <v>4422.8370952352798</v>
      </c>
      <c r="E27" s="10">
        <f t="shared" si="1"/>
        <v>5768.1018465472143</v>
      </c>
      <c r="F27" s="10">
        <f>INDEX(Cash_Flow!$P$3:$P$62,MATCH(Assumptions!$B$28+A27-1,Cash_Flow!$A$3:$A$62,0))</f>
        <v>157008.93306219685</v>
      </c>
    </row>
    <row r="28" spans="1:6" x14ac:dyDescent="0.25">
      <c r="A28" s="8">
        <f t="shared" si="0"/>
        <v>24</v>
      </c>
      <c r="B28" s="10">
        <f>INDEX(Cash_Flow!$O$3:$O$62,MATCH(Assumptions!$B$28+A28-1,Cash_Flow!$A$3:$A$62,0))+INDEX(Cash_Flow!$C$3:$C$62,MATCH(Assumptions!$B$28+A28-1,Cash_Flow!$A$3:$A$62,0))</f>
        <v>157008.93306219685</v>
      </c>
      <c r="C28" s="10">
        <f>INDEX(Cash_Flow!$F$3:$F$62,MATCH(Assumptions!$B$28+A28-1,Cash_Flow!$A$3:$A$62,0))</f>
        <v>1308.4077755183071</v>
      </c>
      <c r="D28" s="10">
        <f>INDEX(Cash_Flow!$G$3:$G$62,MATCH(Assumptions!$B$28+A28-1,Cash_Flow!$A$3:$A$62,0))</f>
        <v>4459.6940710289073</v>
      </c>
      <c r="E28" s="10">
        <f t="shared" si="1"/>
        <v>5768.1018465472143</v>
      </c>
      <c r="F28" s="10">
        <f>INDEX(Cash_Flow!$P$3:$P$62,MATCH(Assumptions!$B$28+A28-1,Cash_Flow!$A$3:$A$62,0))</f>
        <v>152549.23899116795</v>
      </c>
    </row>
    <row r="29" spans="1:6" x14ac:dyDescent="0.25">
      <c r="A29" s="8">
        <f t="shared" si="0"/>
        <v>25</v>
      </c>
      <c r="B29" s="10">
        <f>INDEX(Cash_Flow!$O$3:$O$62,MATCH(Assumptions!$B$28+A29-1,Cash_Flow!$A$3:$A$62,0))+INDEX(Cash_Flow!$C$3:$C$62,MATCH(Assumptions!$B$28+A29-1,Cash_Flow!$A$3:$A$62,0))</f>
        <v>152549.23899116795</v>
      </c>
      <c r="C29" s="10">
        <f>INDEX(Cash_Flow!$F$3:$F$62,MATCH(Assumptions!$B$28+A29-1,Cash_Flow!$A$3:$A$62,0))</f>
        <v>1271.2436582597329</v>
      </c>
      <c r="D29" s="10">
        <f>INDEX(Cash_Flow!$G$3:$G$62,MATCH(Assumptions!$B$28+A29-1,Cash_Flow!$A$3:$A$62,0))</f>
        <v>4496.8581882874814</v>
      </c>
      <c r="E29" s="10">
        <f t="shared" si="1"/>
        <v>5768.1018465472143</v>
      </c>
      <c r="F29" s="10">
        <f>INDEX(Cash_Flow!$P$3:$P$62,MATCH(Assumptions!$B$28+A29-1,Cash_Flow!$A$3:$A$62,0))</f>
        <v>148052.38080288048</v>
      </c>
    </row>
    <row r="30" spans="1:6" x14ac:dyDescent="0.25">
      <c r="A30" s="8">
        <f t="shared" si="0"/>
        <v>26</v>
      </c>
      <c r="B30" s="10">
        <f>INDEX(Cash_Flow!$O$3:$O$62,MATCH(Assumptions!$B$28+A30-1,Cash_Flow!$A$3:$A$62,0))+INDEX(Cash_Flow!$C$3:$C$62,MATCH(Assumptions!$B$28+A30-1,Cash_Flow!$A$3:$A$62,0))</f>
        <v>148052.38080288048</v>
      </c>
      <c r="C30" s="10">
        <f>INDEX(Cash_Flow!$F$3:$F$62,MATCH(Assumptions!$B$28+A30-1,Cash_Flow!$A$3:$A$62,0))</f>
        <v>1233.769840024004</v>
      </c>
      <c r="D30" s="10">
        <f>INDEX(Cash_Flow!$G$3:$G$62,MATCH(Assumptions!$B$28+A30-1,Cash_Flow!$A$3:$A$62,0))</f>
        <v>4534.3320065232101</v>
      </c>
      <c r="E30" s="10">
        <f t="shared" si="1"/>
        <v>5768.1018465472143</v>
      </c>
      <c r="F30" s="10">
        <f>INDEX(Cash_Flow!$P$3:$P$62,MATCH(Assumptions!$B$28+A30-1,Cash_Flow!$A$3:$A$62,0))</f>
        <v>143518.04879635727</v>
      </c>
    </row>
    <row r="31" spans="1:6" x14ac:dyDescent="0.25">
      <c r="A31" s="8">
        <f t="shared" si="0"/>
        <v>27</v>
      </c>
      <c r="B31" s="10">
        <f>INDEX(Cash_Flow!$O$3:$O$62,MATCH(Assumptions!$B$28+A31-1,Cash_Flow!$A$3:$A$62,0))+INDEX(Cash_Flow!$C$3:$C$62,MATCH(Assumptions!$B$28+A31-1,Cash_Flow!$A$3:$A$62,0))</f>
        <v>143518.04879635727</v>
      </c>
      <c r="C31" s="10">
        <f>INDEX(Cash_Flow!$F$3:$F$62,MATCH(Assumptions!$B$28+A31-1,Cash_Flow!$A$3:$A$62,0))</f>
        <v>1195.9837399696439</v>
      </c>
      <c r="D31" s="10">
        <f>INDEX(Cash_Flow!$G$3:$G$62,MATCH(Assumptions!$B$28+A31-1,Cash_Flow!$A$3:$A$62,0))</f>
        <v>4572.1181065775709</v>
      </c>
      <c r="E31" s="10">
        <f t="shared" si="1"/>
        <v>5768.1018465472152</v>
      </c>
      <c r="F31" s="10">
        <f>INDEX(Cash_Flow!$P$3:$P$62,MATCH(Assumptions!$B$28+A31-1,Cash_Flow!$A$3:$A$62,0))</f>
        <v>138945.93068977969</v>
      </c>
    </row>
    <row r="32" spans="1:6" x14ac:dyDescent="0.25">
      <c r="A32" s="8">
        <f t="shared" si="0"/>
        <v>28</v>
      </c>
      <c r="B32" s="10">
        <f>INDEX(Cash_Flow!$O$3:$O$62,MATCH(Assumptions!$B$28+A32-1,Cash_Flow!$A$3:$A$62,0))+INDEX(Cash_Flow!$C$3:$C$62,MATCH(Assumptions!$B$28+A32-1,Cash_Flow!$A$3:$A$62,0))</f>
        <v>138945.93068977969</v>
      </c>
      <c r="C32" s="10">
        <f>INDEX(Cash_Flow!$F$3:$F$62,MATCH(Assumptions!$B$28+A32-1,Cash_Flow!$A$3:$A$62,0))</f>
        <v>1157.8827557481641</v>
      </c>
      <c r="D32" s="10">
        <f>INDEX(Cash_Flow!$G$3:$G$62,MATCH(Assumptions!$B$28+A32-1,Cash_Flow!$A$3:$A$62,0))</f>
        <v>4610.2190907990498</v>
      </c>
      <c r="E32" s="10">
        <f t="shared" si="1"/>
        <v>5768.1018465472134</v>
      </c>
      <c r="F32" s="10">
        <f>INDEX(Cash_Flow!$P$3:$P$62,MATCH(Assumptions!$B$28+A32-1,Cash_Flow!$A$3:$A$62,0))</f>
        <v>134335.71159898065</v>
      </c>
    </row>
    <row r="33" spans="1:6" x14ac:dyDescent="0.25">
      <c r="A33" s="8">
        <f t="shared" si="0"/>
        <v>29</v>
      </c>
      <c r="B33" s="10">
        <f>INDEX(Cash_Flow!$O$3:$O$62,MATCH(Assumptions!$B$28+A33-1,Cash_Flow!$A$3:$A$62,0))+INDEX(Cash_Flow!$C$3:$C$62,MATCH(Assumptions!$B$28+A33-1,Cash_Flow!$A$3:$A$62,0))</f>
        <v>134335.71159898065</v>
      </c>
      <c r="C33" s="10">
        <f>INDEX(Cash_Flow!$F$3:$F$62,MATCH(Assumptions!$B$28+A33-1,Cash_Flow!$A$3:$A$62,0))</f>
        <v>1119.4642633248386</v>
      </c>
      <c r="D33" s="10">
        <f>INDEX(Cash_Flow!$G$3:$G$62,MATCH(Assumptions!$B$28+A33-1,Cash_Flow!$A$3:$A$62,0))</f>
        <v>4648.6375832223757</v>
      </c>
      <c r="E33" s="10">
        <f t="shared" si="1"/>
        <v>5768.1018465472143</v>
      </c>
      <c r="F33" s="10">
        <f>INDEX(Cash_Flow!$P$3:$P$62,MATCH(Assumptions!$B$28+A33-1,Cash_Flow!$A$3:$A$62,0))</f>
        <v>129687.07401575828</v>
      </c>
    </row>
    <row r="34" spans="1:6" x14ac:dyDescent="0.25">
      <c r="A34" s="8">
        <f t="shared" si="0"/>
        <v>30</v>
      </c>
      <c r="B34" s="10">
        <f>INDEX(Cash_Flow!$O$3:$O$62,MATCH(Assumptions!$B$28+A34-1,Cash_Flow!$A$3:$A$62,0))+INDEX(Cash_Flow!$C$3:$C$62,MATCH(Assumptions!$B$28+A34-1,Cash_Flow!$A$3:$A$62,0))</f>
        <v>129687.07401575828</v>
      </c>
      <c r="C34" s="10">
        <f>INDEX(Cash_Flow!$F$3:$F$62,MATCH(Assumptions!$B$28+A34-1,Cash_Flow!$A$3:$A$62,0))</f>
        <v>1080.7256167979856</v>
      </c>
      <c r="D34" s="10">
        <f>INDEX(Cash_Flow!$G$3:$G$62,MATCH(Assumptions!$B$28+A34-1,Cash_Flow!$A$3:$A$62,0))</f>
        <v>4687.3762297492285</v>
      </c>
      <c r="E34" s="10">
        <f t="shared" si="1"/>
        <v>5768.1018465472143</v>
      </c>
      <c r="F34" s="10">
        <f>INDEX(Cash_Flow!$P$3:$P$62,MATCH(Assumptions!$B$28+A34-1,Cash_Flow!$A$3:$A$62,0))</f>
        <v>124999.69778600906</v>
      </c>
    </row>
    <row r="35" spans="1:6" x14ac:dyDescent="0.25">
      <c r="A35" s="8">
        <f t="shared" si="0"/>
        <v>31</v>
      </c>
      <c r="B35" s="10">
        <f>INDEX(Cash_Flow!$O$3:$O$62,MATCH(Assumptions!$B$28+A35-1,Cash_Flow!$A$3:$A$62,0))+INDEX(Cash_Flow!$C$3:$C$62,MATCH(Assumptions!$B$28+A35-1,Cash_Flow!$A$3:$A$62,0))</f>
        <v>124999.69778600906</v>
      </c>
      <c r="C35" s="10">
        <f>INDEX(Cash_Flow!$F$3:$F$62,MATCH(Assumptions!$B$28+A35-1,Cash_Flow!$A$3:$A$62,0))</f>
        <v>1041.6641482167422</v>
      </c>
      <c r="D35" s="10">
        <f>INDEX(Cash_Flow!$G$3:$G$62,MATCH(Assumptions!$B$28+A35-1,Cash_Flow!$A$3:$A$62,0))</f>
        <v>4726.4376983304719</v>
      </c>
      <c r="E35" s="10">
        <f t="shared" si="1"/>
        <v>5768.1018465472143</v>
      </c>
      <c r="F35" s="10">
        <f>INDEX(Cash_Flow!$P$3:$P$62,MATCH(Assumptions!$B$28+A35-1,Cash_Flow!$A$3:$A$62,0))</f>
        <v>120273.26008767859</v>
      </c>
    </row>
    <row r="36" spans="1:6" x14ac:dyDescent="0.25">
      <c r="A36" s="8">
        <f t="shared" si="0"/>
        <v>32</v>
      </c>
      <c r="B36" s="10">
        <f>INDEX(Cash_Flow!$O$3:$O$62,MATCH(Assumptions!$B$28+A36-1,Cash_Flow!$A$3:$A$62,0))+INDEX(Cash_Flow!$C$3:$C$62,MATCH(Assumptions!$B$28+A36-1,Cash_Flow!$A$3:$A$62,0))</f>
        <v>120273.26008767859</v>
      </c>
      <c r="C36" s="10">
        <f>INDEX(Cash_Flow!$F$3:$F$62,MATCH(Assumptions!$B$28+A36-1,Cash_Flow!$A$3:$A$62,0))</f>
        <v>1002.2771673973216</v>
      </c>
      <c r="D36" s="10">
        <f>INDEX(Cash_Flow!$G$3:$G$62,MATCH(Assumptions!$B$28+A36-1,Cash_Flow!$A$3:$A$62,0))</f>
        <v>4765.8246791498932</v>
      </c>
      <c r="E36" s="10">
        <f t="shared" si="1"/>
        <v>5768.1018465472152</v>
      </c>
      <c r="F36" s="10">
        <f>INDEX(Cash_Flow!$P$3:$P$62,MATCH(Assumptions!$B$28+A36-1,Cash_Flow!$A$3:$A$62,0))</f>
        <v>115507.43540852869</v>
      </c>
    </row>
    <row r="37" spans="1:6" x14ac:dyDescent="0.25">
      <c r="A37" s="8">
        <f t="shared" ref="A37:A58" si="2">ROW()-4</f>
        <v>33</v>
      </c>
      <c r="B37" s="10">
        <f>INDEX(Cash_Flow!$O$3:$O$62,MATCH(Assumptions!$B$28+A37-1,Cash_Flow!$A$3:$A$62,0))+INDEX(Cash_Flow!$C$3:$C$62,MATCH(Assumptions!$B$28+A37-1,Cash_Flow!$A$3:$A$62,0))</f>
        <v>115507.43540852869</v>
      </c>
      <c r="C37" s="10">
        <f>INDEX(Cash_Flow!$F$3:$F$62,MATCH(Assumptions!$B$28+A37-1,Cash_Flow!$A$3:$A$62,0))</f>
        <v>962.56196173773913</v>
      </c>
      <c r="D37" s="10">
        <f>INDEX(Cash_Flow!$G$3:$G$62,MATCH(Assumptions!$B$28+A37-1,Cash_Flow!$A$3:$A$62,0))</f>
        <v>4805.5398848094756</v>
      </c>
      <c r="E37" s="10">
        <f t="shared" ref="E37:E58" si="3">C37+D37</f>
        <v>5768.1018465472143</v>
      </c>
      <c r="F37" s="10">
        <f>INDEX(Cash_Flow!$P$3:$P$62,MATCH(Assumptions!$B$28+A37-1,Cash_Flow!$A$3:$A$62,0))</f>
        <v>110701.89552371921</v>
      </c>
    </row>
    <row r="38" spans="1:6" x14ac:dyDescent="0.25">
      <c r="A38" s="8">
        <f t="shared" si="2"/>
        <v>34</v>
      </c>
      <c r="B38" s="10">
        <f>INDEX(Cash_Flow!$O$3:$O$62,MATCH(Assumptions!$B$28+A38-1,Cash_Flow!$A$3:$A$62,0))+INDEX(Cash_Flow!$C$3:$C$62,MATCH(Assumptions!$B$28+A38-1,Cash_Flow!$A$3:$A$62,0))</f>
        <v>110701.89552371921</v>
      </c>
      <c r="C38" s="10">
        <f>INDEX(Cash_Flow!$F$3:$F$62,MATCH(Assumptions!$B$28+A38-1,Cash_Flow!$A$3:$A$62,0))</f>
        <v>922.51579603099344</v>
      </c>
      <c r="D38" s="10">
        <f>INDEX(Cash_Flow!$G$3:$G$62,MATCH(Assumptions!$B$28+A38-1,Cash_Flow!$A$3:$A$62,0))</f>
        <v>4845.5860505162209</v>
      </c>
      <c r="E38" s="10">
        <f t="shared" si="3"/>
        <v>5768.1018465472143</v>
      </c>
      <c r="F38" s="10">
        <f>INDEX(Cash_Flow!$P$3:$P$62,MATCH(Assumptions!$B$28+A38-1,Cash_Flow!$A$3:$A$62,0))</f>
        <v>105856.30947320299</v>
      </c>
    </row>
    <row r="39" spans="1:6" x14ac:dyDescent="0.25">
      <c r="A39" s="8">
        <f t="shared" si="2"/>
        <v>35</v>
      </c>
      <c r="B39" s="10">
        <f>INDEX(Cash_Flow!$O$3:$O$62,MATCH(Assumptions!$B$28+A39-1,Cash_Flow!$A$3:$A$62,0))+INDEX(Cash_Flow!$C$3:$C$62,MATCH(Assumptions!$B$28+A39-1,Cash_Flow!$A$3:$A$62,0))</f>
        <v>105856.30947320299</v>
      </c>
      <c r="C39" s="10">
        <f>INDEX(Cash_Flow!$F$3:$F$62,MATCH(Assumptions!$B$28+A39-1,Cash_Flow!$A$3:$A$62,0))</f>
        <v>882.13591227669156</v>
      </c>
      <c r="D39" s="10">
        <f>INDEX(Cash_Flow!$G$3:$G$62,MATCH(Assumptions!$B$28+A39-1,Cash_Flow!$A$3:$A$62,0))</f>
        <v>4885.9659342705227</v>
      </c>
      <c r="E39" s="10">
        <f t="shared" si="3"/>
        <v>5768.1018465472143</v>
      </c>
      <c r="F39" s="10">
        <f>INDEX(Cash_Flow!$P$3:$P$62,MATCH(Assumptions!$B$28+A39-1,Cash_Flow!$A$3:$A$62,0))</f>
        <v>100970.34353893246</v>
      </c>
    </row>
    <row r="40" spans="1:6" x14ac:dyDescent="0.25">
      <c r="A40" s="8">
        <f t="shared" si="2"/>
        <v>36</v>
      </c>
      <c r="B40" s="10">
        <f>INDEX(Cash_Flow!$O$3:$O$62,MATCH(Assumptions!$B$28+A40-1,Cash_Flow!$A$3:$A$62,0))+INDEX(Cash_Flow!$C$3:$C$62,MATCH(Assumptions!$B$28+A40-1,Cash_Flow!$A$3:$A$62,0))</f>
        <v>100970.34353893246</v>
      </c>
      <c r="C40" s="10">
        <f>INDEX(Cash_Flow!$F$3:$F$62,MATCH(Assumptions!$B$28+A40-1,Cash_Flow!$A$3:$A$62,0))</f>
        <v>841.41952949110384</v>
      </c>
      <c r="D40" s="10">
        <f>INDEX(Cash_Flow!$G$3:$G$62,MATCH(Assumptions!$B$28+A40-1,Cash_Flow!$A$3:$A$62,0))</f>
        <v>4926.6823170561102</v>
      </c>
      <c r="E40" s="10">
        <f t="shared" si="3"/>
        <v>5768.1018465472143</v>
      </c>
      <c r="F40" s="10">
        <f>INDEX(Cash_Flow!$P$3:$P$62,MATCH(Assumptions!$B$28+A40-1,Cash_Flow!$A$3:$A$62,0))</f>
        <v>96043.661221876348</v>
      </c>
    </row>
    <row r="41" spans="1:6" x14ac:dyDescent="0.25">
      <c r="A41" s="8">
        <f t="shared" si="2"/>
        <v>37</v>
      </c>
      <c r="B41" s="10">
        <f>INDEX(Cash_Flow!$O$3:$O$62,MATCH(Assumptions!$B$28+A41-1,Cash_Flow!$A$3:$A$62,0))+INDEX(Cash_Flow!$C$3:$C$62,MATCH(Assumptions!$B$28+A41-1,Cash_Flow!$A$3:$A$62,0))</f>
        <v>96043.661221876348</v>
      </c>
      <c r="C41" s="10">
        <f>INDEX(Cash_Flow!$F$3:$F$62,MATCH(Assumptions!$B$28+A41-1,Cash_Flow!$A$3:$A$62,0))</f>
        <v>800.36384351563618</v>
      </c>
      <c r="D41" s="10">
        <f>INDEX(Cash_Flow!$G$3:$G$62,MATCH(Assumptions!$B$28+A41-1,Cash_Flow!$A$3:$A$62,0))</f>
        <v>4967.738003031578</v>
      </c>
      <c r="E41" s="10">
        <f t="shared" si="3"/>
        <v>5768.1018465472143</v>
      </c>
      <c r="F41" s="10">
        <f>INDEX(Cash_Flow!$P$3:$P$62,MATCH(Assumptions!$B$28+A41-1,Cash_Flow!$A$3:$A$62,0))</f>
        <v>91075.923218844764</v>
      </c>
    </row>
    <row r="42" spans="1:6" x14ac:dyDescent="0.25">
      <c r="A42" s="8">
        <f t="shared" si="2"/>
        <v>38</v>
      </c>
      <c r="B42" s="10">
        <f>INDEX(Cash_Flow!$O$3:$O$62,MATCH(Assumptions!$B$28+A42-1,Cash_Flow!$A$3:$A$62,0))+INDEX(Cash_Flow!$C$3:$C$62,MATCH(Assumptions!$B$28+A42-1,Cash_Flow!$A$3:$A$62,0))</f>
        <v>91075.923218844764</v>
      </c>
      <c r="C42" s="10">
        <f>INDEX(Cash_Flow!$F$3:$F$62,MATCH(Assumptions!$B$28+A42-1,Cash_Flow!$A$3:$A$62,0))</f>
        <v>758.96602682370633</v>
      </c>
      <c r="D42" s="10">
        <f>INDEX(Cash_Flow!$G$3:$G$62,MATCH(Assumptions!$B$28+A42-1,Cash_Flow!$A$3:$A$62,0))</f>
        <v>5009.1358197235077</v>
      </c>
      <c r="E42" s="10">
        <f t="shared" si="3"/>
        <v>5768.1018465472143</v>
      </c>
      <c r="F42" s="10">
        <f>INDEX(Cash_Flow!$P$3:$P$62,MATCH(Assumptions!$B$28+A42-1,Cash_Flow!$A$3:$A$62,0))</f>
        <v>86066.787399121255</v>
      </c>
    </row>
    <row r="43" spans="1:6" x14ac:dyDescent="0.25">
      <c r="A43" s="8">
        <f t="shared" si="2"/>
        <v>39</v>
      </c>
      <c r="B43" s="10">
        <f>INDEX(Cash_Flow!$O$3:$O$62,MATCH(Assumptions!$B$28+A43-1,Cash_Flow!$A$3:$A$62,0))+INDEX(Cash_Flow!$C$3:$C$62,MATCH(Assumptions!$B$28+A43-1,Cash_Flow!$A$3:$A$62,0))</f>
        <v>86066.787399121255</v>
      </c>
      <c r="C43" s="10">
        <f>INDEX(Cash_Flow!$F$3:$F$62,MATCH(Assumptions!$B$28+A43-1,Cash_Flow!$A$3:$A$62,0))</f>
        <v>717.22322832601049</v>
      </c>
      <c r="D43" s="10">
        <f>INDEX(Cash_Flow!$G$3:$G$62,MATCH(Assumptions!$B$28+A43-1,Cash_Flow!$A$3:$A$62,0))</f>
        <v>5050.8786182212043</v>
      </c>
      <c r="E43" s="10">
        <f t="shared" si="3"/>
        <v>5768.1018465472152</v>
      </c>
      <c r="F43" s="10">
        <f>INDEX(Cash_Flow!$P$3:$P$62,MATCH(Assumptions!$B$28+A43-1,Cash_Flow!$A$3:$A$62,0))</f>
        <v>81015.908780900048</v>
      </c>
    </row>
    <row r="44" spans="1:6" x14ac:dyDescent="0.25">
      <c r="A44" s="8">
        <f t="shared" si="2"/>
        <v>40</v>
      </c>
      <c r="B44" s="10">
        <f>INDEX(Cash_Flow!$O$3:$O$62,MATCH(Assumptions!$B$28+A44-1,Cash_Flow!$A$3:$A$62,0))+INDEX(Cash_Flow!$C$3:$C$62,MATCH(Assumptions!$B$28+A44-1,Cash_Flow!$A$3:$A$62,0))</f>
        <v>81015.908780900048</v>
      </c>
      <c r="C44" s="10">
        <f>INDEX(Cash_Flow!$F$3:$F$62,MATCH(Assumptions!$B$28+A44-1,Cash_Flow!$A$3:$A$62,0))</f>
        <v>675.13257317416708</v>
      </c>
      <c r="D44" s="10">
        <f>INDEX(Cash_Flow!$G$3:$G$62,MATCH(Assumptions!$B$28+A44-1,Cash_Flow!$A$3:$A$62,0))</f>
        <v>5092.9692733730471</v>
      </c>
      <c r="E44" s="10">
        <f t="shared" si="3"/>
        <v>5768.1018465472143</v>
      </c>
      <c r="F44" s="10">
        <f>INDEX(Cash_Flow!$P$3:$P$62,MATCH(Assumptions!$B$28+A44-1,Cash_Flow!$A$3:$A$62,0))</f>
        <v>75922.939507527</v>
      </c>
    </row>
    <row r="45" spans="1:6" x14ac:dyDescent="0.25">
      <c r="A45" s="8">
        <f t="shared" si="2"/>
        <v>41</v>
      </c>
      <c r="B45" s="10">
        <f>INDEX(Cash_Flow!$O$3:$O$62,MATCH(Assumptions!$B$28+A45-1,Cash_Flow!$A$3:$A$62,0))+INDEX(Cash_Flow!$C$3:$C$62,MATCH(Assumptions!$B$28+A45-1,Cash_Flow!$A$3:$A$62,0))</f>
        <v>75922.939507527</v>
      </c>
      <c r="C45" s="10">
        <f>INDEX(Cash_Flow!$F$3:$F$62,MATCH(Assumptions!$B$28+A45-1,Cash_Flow!$A$3:$A$62,0))</f>
        <v>632.69116256272503</v>
      </c>
      <c r="D45" s="10">
        <f>INDEX(Cash_Flow!$G$3:$G$62,MATCH(Assumptions!$B$28+A45-1,Cash_Flow!$A$3:$A$62,0))</f>
        <v>5135.410683984489</v>
      </c>
      <c r="E45" s="10">
        <f t="shared" si="3"/>
        <v>5768.1018465472143</v>
      </c>
      <c r="F45" s="10">
        <f>INDEX(Cash_Flow!$P$3:$P$62,MATCH(Assumptions!$B$28+A45-1,Cash_Flow!$A$3:$A$62,0))</f>
        <v>70787.528823542511</v>
      </c>
    </row>
    <row r="46" spans="1:6" x14ac:dyDescent="0.25">
      <c r="A46" s="8">
        <f t="shared" si="2"/>
        <v>42</v>
      </c>
      <c r="B46" s="10">
        <f>INDEX(Cash_Flow!$O$3:$O$62,MATCH(Assumptions!$B$28+A46-1,Cash_Flow!$A$3:$A$62,0))+INDEX(Cash_Flow!$C$3:$C$62,MATCH(Assumptions!$B$28+A46-1,Cash_Flow!$A$3:$A$62,0))</f>
        <v>70787.528823542511</v>
      </c>
      <c r="C46" s="10">
        <f>INDEX(Cash_Flow!$F$3:$F$62,MATCH(Assumptions!$B$28+A46-1,Cash_Flow!$A$3:$A$62,0))</f>
        <v>589.89607352952089</v>
      </c>
      <c r="D46" s="10">
        <f>INDEX(Cash_Flow!$G$3:$G$62,MATCH(Assumptions!$B$28+A46-1,Cash_Flow!$A$3:$A$62,0))</f>
        <v>5178.205773017693</v>
      </c>
      <c r="E46" s="10">
        <f t="shared" si="3"/>
        <v>5768.1018465472134</v>
      </c>
      <c r="F46" s="10">
        <f>INDEX(Cash_Flow!$P$3:$P$62,MATCH(Assumptions!$B$28+A46-1,Cash_Flow!$A$3:$A$62,0))</f>
        <v>65609.323050524821</v>
      </c>
    </row>
    <row r="47" spans="1:6" x14ac:dyDescent="0.25">
      <c r="A47" s="8">
        <f t="shared" si="2"/>
        <v>43</v>
      </c>
      <c r="B47" s="10">
        <f>INDEX(Cash_Flow!$O$3:$O$62,MATCH(Assumptions!$B$28+A47-1,Cash_Flow!$A$3:$A$62,0))+INDEX(Cash_Flow!$C$3:$C$62,MATCH(Assumptions!$B$28+A47-1,Cash_Flow!$A$3:$A$62,0))</f>
        <v>65609.323050524821</v>
      </c>
      <c r="C47" s="10">
        <f>INDEX(Cash_Flow!$F$3:$F$62,MATCH(Assumptions!$B$28+A47-1,Cash_Flow!$A$3:$A$62,0))</f>
        <v>546.74435875437348</v>
      </c>
      <c r="D47" s="10">
        <f>INDEX(Cash_Flow!$G$3:$G$62,MATCH(Assumptions!$B$28+A47-1,Cash_Flow!$A$3:$A$62,0))</f>
        <v>5221.3574877928404</v>
      </c>
      <c r="E47" s="10">
        <f t="shared" si="3"/>
        <v>5768.1018465472134</v>
      </c>
      <c r="F47" s="10">
        <f>INDEX(Cash_Flow!$P$3:$P$62,MATCH(Assumptions!$B$28+A47-1,Cash_Flow!$A$3:$A$62,0))</f>
        <v>60387.965562731981</v>
      </c>
    </row>
    <row r="48" spans="1:6" x14ac:dyDescent="0.25">
      <c r="A48" s="8">
        <f t="shared" si="2"/>
        <v>44</v>
      </c>
      <c r="B48" s="10">
        <f>INDEX(Cash_Flow!$O$3:$O$62,MATCH(Assumptions!$B$28+A48-1,Cash_Flow!$A$3:$A$62,0))+INDEX(Cash_Flow!$C$3:$C$62,MATCH(Assumptions!$B$28+A48-1,Cash_Flow!$A$3:$A$62,0))</f>
        <v>60387.965562731981</v>
      </c>
      <c r="C48" s="10">
        <f>INDEX(Cash_Flow!$F$3:$F$62,MATCH(Assumptions!$B$28+A48-1,Cash_Flow!$A$3:$A$62,0))</f>
        <v>503.23304635609981</v>
      </c>
      <c r="D48" s="10">
        <f>INDEX(Cash_Flow!$G$3:$G$62,MATCH(Assumptions!$B$28+A48-1,Cash_Flow!$A$3:$A$62,0))</f>
        <v>5264.8688001911141</v>
      </c>
      <c r="E48" s="10">
        <f t="shared" si="3"/>
        <v>5768.1018465472143</v>
      </c>
      <c r="F48" s="10">
        <f>INDEX(Cash_Flow!$P$3:$P$62,MATCH(Assumptions!$B$28+A48-1,Cash_Flow!$A$3:$A$62,0))</f>
        <v>55123.096762540867</v>
      </c>
    </row>
    <row r="49" spans="1:6" x14ac:dyDescent="0.25">
      <c r="A49" s="8">
        <f t="shared" si="2"/>
        <v>45</v>
      </c>
      <c r="B49" s="10">
        <f>INDEX(Cash_Flow!$O$3:$O$62,MATCH(Assumptions!$B$28+A49-1,Cash_Flow!$A$3:$A$62,0))+INDEX(Cash_Flow!$C$3:$C$62,MATCH(Assumptions!$B$28+A49-1,Cash_Flow!$A$3:$A$62,0))</f>
        <v>55123.096762540867</v>
      </c>
      <c r="C49" s="10">
        <f>INDEX(Cash_Flow!$F$3:$F$62,MATCH(Assumptions!$B$28+A49-1,Cash_Flow!$A$3:$A$62,0))</f>
        <v>459.35913968784052</v>
      </c>
      <c r="D49" s="10">
        <f>INDEX(Cash_Flow!$G$3:$G$62,MATCH(Assumptions!$B$28+A49-1,Cash_Flow!$A$3:$A$62,0))</f>
        <v>5308.7427068593734</v>
      </c>
      <c r="E49" s="10">
        <f t="shared" si="3"/>
        <v>5768.1018465472134</v>
      </c>
      <c r="F49" s="10">
        <f>INDEX(Cash_Flow!$P$3:$P$62,MATCH(Assumptions!$B$28+A49-1,Cash_Flow!$A$3:$A$62,0))</f>
        <v>49814.354055681491</v>
      </c>
    </row>
    <row r="50" spans="1:6" x14ac:dyDescent="0.25">
      <c r="A50" s="8">
        <f t="shared" si="2"/>
        <v>46</v>
      </c>
      <c r="B50" s="10">
        <f>INDEX(Cash_Flow!$O$3:$O$62,MATCH(Assumptions!$B$28+A50-1,Cash_Flow!$A$3:$A$62,0))+INDEX(Cash_Flow!$C$3:$C$62,MATCH(Assumptions!$B$28+A50-1,Cash_Flow!$A$3:$A$62,0))</f>
        <v>49814.354055681491</v>
      </c>
      <c r="C50" s="10">
        <f>INDEX(Cash_Flow!$F$3:$F$62,MATCH(Assumptions!$B$28+A50-1,Cash_Flow!$A$3:$A$62,0))</f>
        <v>415.1196171306791</v>
      </c>
      <c r="D50" s="10">
        <f>INDEX(Cash_Flow!$G$3:$G$62,MATCH(Assumptions!$B$28+A50-1,Cash_Flow!$A$3:$A$62,0))</f>
        <v>5352.9822294165351</v>
      </c>
      <c r="E50" s="10">
        <f t="shared" si="3"/>
        <v>5768.1018465472143</v>
      </c>
      <c r="F50" s="10">
        <f>INDEX(Cash_Flow!$P$3:$P$62,MATCH(Assumptions!$B$28+A50-1,Cash_Flow!$A$3:$A$62,0))</f>
        <v>44461.371826264956</v>
      </c>
    </row>
    <row r="51" spans="1:6" x14ac:dyDescent="0.25">
      <c r="A51" s="8">
        <f t="shared" si="2"/>
        <v>47</v>
      </c>
      <c r="B51" s="10">
        <f>INDEX(Cash_Flow!$O$3:$O$62,MATCH(Assumptions!$B$28+A51-1,Cash_Flow!$A$3:$A$62,0))+INDEX(Cash_Flow!$C$3:$C$62,MATCH(Assumptions!$B$28+A51-1,Cash_Flow!$A$3:$A$62,0))</f>
        <v>44461.371826264956</v>
      </c>
      <c r="C51" s="10">
        <f>INDEX(Cash_Flow!$F$3:$F$62,MATCH(Assumptions!$B$28+A51-1,Cash_Flow!$A$3:$A$62,0))</f>
        <v>370.5114318855413</v>
      </c>
      <c r="D51" s="10">
        <f>INDEX(Cash_Flow!$G$3:$G$62,MATCH(Assumptions!$B$28+A51-1,Cash_Flow!$A$3:$A$62,0))</f>
        <v>5397.5904146616731</v>
      </c>
      <c r="E51" s="10">
        <f t="shared" si="3"/>
        <v>5768.1018465472143</v>
      </c>
      <c r="F51" s="10">
        <f>INDEX(Cash_Flow!$P$3:$P$62,MATCH(Assumptions!$B$28+A51-1,Cash_Flow!$A$3:$A$62,0))</f>
        <v>39063.781411603282</v>
      </c>
    </row>
    <row r="52" spans="1:6" x14ac:dyDescent="0.25">
      <c r="A52" s="8">
        <f t="shared" si="2"/>
        <v>48</v>
      </c>
      <c r="B52" s="10">
        <f>INDEX(Cash_Flow!$O$3:$O$62,MATCH(Assumptions!$B$28+A52-1,Cash_Flow!$A$3:$A$62,0))+INDEX(Cash_Flow!$C$3:$C$62,MATCH(Assumptions!$B$28+A52-1,Cash_Flow!$A$3:$A$62,0))</f>
        <v>39063.781411603282</v>
      </c>
      <c r="C52" s="10">
        <f>INDEX(Cash_Flow!$F$3:$F$62,MATCH(Assumptions!$B$28+A52-1,Cash_Flow!$A$3:$A$62,0))</f>
        <v>325.5315117633607</v>
      </c>
      <c r="D52" s="10">
        <f>INDEX(Cash_Flow!$G$3:$G$62,MATCH(Assumptions!$B$28+A52-1,Cash_Flow!$A$3:$A$62,0))</f>
        <v>5442.5703347838535</v>
      </c>
      <c r="E52" s="10">
        <f t="shared" si="3"/>
        <v>5768.1018465472143</v>
      </c>
      <c r="F52" s="10">
        <f>INDEX(Cash_Flow!$P$3:$P$62,MATCH(Assumptions!$B$28+A52-1,Cash_Flow!$A$3:$A$62,0))</f>
        <v>33621.211076819425</v>
      </c>
    </row>
    <row r="53" spans="1:6" x14ac:dyDescent="0.25">
      <c r="A53" s="8">
        <f t="shared" si="2"/>
        <v>49</v>
      </c>
      <c r="B53" s="10">
        <f>INDEX(Cash_Flow!$O$3:$O$62,MATCH(Assumptions!$B$28+A53-1,Cash_Flow!$A$3:$A$62,0))+INDEX(Cash_Flow!$C$3:$C$62,MATCH(Assumptions!$B$28+A53-1,Cash_Flow!$A$3:$A$62,0))</f>
        <v>33621.211076819425</v>
      </c>
      <c r="C53" s="10">
        <f>INDEX(Cash_Flow!$F$3:$F$62,MATCH(Assumptions!$B$28+A53-1,Cash_Flow!$A$3:$A$62,0))</f>
        <v>280.17675897349523</v>
      </c>
      <c r="D53" s="10">
        <f>INDEX(Cash_Flow!$G$3:$G$62,MATCH(Assumptions!$B$28+A53-1,Cash_Flow!$A$3:$A$62,0))</f>
        <v>5487.9250875737189</v>
      </c>
      <c r="E53" s="10">
        <f t="shared" si="3"/>
        <v>5768.1018465472143</v>
      </c>
      <c r="F53" s="10">
        <f>INDEX(Cash_Flow!$P$3:$P$62,MATCH(Assumptions!$B$28+A53-1,Cash_Flow!$A$3:$A$62,0))</f>
        <v>28133.285989245705</v>
      </c>
    </row>
    <row r="54" spans="1:6" x14ac:dyDescent="0.25">
      <c r="A54" s="8">
        <f t="shared" si="2"/>
        <v>50</v>
      </c>
      <c r="B54" s="10">
        <f>INDEX(Cash_Flow!$O$3:$O$62,MATCH(Assumptions!$B$28+A54-1,Cash_Flow!$A$3:$A$62,0))+INDEX(Cash_Flow!$C$3:$C$62,MATCH(Assumptions!$B$28+A54-1,Cash_Flow!$A$3:$A$62,0))</f>
        <v>28133.285989245705</v>
      </c>
      <c r="C54" s="10">
        <f>INDEX(Cash_Flow!$F$3:$F$62,MATCH(Assumptions!$B$28+A54-1,Cash_Flow!$A$3:$A$62,0))</f>
        <v>234.44404991038087</v>
      </c>
      <c r="D54" s="10">
        <f>INDEX(Cash_Flow!$G$3:$G$62,MATCH(Assumptions!$B$28+A54-1,Cash_Flow!$A$3:$A$62,0))</f>
        <v>5533.6577966368332</v>
      </c>
      <c r="E54" s="10">
        <f t="shared" si="3"/>
        <v>5768.1018465472143</v>
      </c>
      <c r="F54" s="10">
        <f>INDEX(Cash_Flow!$P$3:$P$62,MATCH(Assumptions!$B$28+A54-1,Cash_Flow!$A$3:$A$62,0))</f>
        <v>22599.62819260887</v>
      </c>
    </row>
    <row r="55" spans="1:6" x14ac:dyDescent="0.25">
      <c r="A55" s="8">
        <f t="shared" si="2"/>
        <v>51</v>
      </c>
      <c r="B55" s="10">
        <f>INDEX(Cash_Flow!$O$3:$O$62,MATCH(Assumptions!$B$28+A55-1,Cash_Flow!$A$3:$A$62,0))+INDEX(Cash_Flow!$C$3:$C$62,MATCH(Assumptions!$B$28+A55-1,Cash_Flow!$A$3:$A$62,0))</f>
        <v>22599.62819260887</v>
      </c>
      <c r="C55" s="10">
        <f>INDEX(Cash_Flow!$F$3:$F$62,MATCH(Assumptions!$B$28+A55-1,Cash_Flow!$A$3:$A$62,0))</f>
        <v>188.33023493840724</v>
      </c>
      <c r="D55" s="10">
        <f>INDEX(Cash_Flow!$G$3:$G$62,MATCH(Assumptions!$B$28+A55-1,Cash_Flow!$A$3:$A$62,0))</f>
        <v>5579.7716116088068</v>
      </c>
      <c r="E55" s="10">
        <f t="shared" si="3"/>
        <v>5768.1018465472143</v>
      </c>
      <c r="F55" s="10">
        <f>INDEX(Cash_Flow!$P$3:$P$62,MATCH(Assumptions!$B$28+A55-1,Cash_Flow!$A$3:$A$62,0))</f>
        <v>17019.856581000065</v>
      </c>
    </row>
    <row r="56" spans="1:6" x14ac:dyDescent="0.25">
      <c r="A56" s="8">
        <f t="shared" si="2"/>
        <v>52</v>
      </c>
      <c r="B56" s="10">
        <f>INDEX(Cash_Flow!$O$3:$O$62,MATCH(Assumptions!$B$28+A56-1,Cash_Flow!$A$3:$A$62,0))+INDEX(Cash_Flow!$C$3:$C$62,MATCH(Assumptions!$B$28+A56-1,Cash_Flow!$A$3:$A$62,0))</f>
        <v>17019.856581000065</v>
      </c>
      <c r="C56" s="10">
        <f>INDEX(Cash_Flow!$F$3:$F$62,MATCH(Assumptions!$B$28+A56-1,Cash_Flow!$A$3:$A$62,0))</f>
        <v>141.83213817500055</v>
      </c>
      <c r="D56" s="10">
        <f>INDEX(Cash_Flow!$G$3:$G$62,MATCH(Assumptions!$B$28+A56-1,Cash_Flow!$A$3:$A$62,0))</f>
        <v>5626.2697083722142</v>
      </c>
      <c r="E56" s="10">
        <f t="shared" si="3"/>
        <v>5768.1018465472143</v>
      </c>
      <c r="F56" s="10">
        <f>INDEX(Cash_Flow!$P$3:$P$62,MATCH(Assumptions!$B$28+A56-1,Cash_Flow!$A$3:$A$62,0))</f>
        <v>11393.586872627851</v>
      </c>
    </row>
    <row r="57" spans="1:6" x14ac:dyDescent="0.25">
      <c r="A57" s="8">
        <f t="shared" si="2"/>
        <v>53</v>
      </c>
      <c r="B57" s="10">
        <f>INDEX(Cash_Flow!$O$3:$O$62,MATCH(Assumptions!$B$28+A57-1,Cash_Flow!$A$3:$A$62,0))+INDEX(Cash_Flow!$C$3:$C$62,MATCH(Assumptions!$B$28+A57-1,Cash_Flow!$A$3:$A$62,0))</f>
        <v>11393.586872627851</v>
      </c>
      <c r="C57" s="10">
        <f>INDEX(Cash_Flow!$F$3:$F$62,MATCH(Assumptions!$B$28+A57-1,Cash_Flow!$A$3:$A$62,0))</f>
        <v>94.946557271898754</v>
      </c>
      <c r="D57" s="10">
        <f>INDEX(Cash_Flow!$G$3:$G$62,MATCH(Assumptions!$B$28+A57-1,Cash_Flow!$A$3:$A$62,0))</f>
        <v>5673.1552892753152</v>
      </c>
      <c r="E57" s="10">
        <f t="shared" si="3"/>
        <v>5768.1018465472143</v>
      </c>
      <c r="F57" s="10">
        <f>INDEX(Cash_Flow!$P$3:$P$62,MATCH(Assumptions!$B$28+A57-1,Cash_Flow!$A$3:$A$62,0))</f>
        <v>5720.4315833525361</v>
      </c>
    </row>
    <row r="58" spans="1:6" x14ac:dyDescent="0.25">
      <c r="A58" s="8">
        <f t="shared" si="2"/>
        <v>54</v>
      </c>
      <c r="B58" s="10">
        <f>INDEX(Cash_Flow!$O$3:$O$62,MATCH(Assumptions!$B$28+A58-1,Cash_Flow!$A$3:$A$62,0))+INDEX(Cash_Flow!$C$3:$C$62,MATCH(Assumptions!$B$28+A58-1,Cash_Flow!$A$3:$A$62,0))</f>
        <v>5720.4315833525361</v>
      </c>
      <c r="C58" s="10">
        <f>INDEX(Cash_Flow!$F$3:$F$62,MATCH(Assumptions!$B$28+A58-1,Cash_Flow!$A$3:$A$62,0))</f>
        <v>47.670263194604466</v>
      </c>
      <c r="D58" s="10">
        <f>INDEX(Cash_Flow!$G$3:$G$62,MATCH(Assumptions!$B$28+A58-1,Cash_Flow!$A$3:$A$62,0))</f>
        <v>5720.4315833525361</v>
      </c>
      <c r="E58" s="10">
        <f t="shared" si="3"/>
        <v>5768.1018465471407</v>
      </c>
      <c r="F58" s="10">
        <f>INDEX(Cash_Flow!$P$3:$P$62,MATCH(Assumptions!$B$28+A58-1,Cash_Flow!$A$3:$A$62,0))</f>
        <v>0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Fleet_Schedule</vt:lpstr>
      <vt:lpstr>Cash_Flow</vt:lpstr>
      <vt:lpstr>Income_Statement</vt:lpstr>
      <vt:lpstr>Balance_Sheet</vt:lpstr>
      <vt:lpstr>Loan_Amortisation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Sebbi Kankondi</cp:lastModifiedBy>
  <dcterms:modified xsi:type="dcterms:W3CDTF">2026-04-15T15:17:29Z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2026-02-28T18:23:08Z</dcterms:created>
  <dc:creator>openpyxl</dc:creator>
  <dc:description/>
  <dc:language>en-US</dc:language>
  <cp:lastModifiedBy>Sebbi Kankondi</cp:lastModifiedBy>
  <dcterms:modified xsi:type="dcterms:W3CDTF">2026-03-06T18:08:36Z</dcterms:modified>
  <cp:revision>0</cp:revision>
  <dc:subject/>
  <dc:title/>
</cp:coreProperties>
</file>