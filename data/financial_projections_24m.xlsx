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leet_Schedule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Income_Statement" sheetId="4" state="visible" r:id="rId4"/>
    <sheet xmlns:r="http://schemas.openxmlformats.org/officeDocument/2006/relationships" name="Balance_Sheet" sheetId="5" state="visible" r:id="rId5"/>
    <sheet xmlns:r="http://schemas.openxmlformats.org/officeDocument/2006/relationships" name="Loan_Amortisation" sheetId="6" state="visible" r:id="rId6"/>
  </sheets>
  <definedNames/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4">
    <numFmt numFmtId="164" formatCode="&quot;N$&quot;#,##0_);[Red]&quot;(N$&quot;#,##0\);\-_);_(@_)"/>
    <numFmt numFmtId="165" formatCode="#,##0_);[Red]\(#,##0\);\-_);_(@_)"/>
    <numFmt numFmtId="166" formatCode="0.0%"/>
    <numFmt numFmtId="167" formatCode="&quot;N$&quot;\ #,##0.00"/>
  </numFmts>
  <fonts count="8">
    <font>
      <name val="Calibri"/>
      <charset val="1"/>
      <family val="2"/>
      <color theme="1"/>
      <sz val="11"/>
    </font>
    <font>
      <name val="Calibri"/>
      <charset val="1"/>
      <b val="1"/>
      <color rgb="FF1F4E79"/>
      <sz val="14"/>
    </font>
    <font>
      <name val="Calibri"/>
      <charset val="1"/>
      <b val="1"/>
      <color rgb="FFFFFFFF"/>
      <sz val="11"/>
    </font>
    <font>
      <name val="Calibri"/>
      <charset val="1"/>
      <color rgb="FF0000FF"/>
      <sz val="11"/>
    </font>
    <font>
      <name val="Calibri"/>
      <charset val="1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0"/>
      <sz val="12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165" fontId="3" fillId="0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0" fontId="1" fillId="0" borderId="0" pivotButton="0" quotePrefix="0" xfId="0"/>
    <xf numFmtId="164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right" vertical="center" wrapText="1"/>
    </xf>
    <xf numFmtId="164" fontId="0" fillId="0" borderId="3" applyAlignment="1" pivotButton="0" quotePrefix="0" xfId="0">
      <alignment horizontal="right" vertical="center" wrapText="1"/>
    </xf>
    <xf numFmtId="0" fontId="2" fillId="2" borderId="4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/>
    </xf>
    <xf numFmtId="1" fontId="3" fillId="0" borderId="1" applyAlignment="1" pivotButton="0" quotePrefix="0" xfId="0">
      <alignment horizontal="right" vertical="center" wrapText="1"/>
    </xf>
    <xf numFmtId="167" fontId="0" fillId="0" borderId="0" pivotButton="0" quotePrefix="0" xfId="0"/>
    <xf numFmtId="167" fontId="5" fillId="0" borderId="1" applyAlignment="1" pivotButton="0" quotePrefix="0" xfId="0">
      <alignment horizontal="right" vertical="center" wrapText="1"/>
    </xf>
    <xf numFmtId="10" fontId="4" fillId="0" borderId="1" applyAlignment="1" pivotButton="0" quotePrefix="0" xfId="0">
      <alignment horizontal="right" vertical="center" wrapText="1"/>
    </xf>
    <xf numFmtId="1" fontId="0" fillId="0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Source: user instruction in this chat. Monthly gross revenue per car set to N$30,000.</t>
      </text>
    </comment>
    <comment ref="B6" authorId="0" shapeId="0">
      <text>
        <t>Source: user instruction in this chat. Trigger vehicle disposal once monthly gross profit reaches N$180,000 or more.</t>
      </text>
    </comment>
    <comment ref="B11" authorId="0" shapeId="0">
      <text>
        <t>Source: user instruction in this chat. Maintenance expense set to zero.</t>
      </text>
    </comment>
    <comment ref="B33" authorId="0" shapeId="0">
      <text>
        <t>Source: uploaded PDF "loan_repayment_value_infor_source.pdf". Payment start month aligned to month 5.</t>
      </text>
    </comment>
  </commentList>
</comments>
</file>

<file path=xl/comments/comment2.xml><?xml version="1.0" encoding="utf-8"?>
<comments xmlns="http://schemas.openxmlformats.org/spreadsheetml/2006/main">
  <authors>
    <author>Sebbi Kankondi</author>
  </authors>
  <commentList>
    <comment ref="A2" authorId="0" shapeId="0">
      <text>
        <t>Sebbi Kankondi:
Cash flow includes prime-linked amortising bank debt, owner/investor repayments and profit distributions, and reinvestment purchases when available cash can fund at least the minimum batch size.</t>
      </text>
    </comment>
    <comment ref="B3" authorId="0" shapeId="0">
      <text>
        <t>Sebbi Kankondi:
Initial capital introduced prior to operational cash flow measurement - should not appear in the annual movement line as a normal financing inflow.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tabSelected="1" zoomScale="145" zoomScaleNormal="145" workbookViewId="0">
      <pane ySplit="3" topLeftCell="A4" activePane="bottomLeft" state="frozen"/>
      <selection pane="bottomLeft" activeCell="D7" sqref="D7"/>
    </sheetView>
  </sheetViews>
  <sheetFormatPr baseColWidth="8" defaultColWidth="8.7109375" defaultRowHeight="15" customHeight="1"/>
  <cols>
    <col width="41" customWidth="1" style="25" min="1" max="1"/>
    <col width="18" customWidth="1" style="25" min="2" max="3"/>
    <col width="80" customWidth="1" style="25" min="4" max="4"/>
  </cols>
  <sheetData>
    <row r="1" ht="18.75" customHeight="1" s="25">
      <c r="A1" s="24" t="inlineStr">
        <is>
          <t>Namibia Rent-to-Own Fleet Model - Key Assumptions (Editable)</t>
        </is>
      </c>
    </row>
    <row r="2"/>
    <row r="3">
      <c r="A3" s="2" t="inlineStr">
        <is>
          <t>Assumption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Notes / Source</t>
        </is>
      </c>
    </row>
    <row r="4">
      <c r="A4" s="27" t="inlineStr">
        <is>
          <t>Car unit cost</t>
        </is>
      </c>
      <c r="B4" s="3" t="n">
        <v>60000</v>
      </c>
      <c r="C4" s="27" t="inlineStr">
        <is>
          <t>N$ per car</t>
        </is>
      </c>
      <c r="D4" s="27" t="inlineStr">
        <is>
          <t>N$250,000 / 4 cars</t>
        </is>
      </c>
    </row>
    <row r="5">
      <c r="A5" s="27" t="inlineStr">
        <is>
          <t>Monthly Gross revenue per car</t>
        </is>
      </c>
      <c r="B5" s="3" t="n">
        <v>30000</v>
      </c>
      <c r="C5" s="27" t="inlineStr">
        <is>
          <t>N$ / car / month</t>
        </is>
      </c>
      <c r="D5" s="27" t="n"/>
    </row>
    <row r="6" ht="30" customHeight="1" s="25">
      <c r="A6" s="27" t="inlineStr">
        <is>
          <t>Contract length</t>
        </is>
      </c>
      <c r="B6" s="18" t="n">
        <v>24</v>
      </c>
      <c r="C6" s="27" t="inlineStr">
        <is>
          <t>months</t>
        </is>
      </c>
      <c r="D6" s="27" t="inlineStr">
        <is>
          <t>Client contract length that doubles as trigger for the disposal (with no disposal revenue) of all vehicles.</t>
        </is>
      </c>
    </row>
    <row r="7">
      <c r="A7" s="27" t="inlineStr">
        <is>
          <t>Procurement lead time</t>
        </is>
      </c>
      <c r="B7" s="4" t="n">
        <v>3</v>
      </c>
      <c r="C7" s="27" t="inlineStr">
        <is>
          <t>months</t>
        </is>
      </c>
      <c r="D7" s="27" t="inlineStr">
        <is>
          <t>Estimate time from vehicle order to start of operation</t>
        </is>
      </c>
    </row>
    <row r="8" ht="30" customHeight="1" s="25">
      <c r="A8" s="27" t="inlineStr">
        <is>
          <t>Fuel expense per operating car (monthly)</t>
        </is>
      </c>
      <c r="B8" s="3" t="n">
        <v>13000</v>
      </c>
      <c r="C8" s="27" t="inlineStr">
        <is>
          <t>N$ / car / month</t>
        </is>
      </c>
      <c r="D8" s="27" t="inlineStr">
        <is>
          <t>Estimated fuel expense based on Swakopmund operations ratio of N$18,000 made for every N$7,000 spent on fuel</t>
        </is>
      </c>
    </row>
    <row r="9" ht="30" customHeight="1" s="25">
      <c r="A9" s="27" t="inlineStr">
        <is>
          <t>Airtime expense per operating car (monthly)</t>
        </is>
      </c>
      <c r="B9" s="3" t="n">
        <v>290</v>
      </c>
      <c r="C9" s="27" t="inlineStr">
        <is>
          <t>N$ / car / month</t>
        </is>
      </c>
      <c r="D9" s="27" t="inlineStr">
        <is>
          <t xml:space="preserve">Airtime for yango drivers </t>
        </is>
      </c>
    </row>
    <row r="10" ht="30" customHeight="1" s="25">
      <c r="A10" s="27" t="inlineStr">
        <is>
          <t>Carwash expense per operating car (monthly)</t>
        </is>
      </c>
      <c r="B10" s="3" t="n">
        <v>240</v>
      </c>
      <c r="C10" s="27" t="inlineStr">
        <is>
          <t>N$ / car / month</t>
        </is>
      </c>
      <c r="D10" s="27" t="n"/>
    </row>
    <row r="11" ht="30" customHeight="1" s="25">
      <c r="A11" s="27" t="inlineStr">
        <is>
          <t>Maintenance expense per active car (monthly)</t>
        </is>
      </c>
      <c r="B11" s="3" t="n">
        <v>2000</v>
      </c>
      <c r="C11" s="27" t="inlineStr">
        <is>
          <t>N$ / car / month</t>
        </is>
      </c>
      <c r="D11" s="27" t="inlineStr">
        <is>
          <t>Maintenance cost completely/partially included in salary expense. Should be indicated in any client contracts.</t>
        </is>
      </c>
    </row>
    <row r="12" ht="30" customHeight="1" s="25">
      <c r="A12" t="inlineStr">
        <is>
          <t>Driver subsistence</t>
        </is>
      </c>
      <c r="B12" s="19" t="n">
        <v>1400</v>
      </c>
      <c r="C12" t="inlineStr">
        <is>
          <t>N$ / car / month</t>
        </is>
      </c>
      <c r="D12" s="23" t="inlineStr">
        <is>
          <t xml:space="preserve">For client upkeep. Part of offset (used to offset operating profit for contracts 
extended beyond 15months) funds accumulated paid as subsistence. </t>
        </is>
      </c>
    </row>
    <row r="13" ht="30" customHeight="1" s="25">
      <c r="A13" t="inlineStr">
        <is>
          <t>Incidental repair reserve</t>
        </is>
      </c>
      <c r="B13" s="19" t="n">
        <v>1600</v>
      </c>
      <c r="C13" t="inlineStr">
        <is>
          <t>N$ / car / month</t>
        </is>
      </c>
      <c r="D13" s="23" t="inlineStr">
        <is>
          <t>Internal repair insurance. Part of access or offset (used to offset operating profit to for contracts extended beyond 15months) funds accumulated paid to reserve. 
to repair reserve</t>
        </is>
      </c>
    </row>
    <row r="14">
      <c r="A14" t="inlineStr">
        <is>
          <t>Tracking device expense</t>
        </is>
      </c>
      <c r="B14" s="19" t="n">
        <v>970</v>
      </c>
      <c r="C14" t="inlineStr">
        <is>
          <t>N$ / car / month</t>
        </is>
      </c>
      <c r="D14" t="inlineStr">
        <is>
          <t>Monthly payment for 3 year contract. 1 tracking device &amp; 1 dashcam.</t>
        </is>
      </c>
    </row>
    <row r="15" ht="30" customHeight="1" s="25">
      <c r="A15" t="inlineStr">
        <is>
          <t>Cost of sales</t>
        </is>
      </c>
      <c r="B15" s="19" t="n">
        <v>19500</v>
      </c>
      <c r="C15" t="inlineStr">
        <is>
          <t>N$ / car / month</t>
        </is>
      </c>
      <c r="D15" t="inlineStr">
        <is>
          <t>fuel+airtime+carwash+maintenance+subsistence+repairs+tracking.</t>
        </is>
      </c>
    </row>
    <row r="16" ht="30" customHeight="1" s="25">
      <c r="A16" t="inlineStr">
        <is>
          <t>Monthly Gross profit per car</t>
        </is>
      </c>
      <c r="B16" s="19" t="n">
        <v>10500</v>
      </c>
      <c r="C16" t="inlineStr">
        <is>
          <t>N$ / car / month</t>
        </is>
      </c>
      <c r="D16" t="inlineStr">
        <is>
          <t>Calculated = gross revenue less direct running costs before salary.</t>
        </is>
      </c>
    </row>
    <row r="17" ht="30" customHeight="1" s="25">
      <c r="A17" t="inlineStr">
        <is>
          <t>Salary expense per operating car (monthly)</t>
        </is>
      </c>
      <c r="B17" s="19" t="n">
        <v>3000</v>
      </c>
      <c r="C17" t="inlineStr">
        <is>
          <t>N$ / car / month</t>
        </is>
      </c>
      <c r="D17" t="inlineStr">
        <is>
          <t>For General manager + Operations supervisor. Maintenance also drawn from salary.</t>
        </is>
      </c>
    </row>
    <row r="18">
      <c r="A18" t="inlineStr">
        <is>
          <t>Total operating expenses per operating car (monthly)</t>
        </is>
      </c>
      <c r="B18" s="19" t="n">
        <v>22500</v>
      </c>
      <c r="C18" t="inlineStr">
        <is>
          <t>N$ / car / month</t>
        </is>
      </c>
      <c r="D18" t="inlineStr">
        <is>
          <t>Calculated = Cost of sales + Salary expense per operating car (monthly).</t>
        </is>
      </c>
    </row>
    <row r="19" ht="30" customHeight="1" s="25">
      <c r="A19" t="inlineStr">
        <is>
          <t>Operating Profit</t>
        </is>
      </c>
      <c r="B19" s="19" t="n">
        <v>7500</v>
      </c>
      <c r="C19" t="inlineStr">
        <is>
          <t>N$ / car / month</t>
        </is>
      </c>
      <c r="D19" s="23" t="inlineStr">
        <is>
          <t xml:space="preserve">Calculated = Gross profit - Value for Operating Expense. Determine vehicle disposal 
within prescribed period.) </t>
        </is>
      </c>
    </row>
    <row r="20" ht="30" customHeight="1" s="25">
      <c r="A20" s="27" t="inlineStr">
        <is>
          <t>Min reinvest purchase batch size</t>
        </is>
      </c>
      <c r="B20" s="4" t="n">
        <v>4</v>
      </c>
      <c r="C20" s="27" t="inlineStr">
        <is>
          <t>cars</t>
        </is>
      </c>
      <c r="D20" s="27" t="inlineStr">
        <is>
          <t>Orders are placed only when retained profits can fund the purchase of atleast 4 cars.</t>
        </is>
      </c>
    </row>
    <row r="21" ht="63" customHeight="1" s="25">
      <c r="A21" s="27" t="inlineStr">
        <is>
          <t>Corporate income tax rate</t>
        </is>
      </c>
      <c r="B21" s="5" t="n">
        <v>0.32</v>
      </c>
      <c r="C21" s="27" t="inlineStr">
        <is>
          <t>%</t>
        </is>
      </c>
      <c r="D21" s="27" t="inlineStr">
        <is>
          <t>NAMRA rate for CC's</t>
        </is>
      </c>
    </row>
    <row r="22">
      <c r="A22" s="27" t="inlineStr">
        <is>
          <t>Initial owner/investor equity</t>
        </is>
      </c>
      <c r="B22" s="9" t="n">
        <v>250000</v>
      </c>
      <c r="C22" s="27" t="inlineStr">
        <is>
          <t>N$</t>
        </is>
      </c>
      <c r="D22" s="27" t="inlineStr">
        <is>
          <t xml:space="preserve">Initial funding from 1 company member for the first batch of 4 cars </t>
        </is>
      </c>
    </row>
    <row r="23" ht="30" customHeight="1" s="25">
      <c r="A23" s="27" t="inlineStr">
        <is>
          <t>Bank loan draw (batch 2)</t>
        </is>
      </c>
      <c r="B23" s="3" t="n">
        <v>250000</v>
      </c>
      <c r="C23" s="27" t="inlineStr">
        <is>
          <t>N$</t>
        </is>
      </c>
      <c r="D23" s="27" t="inlineStr">
        <is>
          <t>Proposed bank loan amount to help fund the second batch of 8 cars</t>
        </is>
      </c>
    </row>
    <row r="24" ht="30" customHeight="1" s="25">
      <c r="A24" s="27" t="inlineStr">
        <is>
          <t>Bank loan draw month (operating month index)</t>
        </is>
      </c>
      <c r="B24" s="4" t="n">
        <v>5</v>
      </c>
      <c r="C24" s="27" t="inlineStr">
        <is>
          <t>month #</t>
        </is>
      </c>
      <c r="D24" s="27" t="inlineStr">
        <is>
          <t>Bank loan request to be made after the first 4 months of operation.</t>
        </is>
      </c>
    </row>
    <row r="25" ht="30" customHeight="1" s="25">
      <c r="A25" s="27" t="inlineStr">
        <is>
          <t>Bank monthly instalment (principal + interest)</t>
        </is>
      </c>
      <c r="B25" s="20">
        <f>-PMT(B32,B31,B23)</f>
        <v/>
      </c>
      <c r="C25" s="27" t="inlineStr">
        <is>
          <t>N$ / month</t>
        </is>
      </c>
      <c r="D25" s="27" t="inlineStr">
        <is>
          <t>Monthly instalment modelled as PMT (fixed periodic repayment) at 10.00% p.a. over 54 months on N$250,000.</t>
        </is>
      </c>
    </row>
    <row r="26" ht="60" customHeight="1" s="25">
      <c r="A26" s="27" t="inlineStr">
        <is>
          <t>Bank nominal annual interest rate</t>
        </is>
      </c>
      <c r="B26" s="10" t="n">
        <v>0.1</v>
      </c>
      <c r="C26" s="27" t="inlineStr">
        <is>
          <t>%</t>
        </is>
      </c>
      <c r="D26" s="27" t="inlineStr">
        <is>
          <t xml:space="preserve">Model uses prime-linked nominal annual rate.
Prime rate anchor: Bank of Namibia (BoN) MPC statement (repo 6.50% -&gt; prime expected 10.00%): 
Bank Windhoek published prime lending rate (10.000% effective 29 Dec 2025): </t>
        </is>
      </c>
    </row>
    <row r="27">
      <c r="A27" s="27" t="inlineStr">
        <is>
          <t>Owner/investor equity injection (batch 2)</t>
        </is>
      </c>
      <c r="B27" s="3" t="n">
        <v>250000</v>
      </c>
      <c r="C27" s="27" t="inlineStr">
        <is>
          <t>N$</t>
        </is>
      </c>
      <c r="D27" s="27" t="inlineStr">
        <is>
          <t>Additional N$250,000 from 1 company member to help fund the second batch of 8 cars</t>
        </is>
      </c>
    </row>
    <row r="28" ht="30" customHeight="1" s="25">
      <c r="A28" s="27" t="inlineStr">
        <is>
          <t>Owner second injection month (operating month index)</t>
        </is>
      </c>
      <c r="B28" s="4" t="n">
        <v>5</v>
      </c>
      <c r="C28" s="27" t="inlineStr">
        <is>
          <t>month #</t>
        </is>
      </c>
      <c r="D28" s="27" t="inlineStr">
        <is>
          <t>Second phase of owner funding to be made after the first 4 months of operation</t>
        </is>
      </c>
    </row>
    <row r="29">
      <c r="A29" s="27" t="inlineStr">
        <is>
          <t>Initial cars in operation (month 1)</t>
        </is>
      </c>
      <c r="B29" s="4" t="n">
        <v>4</v>
      </c>
      <c r="C29" s="27" t="inlineStr">
        <is>
          <t>cars</t>
        </is>
      </c>
      <c r="D29" s="27" t="inlineStr">
        <is>
          <t>Initial batch of 4 cars.</t>
        </is>
      </c>
    </row>
    <row r="30" ht="30" customHeight="1" s="25">
      <c r="A30" s="27" t="inlineStr">
        <is>
          <t>Model horizon</t>
        </is>
      </c>
      <c r="B30" s="4" t="n">
        <v>60</v>
      </c>
      <c r="C30" s="27" t="inlineStr">
        <is>
          <t>months</t>
        </is>
      </c>
      <c r="D30" s="27" t="inlineStr">
        <is>
          <t>5 years monthly.</t>
        </is>
      </c>
    </row>
    <row r="31">
      <c r="A31" s="27" t="inlineStr">
        <is>
          <t>Bank loan term</t>
        </is>
      </c>
      <c r="B31" s="4" t="n">
        <v>54</v>
      </c>
      <c r="C31" s="27" t="inlineStr">
        <is>
          <t>months</t>
        </is>
      </c>
      <c r="D31" s="27" t="inlineStr">
        <is>
          <t>Uploaded PDF recommendation: 54-month amortising facility.</t>
        </is>
      </c>
    </row>
    <row r="32" ht="30" customHeight="1" s="25">
      <c r="A32" s="27" t="inlineStr">
        <is>
          <t>Bank monthly interest rate</t>
        </is>
      </c>
      <c r="B32" s="21">
        <f>B26/12</f>
        <v/>
      </c>
      <c r="C32" s="27" t="inlineStr">
        <is>
          <t>% / month</t>
        </is>
      </c>
      <c r="D32" s="27" t="inlineStr">
        <is>
          <t>Calculated from the annual nominal rate.</t>
        </is>
      </c>
    </row>
    <row r="33" ht="30" customHeight="1" s="25">
      <c r="A33" s="27" t="inlineStr">
        <is>
          <t>Bank payment start month</t>
        </is>
      </c>
      <c r="B33" s="4" t="n">
        <v>5</v>
      </c>
      <c r="C33" s="27" t="inlineStr">
        <is>
          <t>month #</t>
        </is>
      </c>
      <c r="D33" s="27" t="inlineStr">
        <is>
          <t>Aligned to the draw month per the uploaded PDF.</t>
        </is>
      </c>
    </row>
    <row r="34">
      <c r="A34" s="27" t="inlineStr">
        <is>
          <t>Investor payout per car per month</t>
        </is>
      </c>
      <c r="B34" s="3" t="n">
        <v>3000</v>
      </c>
      <c r="C34" s="27" t="inlineStr">
        <is>
          <t>N$ / car / month</t>
        </is>
      </c>
      <c r="D34" s="27" t="inlineStr">
        <is>
          <t>Set aside N$3,000 per car per month for each N$250,000 owner/investor amount.</t>
        </is>
      </c>
    </row>
    <row r="35" ht="30" customHeight="1" s="25">
      <c r="A35" s="27" t="inlineStr">
        <is>
          <t>Batch 1 investor payout start month</t>
        </is>
      </c>
      <c r="B35" s="6" t="n">
        <v>1</v>
      </c>
      <c r="C35" s="27" t="inlineStr">
        <is>
          <t>month #</t>
        </is>
      </c>
      <c r="D35" s="27" t="inlineStr">
        <is>
          <t>Payouts begin once the cars funded by the second owner/investor tranche start operating.</t>
        </is>
      </c>
    </row>
    <row r="36" ht="30" customHeight="1" s="25">
      <c r="A36" s="27" t="inlineStr">
        <is>
          <t>Batch 2 investor payout start month</t>
        </is>
      </c>
      <c r="B36" s="22" t="n">
        <v>8</v>
      </c>
      <c r="C36" s="27" t="inlineStr">
        <is>
          <t>month #</t>
        </is>
      </c>
      <c r="D36" s="27" t="inlineStr">
        <is>
          <t>Payouts begin once the cars funded by the second owner/investor tranche start operating.</t>
        </is>
      </c>
    </row>
  </sheetData>
  <mergeCells count="1">
    <mergeCell ref="A1:D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zoomScale="145" zoomScaleNormal="145" workbookViewId="0">
      <pane xSplit="1" ySplit="2" topLeftCell="B45" activePane="bottomRight" state="frozen"/>
      <selection pane="topRight" activeCell="B1" sqref="B1"/>
      <selection pane="bottomLeft" activeCell="A5" sqref="A5"/>
      <selection pane="bottomRight" activeCell="D49" sqref="D49"/>
    </sheetView>
  </sheetViews>
  <sheetFormatPr baseColWidth="8" defaultColWidth="8.7109375" defaultRowHeight="15" customHeight="1"/>
  <cols>
    <col width="10" customWidth="1" style="25" min="1" max="3"/>
    <col width="24" customWidth="1" style="25" min="4" max="11"/>
    <col width="18" customWidth="1" style="25" min="12" max="12"/>
  </cols>
  <sheetData>
    <row r="1" ht="17.25" customHeight="1" s="25">
      <c r="A1" s="24" t="inlineStr">
        <is>
          <t>Fleet schedule (all cars combined) - monthly counts</t>
        </is>
      </c>
    </row>
    <row r="2" ht="31.5" customHeight="1" s="25">
      <c r="A2" s="2" t="inlineStr">
        <is>
          <t>Month #</t>
        </is>
      </c>
      <c r="B2" s="2" t="inlineStr">
        <is>
          <t>Fiscal Year</t>
        </is>
      </c>
      <c r="C2" s="2" t="inlineStr">
        <is>
          <t>Month in FY</t>
        </is>
      </c>
      <c r="D2" s="2" t="inlineStr">
        <is>
          <t>Cars Purchased (orders placed)</t>
        </is>
      </c>
      <c r="E2" s="2" t="inlineStr">
        <is>
          <t>Cars Delivered (start operating)</t>
        </is>
      </c>
      <c r="F2" s="2" t="inlineStr">
        <is>
          <t>Cars In Pipeline (not yet operating)</t>
        </is>
      </c>
      <c r="G2" s="2" t="inlineStr">
        <is>
          <t>Cars in Rent-to-Own Operation</t>
        </is>
      </c>
      <c r="H2" s="13" t="inlineStr">
        <is>
          <t xml:space="preserve">Total Cars </t>
        </is>
      </c>
      <c r="I2" s="2" t="inlineStr">
        <is>
          <t>Total Cars In Operation (Cummulative)</t>
        </is>
      </c>
      <c r="J2" s="2" t="inlineStr">
        <is>
          <t>Cars Disposed (end of month)</t>
        </is>
      </c>
      <c r="K2" s="13" t="inlineStr">
        <is>
          <t xml:space="preserve"> Total Cars Disposed (Cummulative)</t>
        </is>
      </c>
    </row>
    <row r="3">
      <c r="A3" s="7" t="n">
        <v>1</v>
      </c>
      <c r="B3" s="6" t="n">
        <v>1</v>
      </c>
      <c r="C3" s="6" t="n">
        <v>1</v>
      </c>
      <c r="D3" s="6" t="n">
        <v>0</v>
      </c>
      <c r="E3" s="6">
        <f>Assumptions!$B$29</f>
        <v/>
      </c>
      <c r="F3" s="6" t="n">
        <v>0</v>
      </c>
      <c r="G3" s="6">
        <f>Assumptions!$B$29</f>
        <v/>
      </c>
      <c r="H3" s="6">
        <f>$G3+$F3</f>
        <v/>
      </c>
      <c r="I3" s="6">
        <f>$E3</f>
        <v/>
      </c>
      <c r="J3" s="6">
        <f>IF($A4&gt;Assumptions!$B$6,INDEX($E$3:$E$62,MATCH($A4-Assumptions!$B$6,$A$3:$A$62,0)),0)</f>
        <v/>
      </c>
      <c r="K3" s="6">
        <f>$J3</f>
        <v/>
      </c>
    </row>
    <row r="4">
      <c r="A4" s="7" t="n">
        <v>2</v>
      </c>
      <c r="B4" s="6" t="n">
        <v>1</v>
      </c>
      <c r="C4" s="6" t="n">
        <v>2</v>
      </c>
      <c r="D4" s="6">
        <f>IF((Cash_Flow!$N3+IF($A4=Assumptions!$B$24,Assumptions!$B$23,0)+IF($A4=Assumptions!$B$23,Assumptions!$B$27,0))&gt;=Assumptions!$B$4*Assumptions!$B$20,INT((Cash_Flow!$N3+IF($A4=Assumptions!$B$24,Assumptions!$B$23,0)+IF($A4=Assumptions!$B$28,Assumptions!$B$27,0))/Assumptions!$B$4),0)</f>
        <v/>
      </c>
      <c r="E4" s="6">
        <f>IF($A4&gt;Assumptions!$B$7,INDEX($D$3:$D$62,MATCH($A4-Assumptions!$B$7,$A$3:$A$62,0)),0)</f>
        <v/>
      </c>
      <c r="F4" s="6">
        <f>$F3+$D4-$E4</f>
        <v/>
      </c>
      <c r="G4" s="6">
        <f>$G3+$E4-$J4</f>
        <v/>
      </c>
      <c r="H4" s="6">
        <f>$G4+$F4</f>
        <v/>
      </c>
      <c r="I4" s="6">
        <f>$I3+$E4</f>
        <v/>
      </c>
      <c r="J4" s="6">
        <f>IF($A5&gt;Assumptions!$B$6,INDEX($E$3:$E$62,MATCH($A5-Assumptions!$B$6,$A$3:$A$62,0)),0)</f>
        <v/>
      </c>
      <c r="K4" s="6">
        <f>$J4+$K3</f>
        <v/>
      </c>
    </row>
    <row r="5">
      <c r="A5" s="7" t="n">
        <v>3</v>
      </c>
      <c r="B5" s="6" t="n">
        <v>1</v>
      </c>
      <c r="C5" s="6" t="n">
        <v>3</v>
      </c>
      <c r="D5" s="6">
        <f>IF((Cash_Flow!$N4+IF($A5=Assumptions!$B$24,Assumptions!$B$23,0)+IF($A5=Assumptions!$B$23,Assumptions!$B$27,0))&gt;=Assumptions!$B$4*Assumptions!$B$20,INT((Cash_Flow!$N4+IF($A5=Assumptions!$B$24,Assumptions!$B$23,0)+IF($A5=Assumptions!$B$28,Assumptions!$B$27,0))/Assumptions!$B$4),0)</f>
        <v/>
      </c>
      <c r="E5" s="6">
        <f>IF($A5&gt;Assumptions!$B$7,INDEX($D$3:$D$62,MATCH($A5-Assumptions!$B$7,$A$3:$A$62,0)),0)</f>
        <v/>
      </c>
      <c r="F5" s="6">
        <f>$F4+$D5-$E5</f>
        <v/>
      </c>
      <c r="G5" s="6">
        <f>$G4+$E5-$J5</f>
        <v/>
      </c>
      <c r="H5" s="6">
        <f>$G5+$F5</f>
        <v/>
      </c>
      <c r="I5" s="6">
        <f>$I4+$E5</f>
        <v/>
      </c>
      <c r="J5" s="6">
        <f>IF($A6&gt;Assumptions!$B$6,INDEX($E$3:$E$62,MATCH($A6-Assumptions!$B$6,$A$3:$A$62,0)),0)</f>
        <v/>
      </c>
      <c r="K5" s="6">
        <f>$J5+$K4</f>
        <v/>
      </c>
    </row>
    <row r="6">
      <c r="A6" s="7" t="n">
        <v>4</v>
      </c>
      <c r="B6" s="6" t="n">
        <v>1</v>
      </c>
      <c r="C6" s="6" t="n">
        <v>4</v>
      </c>
      <c r="D6" s="6">
        <f>IF((Cash_Flow!$N5+IF($A6=Assumptions!$B$24,Assumptions!$B$23,0)+IF($A6=Assumptions!$B$23,Assumptions!$B$27,0))&gt;=Assumptions!$B$4*Assumptions!$B$20,INT((Cash_Flow!$N5+IF($A6=Assumptions!$B$24,Assumptions!$B$23,0)+IF($A6=Assumptions!$B$28,Assumptions!$B$27,0))/Assumptions!$B$4),0)</f>
        <v/>
      </c>
      <c r="E6" s="6">
        <f>IF($A6&gt;Assumptions!$B$7,INDEX($D$3:$D$62,MATCH($A6-Assumptions!$B$7,$A$3:$A$62,0)),0)</f>
        <v/>
      </c>
      <c r="F6" s="6">
        <f>$F5+$D6-$E6</f>
        <v/>
      </c>
      <c r="G6" s="6">
        <f>$G5+$E6-$J6</f>
        <v/>
      </c>
      <c r="H6" s="6">
        <f>$G6+$F6</f>
        <v/>
      </c>
      <c r="I6" s="6">
        <f>$I5+$E6</f>
        <v/>
      </c>
      <c r="J6" s="6">
        <f>IF($A7&gt;Assumptions!$B$6,INDEX($E$3:$E$62,MATCH($A7-Assumptions!$B$6,$A$3:$A$62,0)),0)</f>
        <v/>
      </c>
      <c r="K6" s="6">
        <f>$J6+$K5</f>
        <v/>
      </c>
    </row>
    <row r="7">
      <c r="A7" s="7" t="n">
        <v>5</v>
      </c>
      <c r="B7" s="6" t="n">
        <v>1</v>
      </c>
      <c r="C7" s="6" t="n">
        <v>5</v>
      </c>
      <c r="D7" s="6">
        <f>IF((Cash_Flow!$N6+IF($A7=Assumptions!$B$24,Assumptions!$B$23,0)+IF($A7=Assumptions!$B$23,Assumptions!$B$27,0))&gt;=Assumptions!$B$4*Assumptions!$B$20,INT((Cash_Flow!$N6+IF($A7=Assumptions!$B$24,Assumptions!$B$23,0)+IF($A7=Assumptions!$B$28,Assumptions!$B$27,0))/Assumptions!$B$4),0)</f>
        <v/>
      </c>
      <c r="E7" s="6">
        <f>IF($A7&gt;Assumptions!$B$7,INDEX($D$3:$D$62,MATCH($A7-Assumptions!$B$7,$A$3:$A$62,0)),0)</f>
        <v/>
      </c>
      <c r="F7" s="6">
        <f>$F6+$D7-$E7</f>
        <v/>
      </c>
      <c r="G7" s="6">
        <f>$G6+$E7-$J7</f>
        <v/>
      </c>
      <c r="H7" s="6">
        <f>$G7+$F7</f>
        <v/>
      </c>
      <c r="I7" s="6">
        <f>$I6+$E7</f>
        <v/>
      </c>
      <c r="J7" s="6">
        <f>IF($A8&gt;Assumptions!$B$6,INDEX($E$3:$E$62,MATCH($A8-Assumptions!$B$6,$A$3:$A$62,0)),0)</f>
        <v/>
      </c>
      <c r="K7" s="6">
        <f>$J7+$K6</f>
        <v/>
      </c>
    </row>
    <row r="8">
      <c r="A8" s="7" t="n">
        <v>6</v>
      </c>
      <c r="B8" s="6" t="n">
        <v>1</v>
      </c>
      <c r="C8" s="6" t="n">
        <v>6</v>
      </c>
      <c r="D8" s="6">
        <f>IF((Cash_Flow!$N7+IF($A8=Assumptions!$B$24,Assumptions!$B$23,0)+IF($A8=Assumptions!$B$23,Assumptions!$B$27,0))&gt;=Assumptions!$B$4*Assumptions!$B$20,INT((Cash_Flow!$N7+IF($A8=Assumptions!$B$24,Assumptions!$B$23,0)+IF($A8=Assumptions!$B$28,Assumptions!$B$27,0))/Assumptions!$B$4),0)</f>
        <v/>
      </c>
      <c r="E8" s="6">
        <f>IF($A8&gt;Assumptions!$B$7,INDEX($D$3:$D$62,MATCH($A8-Assumptions!$B$7,$A$3:$A$62,0)),0)</f>
        <v/>
      </c>
      <c r="F8" s="6">
        <f>$F7+$D8-$E8</f>
        <v/>
      </c>
      <c r="G8" s="6">
        <f>$G7+$E8-$J8</f>
        <v/>
      </c>
      <c r="H8" s="6">
        <f>$G8+$F8</f>
        <v/>
      </c>
      <c r="I8" s="6">
        <f>$I7+$E8</f>
        <v/>
      </c>
      <c r="J8" s="6">
        <f>IF($A9&gt;Assumptions!$B$6,INDEX($E$3:$E$62,MATCH($A9-Assumptions!$B$6,$A$3:$A$62,0)),0)</f>
        <v/>
      </c>
      <c r="K8" s="6">
        <f>$J8+$K7</f>
        <v/>
      </c>
    </row>
    <row r="9">
      <c r="A9" s="7" t="n">
        <v>7</v>
      </c>
      <c r="B9" s="6" t="n">
        <v>1</v>
      </c>
      <c r="C9" s="6" t="n">
        <v>7</v>
      </c>
      <c r="D9" s="6">
        <f>IF((Cash_Flow!$N8+IF($A9=Assumptions!$B$24,Assumptions!$B$23,0)+IF($A9=Assumptions!$B$23,Assumptions!$B$27,0))&gt;=Assumptions!$B$4*Assumptions!$B$20,INT((Cash_Flow!$N8+IF($A9=Assumptions!$B$24,Assumptions!$B$23,0)+IF($A9=Assumptions!$B$28,Assumptions!$B$27,0))/Assumptions!$B$4),0)</f>
        <v/>
      </c>
      <c r="E9" s="6">
        <f>IF($A9&gt;Assumptions!$B$7,INDEX($D$3:$D$62,MATCH($A9-Assumptions!$B$7,$A$3:$A$62,0)),0)</f>
        <v/>
      </c>
      <c r="F9" s="6">
        <f>$F8+$D9-$E9</f>
        <v/>
      </c>
      <c r="G9" s="6">
        <f>$G8+$E9-$J9</f>
        <v/>
      </c>
      <c r="H9" s="6">
        <f>$G9+$F9</f>
        <v/>
      </c>
      <c r="I9" s="6">
        <f>$I8+$E9</f>
        <v/>
      </c>
      <c r="J9" s="6">
        <f>IF($A10&gt;Assumptions!$B$6,INDEX($E$3:$E$62,MATCH($A10-Assumptions!$B$6,$A$3:$A$62,0)),0)</f>
        <v/>
      </c>
      <c r="K9" s="6">
        <f>$J9+$K8</f>
        <v/>
      </c>
    </row>
    <row r="10">
      <c r="A10" s="7" t="n">
        <v>8</v>
      </c>
      <c r="B10" s="6" t="n">
        <v>1</v>
      </c>
      <c r="C10" s="6" t="n">
        <v>8</v>
      </c>
      <c r="D10" s="6">
        <f>IF((Cash_Flow!$N9+IF($A10=Assumptions!$B$24,Assumptions!$B$23,0)+IF($A10=Assumptions!$B$23,Assumptions!$B$27,0))&gt;=Assumptions!$B$4*Assumptions!$B$20,INT((Cash_Flow!$N9+IF($A10=Assumptions!$B$24,Assumptions!$B$23,0)+IF($A10=Assumptions!$B$28,Assumptions!$B$27,0))/Assumptions!$B$4),0)</f>
        <v/>
      </c>
      <c r="E10" s="6">
        <f>IF($A10&gt;Assumptions!$B$7,INDEX($D$3:$D$62,MATCH($A10-Assumptions!$B$7,$A$3:$A$62,0)),0)</f>
        <v/>
      </c>
      <c r="F10" s="6">
        <f>$F9+$D10-$E10</f>
        <v/>
      </c>
      <c r="G10" s="6">
        <f>$G9+$E10-$J10</f>
        <v/>
      </c>
      <c r="H10" s="6">
        <f>$G10+$F10</f>
        <v/>
      </c>
      <c r="I10" s="6">
        <f>$I9+$E10</f>
        <v/>
      </c>
      <c r="J10" s="6">
        <f>IF($A11&gt;Assumptions!$B$6,INDEX($E$3:$E$62,MATCH($A11-Assumptions!$B$6,$A$3:$A$62,0)),0)</f>
        <v/>
      </c>
      <c r="K10" s="6">
        <f>$J10+$K9</f>
        <v/>
      </c>
    </row>
    <row r="11">
      <c r="A11" s="7" t="n">
        <v>9</v>
      </c>
      <c r="B11" s="6" t="n">
        <v>1</v>
      </c>
      <c r="C11" s="6" t="n">
        <v>9</v>
      </c>
      <c r="D11" s="6">
        <f>IF((Cash_Flow!$N10+IF($A11=Assumptions!$B$24,Assumptions!$B$23,0)+IF($A11=Assumptions!$B$23,Assumptions!$B$27,0))&gt;=Assumptions!$B$4*Assumptions!$B$20,INT((Cash_Flow!$N10+IF($A11=Assumptions!$B$24,Assumptions!$B$23,0)+IF($A11=Assumptions!$B$28,Assumptions!$B$27,0))/Assumptions!$B$4),0)</f>
        <v/>
      </c>
      <c r="E11" s="6">
        <f>IF($A11&gt;Assumptions!$B$7,INDEX($D$3:$D$62,MATCH($A11-Assumptions!$B$7,$A$3:$A$62,0)),0)</f>
        <v/>
      </c>
      <c r="F11" s="6">
        <f>$F10+$D11-$E11</f>
        <v/>
      </c>
      <c r="G11" s="6">
        <f>$G10+$E11-$J11</f>
        <v/>
      </c>
      <c r="H11" s="6">
        <f>$G11+$F11</f>
        <v/>
      </c>
      <c r="I11" s="6">
        <f>$I10+$E11</f>
        <v/>
      </c>
      <c r="J11" s="6">
        <f>IF($A12&gt;Assumptions!$B$6,INDEX($E$3:$E$62,MATCH($A12-Assumptions!$B$6,$A$3:$A$62,0)),0)</f>
        <v/>
      </c>
      <c r="K11" s="6">
        <f>$J11+$K10</f>
        <v/>
      </c>
    </row>
    <row r="12">
      <c r="A12" s="7" t="n">
        <v>10</v>
      </c>
      <c r="B12" s="6" t="n">
        <v>1</v>
      </c>
      <c r="C12" s="6" t="n">
        <v>10</v>
      </c>
      <c r="D12" s="6">
        <f>IF((Cash_Flow!$N11+IF($A12=Assumptions!$B$24,Assumptions!$B$23,0)+IF($A12=Assumptions!$B$23,Assumptions!$B$27,0))&gt;=Assumptions!$B$4*Assumptions!$B$20,INT((Cash_Flow!$N11+IF($A12=Assumptions!$B$24,Assumptions!$B$23,0)+IF($A12=Assumptions!$B$28,Assumptions!$B$27,0))/Assumptions!$B$4),0)</f>
        <v/>
      </c>
      <c r="E12" s="6">
        <f>IF($A12&gt;Assumptions!$B$7,INDEX($D$3:$D$62,MATCH($A12-Assumptions!$B$7,$A$3:$A$62,0)),0)</f>
        <v/>
      </c>
      <c r="F12" s="6">
        <f>$F11+$D12-$E12</f>
        <v/>
      </c>
      <c r="G12" s="6">
        <f>$G11+$E12-$J12</f>
        <v/>
      </c>
      <c r="H12" s="6">
        <f>$G12+$F12</f>
        <v/>
      </c>
      <c r="I12" s="6">
        <f>$I11+$E12</f>
        <v/>
      </c>
      <c r="J12" s="6">
        <f>IF($A13&gt;Assumptions!$B$6,INDEX($E$3:$E$62,MATCH($A13-Assumptions!$B$6,$A$3:$A$62,0)),0)</f>
        <v/>
      </c>
      <c r="K12" s="6">
        <f>$J12+$K11</f>
        <v/>
      </c>
    </row>
    <row r="13">
      <c r="A13" s="7" t="n">
        <v>11</v>
      </c>
      <c r="B13" s="6" t="n">
        <v>1</v>
      </c>
      <c r="C13" s="6" t="n">
        <v>11</v>
      </c>
      <c r="D13" s="6">
        <f>IF((Cash_Flow!$N12+IF($A13=Assumptions!$B$24,Assumptions!$B$23,0)+IF($A13=Assumptions!$B$23,Assumptions!$B$27,0))&gt;=Assumptions!$B$4*Assumptions!$B$20,INT((Cash_Flow!$N12+IF($A13=Assumptions!$B$24,Assumptions!$B$23,0)+IF($A13=Assumptions!$B$28,Assumptions!$B$27,0))/Assumptions!$B$4),0)</f>
        <v/>
      </c>
      <c r="E13" s="6">
        <f>IF($A13&gt;Assumptions!$B$7,INDEX($D$3:$D$62,MATCH($A13-Assumptions!$B$7,$A$3:$A$62,0)),0)</f>
        <v/>
      </c>
      <c r="F13" s="6">
        <f>$F12+$D13-$E13</f>
        <v/>
      </c>
      <c r="G13" s="6">
        <f>$G12+$E13-$J13</f>
        <v/>
      </c>
      <c r="H13" s="6">
        <f>$G13+$F13</f>
        <v/>
      </c>
      <c r="I13" s="6">
        <f>$I12+$E13</f>
        <v/>
      </c>
      <c r="J13" s="6">
        <f>IF($A14&gt;Assumptions!$B$6,INDEX($E$3:$E$62,MATCH($A14-Assumptions!$B$6,$A$3:$A$62,0)),0)</f>
        <v/>
      </c>
      <c r="K13" s="6">
        <f>$J13+$K12</f>
        <v/>
      </c>
    </row>
    <row r="14">
      <c r="A14" s="7" t="n">
        <v>12</v>
      </c>
      <c r="B14" s="6" t="n">
        <v>1</v>
      </c>
      <c r="C14" s="6" t="n">
        <v>12</v>
      </c>
      <c r="D14" s="6">
        <f>IF((Cash_Flow!$N13+IF($A14=Assumptions!$B$24,Assumptions!$B$23,0)+IF($A14=Assumptions!$B$23,Assumptions!$B$27,0))&gt;=Assumptions!$B$4*Assumptions!$B$20,INT((Cash_Flow!$N13+IF($A14=Assumptions!$B$24,Assumptions!$B$23,0)+IF($A14=Assumptions!$B$28,Assumptions!$B$27,0))/Assumptions!$B$4),0)</f>
        <v/>
      </c>
      <c r="E14" s="6">
        <f>IF($A14&gt;Assumptions!$B$7,INDEX($D$3:$D$62,MATCH($A14-Assumptions!$B$7,$A$3:$A$62,0)),0)</f>
        <v/>
      </c>
      <c r="F14" s="6">
        <f>$F13+$D14-$E14</f>
        <v/>
      </c>
      <c r="G14" s="6">
        <f>$G13+$E14-$J14</f>
        <v/>
      </c>
      <c r="H14" s="6">
        <f>$G14+$F14</f>
        <v/>
      </c>
      <c r="I14" s="6">
        <f>$I13+$E14</f>
        <v/>
      </c>
      <c r="J14" s="6">
        <f>IF($A15&gt;Assumptions!$B$6,INDEX($E$3:$E$62,MATCH($A15-Assumptions!$B$6,$A$3:$A$62,0)),0)</f>
        <v/>
      </c>
      <c r="K14" s="6">
        <f>$J14+$K13</f>
        <v/>
      </c>
    </row>
    <row r="15">
      <c r="A15" s="7" t="n">
        <v>13</v>
      </c>
      <c r="B15" s="6" t="n">
        <v>2</v>
      </c>
      <c r="C15" s="6" t="n">
        <v>1</v>
      </c>
      <c r="D15" s="6">
        <f>IF((Cash_Flow!$N14+IF($A15=Assumptions!$B$24,Assumptions!$B$23,0)+IF($A15=Assumptions!$B$23,Assumptions!$B$27,0))&gt;=Assumptions!$B$4*Assumptions!$B$20,INT((Cash_Flow!$N14+IF($A15=Assumptions!$B$24,Assumptions!$B$23,0)+IF($A15=Assumptions!$B$28,Assumptions!$B$27,0))/Assumptions!$B$4),0)</f>
        <v/>
      </c>
      <c r="E15" s="6">
        <f>IF($A15&gt;Assumptions!$B$7,INDEX($D$3:$D$62,MATCH($A15-Assumptions!$B$7,$A$3:$A$62,0)),0)</f>
        <v/>
      </c>
      <c r="F15" s="6">
        <f>$F14+$D15-$E15</f>
        <v/>
      </c>
      <c r="G15" s="6">
        <f>$G14+$E15-$J15</f>
        <v/>
      </c>
      <c r="H15" s="6">
        <f>$G15+$F15</f>
        <v/>
      </c>
      <c r="I15" s="6">
        <f>$I14+$E15</f>
        <v/>
      </c>
      <c r="J15" s="6">
        <f>IF($A16&gt;Assumptions!$B$6,INDEX($E$3:$E$62,MATCH($A16-Assumptions!$B$6,$A$3:$A$62,0)),0)</f>
        <v/>
      </c>
      <c r="K15" s="6">
        <f>$J15+$K14</f>
        <v/>
      </c>
    </row>
    <row r="16">
      <c r="A16" s="7" t="n">
        <v>14</v>
      </c>
      <c r="B16" s="6" t="n">
        <v>2</v>
      </c>
      <c r="C16" s="6" t="n">
        <v>2</v>
      </c>
      <c r="D16" s="6">
        <f>IF((Cash_Flow!$N15+IF($A16=Assumptions!$B$24,Assumptions!$B$23,0)+IF($A16=Assumptions!$B$23,Assumptions!$B$27,0))&gt;=Assumptions!$B$4*Assumptions!$B$20,INT((Cash_Flow!$N15+IF($A16=Assumptions!$B$24,Assumptions!$B$23,0)+IF($A16=Assumptions!$B$28,Assumptions!$B$27,0))/Assumptions!$B$4),0)</f>
        <v/>
      </c>
      <c r="E16" s="6">
        <f>IF($A16&gt;Assumptions!$B$7,INDEX($D$3:$D$62,MATCH($A16-Assumptions!$B$7,$A$3:$A$62,0)),0)</f>
        <v/>
      </c>
      <c r="F16" s="6">
        <f>$F15+$D16-$E16</f>
        <v/>
      </c>
      <c r="G16" s="6">
        <f>$G15+$E16-$J16</f>
        <v/>
      </c>
      <c r="H16" s="6">
        <f>$G16+$F16</f>
        <v/>
      </c>
      <c r="I16" s="6">
        <f>$I15+$E16</f>
        <v/>
      </c>
      <c r="J16" s="6">
        <f>IF($A17&gt;Assumptions!$B$6,INDEX($E$3:$E$62,MATCH($A17-Assumptions!$B$6,$A$3:$A$62,0)),0)</f>
        <v/>
      </c>
      <c r="K16" s="6">
        <f>$J16+$K15</f>
        <v/>
      </c>
    </row>
    <row r="17">
      <c r="A17" s="7" t="n">
        <v>15</v>
      </c>
      <c r="B17" s="6" t="n">
        <v>2</v>
      </c>
      <c r="C17" s="6" t="n">
        <v>3</v>
      </c>
      <c r="D17" s="6">
        <f>IF((Cash_Flow!$N16+IF($A17=Assumptions!$B$24,Assumptions!$B$23,0)+IF($A17=Assumptions!$B$23,Assumptions!$B$27,0))&gt;=Assumptions!$B$4*Assumptions!$B$20,INT((Cash_Flow!$N16+IF($A17=Assumptions!$B$24,Assumptions!$B$23,0)+IF($A17=Assumptions!$B$28,Assumptions!$B$27,0))/Assumptions!$B$4),0)</f>
        <v/>
      </c>
      <c r="E17" s="6">
        <f>IF($A17&gt;Assumptions!$B$7,INDEX($D$3:$D$62,MATCH($A17-Assumptions!$B$7,$A$3:$A$62,0)),0)</f>
        <v/>
      </c>
      <c r="F17" s="6">
        <f>$F16+$D17-$E17</f>
        <v/>
      </c>
      <c r="G17" s="6">
        <f>$G16+$E17-$J17</f>
        <v/>
      </c>
      <c r="H17" s="6">
        <f>$G17+$F17</f>
        <v/>
      </c>
      <c r="I17" s="6">
        <f>$I16+$E17</f>
        <v/>
      </c>
      <c r="J17" s="6">
        <f>IF($A18&gt;Assumptions!$B$6,INDEX($E$3:$E$62,MATCH($A18-Assumptions!$B$6,$A$3:$A$62,0)),0)</f>
        <v/>
      </c>
      <c r="K17" s="6">
        <f>$J17+$K16</f>
        <v/>
      </c>
    </row>
    <row r="18">
      <c r="A18" s="7" t="n">
        <v>16</v>
      </c>
      <c r="B18" s="6" t="n">
        <v>2</v>
      </c>
      <c r="C18" s="6" t="n">
        <v>4</v>
      </c>
      <c r="D18" s="6">
        <f>IF((Cash_Flow!$N17+IF($A18=Assumptions!$B$24,Assumptions!$B$23,0)+IF($A18=Assumptions!$B$23,Assumptions!$B$27,0))&gt;=Assumptions!$B$4*Assumptions!$B$20,INT((Cash_Flow!$N17+IF($A18=Assumptions!$B$24,Assumptions!$B$23,0)+IF($A18=Assumptions!$B$28,Assumptions!$B$27,0))/Assumptions!$B$4),0)</f>
        <v/>
      </c>
      <c r="E18" s="6">
        <f>IF($A18&gt;Assumptions!$B$7,INDEX($D$3:$D$62,MATCH($A18-Assumptions!$B$7,$A$3:$A$62,0)),0)</f>
        <v/>
      </c>
      <c r="F18" s="6">
        <f>$F17+$D18-$E18</f>
        <v/>
      </c>
      <c r="G18" s="6">
        <f>$G17+$E18-$J18</f>
        <v/>
      </c>
      <c r="H18" s="6">
        <f>$G18+$F18</f>
        <v/>
      </c>
      <c r="I18" s="6">
        <f>$I17+$E18</f>
        <v/>
      </c>
      <c r="J18" s="6">
        <f>IF($A19&gt;Assumptions!$B$6,INDEX($E$3:$E$62,MATCH($A19-Assumptions!$B$6,$A$3:$A$62,0)),0)</f>
        <v/>
      </c>
      <c r="K18" s="6">
        <f>$J18+$K17</f>
        <v/>
      </c>
    </row>
    <row r="19">
      <c r="A19" s="7" t="n">
        <v>17</v>
      </c>
      <c r="B19" s="6" t="n">
        <v>2</v>
      </c>
      <c r="C19" s="6" t="n">
        <v>5</v>
      </c>
      <c r="D19" s="6">
        <f>IF((Cash_Flow!$N18+IF($A19=Assumptions!$B$24,Assumptions!$B$23,0)+IF($A19=Assumptions!$B$23,Assumptions!$B$27,0))&gt;=Assumptions!$B$4*Assumptions!$B$20,INT((Cash_Flow!$N18+IF($A19=Assumptions!$B$24,Assumptions!$B$23,0)+IF($A19=Assumptions!$B$28,Assumptions!$B$27,0))/Assumptions!$B$4),0)</f>
        <v/>
      </c>
      <c r="E19" s="6">
        <f>IF($A19&gt;Assumptions!$B$7,INDEX($D$3:$D$62,MATCH($A19-Assumptions!$B$7,$A$3:$A$62,0)),0)</f>
        <v/>
      </c>
      <c r="F19" s="6">
        <f>$F18+$D19-$E19</f>
        <v/>
      </c>
      <c r="G19" s="6">
        <f>$G18+$E19-$J19</f>
        <v/>
      </c>
      <c r="H19" s="6">
        <f>$G19+$F19</f>
        <v/>
      </c>
      <c r="I19" s="6">
        <f>$I18+$E19</f>
        <v/>
      </c>
      <c r="J19" s="6">
        <f>IF($A20&gt;Assumptions!$B$6,INDEX($E$3:$E$62,MATCH($A20-Assumptions!$B$6,$A$3:$A$62,0)),0)</f>
        <v/>
      </c>
      <c r="K19" s="6">
        <f>$J19+$K18</f>
        <v/>
      </c>
    </row>
    <row r="20">
      <c r="A20" s="7" t="n">
        <v>18</v>
      </c>
      <c r="B20" s="6" t="n">
        <v>2</v>
      </c>
      <c r="C20" s="6" t="n">
        <v>6</v>
      </c>
      <c r="D20" s="6">
        <f>IF((Cash_Flow!$N19+IF($A20=Assumptions!$B$24,Assumptions!$B$23,0)+IF($A20=Assumptions!$B$23,Assumptions!$B$27,0))&gt;=Assumptions!$B$4*Assumptions!$B$20,INT((Cash_Flow!$N19+IF($A20=Assumptions!$B$24,Assumptions!$B$23,0)+IF($A20=Assumptions!$B$28,Assumptions!$B$27,0))/Assumptions!$B$4),0)</f>
        <v/>
      </c>
      <c r="E20" s="6">
        <f>IF($A20&gt;Assumptions!$B$7,INDEX($D$3:$D$62,MATCH($A20-Assumptions!$B$7,$A$3:$A$62,0)),0)</f>
        <v/>
      </c>
      <c r="F20" s="6">
        <f>$F19+$D20-$E20</f>
        <v/>
      </c>
      <c r="G20" s="6">
        <f>$G19+$E20-$J20</f>
        <v/>
      </c>
      <c r="H20" s="6">
        <f>$G20+$F20</f>
        <v/>
      </c>
      <c r="I20" s="6">
        <f>$I19+$E20</f>
        <v/>
      </c>
      <c r="J20" s="6">
        <f>IF($A21&gt;Assumptions!$B$6,INDEX($E$3:$E$62,MATCH($A21-Assumptions!$B$6,$A$3:$A$62,0)),0)</f>
        <v/>
      </c>
      <c r="K20" s="6">
        <f>$J20+$K19</f>
        <v/>
      </c>
    </row>
    <row r="21">
      <c r="A21" s="7" t="n">
        <v>19</v>
      </c>
      <c r="B21" s="6" t="n">
        <v>2</v>
      </c>
      <c r="C21" s="6" t="n">
        <v>7</v>
      </c>
      <c r="D21" s="6">
        <f>IF((Cash_Flow!$N20+IF($A21=Assumptions!$B$24,Assumptions!$B$23,0)+IF($A21=Assumptions!$B$23,Assumptions!$B$27,0))&gt;=Assumptions!$B$4*Assumptions!$B$20,INT((Cash_Flow!$N20+IF($A21=Assumptions!$B$24,Assumptions!$B$23,0)+IF($A21=Assumptions!$B$28,Assumptions!$B$27,0))/Assumptions!$B$4),0)</f>
        <v/>
      </c>
      <c r="E21" s="6">
        <f>IF($A21&gt;Assumptions!$B$7,INDEX($D$3:$D$62,MATCH($A21-Assumptions!$B$7,$A$3:$A$62,0)),0)</f>
        <v/>
      </c>
      <c r="F21" s="6">
        <f>$F20+$D21-$E21</f>
        <v/>
      </c>
      <c r="G21" s="6">
        <f>$G20+$E21-$J21</f>
        <v/>
      </c>
      <c r="H21" s="6">
        <f>$G21+$F21</f>
        <v/>
      </c>
      <c r="I21" s="6">
        <f>$I20+$E21</f>
        <v/>
      </c>
      <c r="J21" s="6">
        <f>IF($A22&gt;Assumptions!$B$6,INDEX($E$3:$E$62,MATCH($A22-Assumptions!$B$6,$A$3:$A$62,0)),0)</f>
        <v/>
      </c>
      <c r="K21" s="6">
        <f>$J21+$K20</f>
        <v/>
      </c>
    </row>
    <row r="22">
      <c r="A22" s="7" t="n">
        <v>20</v>
      </c>
      <c r="B22" s="6" t="n">
        <v>2</v>
      </c>
      <c r="C22" s="6" t="n">
        <v>8</v>
      </c>
      <c r="D22" s="6">
        <f>IF((Cash_Flow!$N21+IF($A22=Assumptions!$B$24,Assumptions!$B$23,0)+IF($A22=Assumptions!$B$23,Assumptions!$B$27,0))&gt;=Assumptions!$B$4*Assumptions!$B$20,INT((Cash_Flow!$N21+IF($A22=Assumptions!$B$24,Assumptions!$B$23,0)+IF($A22=Assumptions!$B$28,Assumptions!$B$27,0))/Assumptions!$B$4),0)</f>
        <v/>
      </c>
      <c r="E22" s="6">
        <f>IF($A22&gt;Assumptions!$B$7,INDEX($D$3:$D$62,MATCH($A22-Assumptions!$B$7,$A$3:$A$62,0)),0)</f>
        <v/>
      </c>
      <c r="F22" s="6">
        <f>$F21+$D22-$E22</f>
        <v/>
      </c>
      <c r="G22" s="6">
        <f>$G21+$E22-$J22</f>
        <v/>
      </c>
      <c r="H22" s="6">
        <f>$G22+$F22</f>
        <v/>
      </c>
      <c r="I22" s="6">
        <f>$I21+$E22</f>
        <v/>
      </c>
      <c r="J22" s="6">
        <f>IF($A23&gt;Assumptions!$B$6,INDEX($E$3:$E$62,MATCH($A23-Assumptions!$B$6,$A$3:$A$62,0)),0)</f>
        <v/>
      </c>
      <c r="K22" s="6">
        <f>$J22+$K21</f>
        <v/>
      </c>
    </row>
    <row r="23">
      <c r="A23" s="7" t="n">
        <v>21</v>
      </c>
      <c r="B23" s="6" t="n">
        <v>2</v>
      </c>
      <c r="C23" s="6" t="n">
        <v>9</v>
      </c>
      <c r="D23" s="6">
        <f>IF((Cash_Flow!$N22+IF($A23=Assumptions!$B$24,Assumptions!$B$23,0)+IF($A23=Assumptions!$B$23,Assumptions!$B$27,0))&gt;=Assumptions!$B$4*Assumptions!$B$20,INT((Cash_Flow!$N22+IF($A23=Assumptions!$B$24,Assumptions!$B$23,0)+IF($A23=Assumptions!$B$28,Assumptions!$B$27,0))/Assumptions!$B$4),0)</f>
        <v/>
      </c>
      <c r="E23" s="6">
        <f>IF($A23&gt;Assumptions!$B$7,INDEX($D$3:$D$62,MATCH($A23-Assumptions!$B$7,$A$3:$A$62,0)),0)</f>
        <v/>
      </c>
      <c r="F23" s="6">
        <f>$F22+$D23-$E23</f>
        <v/>
      </c>
      <c r="G23" s="6">
        <f>$G22+$E23-$J23</f>
        <v/>
      </c>
      <c r="H23" s="6">
        <f>$G23+$F23</f>
        <v/>
      </c>
      <c r="I23" s="6">
        <f>$I22+$E23</f>
        <v/>
      </c>
      <c r="J23" s="6">
        <f>IF($A24&gt;Assumptions!$B$6,INDEX($E$3:$E$62,MATCH($A24-Assumptions!$B$6,$A$3:$A$62,0)),0)</f>
        <v/>
      </c>
      <c r="K23" s="6">
        <f>$J23+$K22</f>
        <v/>
      </c>
    </row>
    <row r="24">
      <c r="A24" s="7" t="n">
        <v>22</v>
      </c>
      <c r="B24" s="6" t="n">
        <v>2</v>
      </c>
      <c r="C24" s="6" t="n">
        <v>10</v>
      </c>
      <c r="D24" s="6">
        <f>IF((Cash_Flow!$N23+IF($A24=Assumptions!$B$24,Assumptions!$B$23,0)+IF($A24=Assumptions!$B$23,Assumptions!$B$27,0))&gt;=Assumptions!$B$4*Assumptions!$B$20,INT((Cash_Flow!$N23+IF($A24=Assumptions!$B$24,Assumptions!$B$23,0)+IF($A24=Assumptions!$B$28,Assumptions!$B$27,0))/Assumptions!$B$4),0)</f>
        <v/>
      </c>
      <c r="E24" s="6">
        <f>IF($A24&gt;Assumptions!$B$7,INDEX($D$3:$D$62,MATCH($A24-Assumptions!$B$7,$A$3:$A$62,0)),0)</f>
        <v/>
      </c>
      <c r="F24" s="6">
        <f>$F23+$D24-$E24</f>
        <v/>
      </c>
      <c r="G24" s="6">
        <f>$G23+$E24-$J24</f>
        <v/>
      </c>
      <c r="H24" s="6">
        <f>$G24+$F24</f>
        <v/>
      </c>
      <c r="I24" s="6">
        <f>$I23+$E24</f>
        <v/>
      </c>
      <c r="J24" s="6">
        <f>IF($A25&gt;Assumptions!$B$6,INDEX($E$3:$E$62,MATCH($A25-Assumptions!$B$6,$A$3:$A$62,0)),0)</f>
        <v/>
      </c>
      <c r="K24" s="6">
        <f>$J24+$K23</f>
        <v/>
      </c>
    </row>
    <row r="25">
      <c r="A25" s="7" t="n">
        <v>23</v>
      </c>
      <c r="B25" s="6" t="n">
        <v>2</v>
      </c>
      <c r="C25" s="6" t="n">
        <v>11</v>
      </c>
      <c r="D25" s="6">
        <f>IF((Cash_Flow!$N24+IF($A25=Assumptions!$B$24,Assumptions!$B$23,0)+IF($A25=Assumptions!$B$23,Assumptions!$B$27,0))&gt;=Assumptions!$B$4*Assumptions!$B$20,INT((Cash_Flow!$N24+IF($A25=Assumptions!$B$24,Assumptions!$B$23,0)+IF($A25=Assumptions!$B$28,Assumptions!$B$27,0))/Assumptions!$B$4),0)</f>
        <v/>
      </c>
      <c r="E25" s="6">
        <f>IF($A25&gt;Assumptions!$B$7,INDEX($D$3:$D$62,MATCH($A25-Assumptions!$B$7,$A$3:$A$62,0)),0)</f>
        <v/>
      </c>
      <c r="F25" s="6">
        <f>$F24+$D25-$E25</f>
        <v/>
      </c>
      <c r="G25" s="6">
        <f>$G24+$E25-$J25</f>
        <v/>
      </c>
      <c r="H25" s="6">
        <f>$G25+$F25</f>
        <v/>
      </c>
      <c r="I25" s="6">
        <f>$I24+$E25</f>
        <v/>
      </c>
      <c r="J25" s="6">
        <f>IF($A26&gt;Assumptions!$B$6,INDEX($E$3:$E$62,MATCH($A26-Assumptions!$B$6,$A$3:$A$62,0)),0)</f>
        <v/>
      </c>
      <c r="K25" s="6">
        <f>$J25+$K24</f>
        <v/>
      </c>
    </row>
    <row r="26">
      <c r="A26" s="7" t="n">
        <v>24</v>
      </c>
      <c r="B26" s="6" t="n">
        <v>2</v>
      </c>
      <c r="C26" s="6" t="n">
        <v>12</v>
      </c>
      <c r="D26" s="6">
        <f>IF((Cash_Flow!$N25+IF($A26=Assumptions!$B$24,Assumptions!$B$23,0)+IF($A26=Assumptions!$B$23,Assumptions!$B$27,0))&gt;=Assumptions!$B$4*Assumptions!$B$20,INT((Cash_Flow!$N25+IF($A26=Assumptions!$B$24,Assumptions!$B$23,0)+IF($A26=Assumptions!$B$28,Assumptions!$B$27,0))/Assumptions!$B$4),0)</f>
        <v/>
      </c>
      <c r="E26" s="6">
        <f>IF($A26&gt;Assumptions!$B$7,INDEX($D$3:$D$62,MATCH($A26-Assumptions!$B$7,$A$3:$A$62,0)),0)</f>
        <v/>
      </c>
      <c r="F26" s="6">
        <f>$F25+$D26-$E26</f>
        <v/>
      </c>
      <c r="G26" s="6">
        <f>$G25+$E26-$J26</f>
        <v/>
      </c>
      <c r="H26" s="6">
        <f>$G26+$F26</f>
        <v/>
      </c>
      <c r="I26" s="6">
        <f>$I25+$E26</f>
        <v/>
      </c>
      <c r="J26" s="6">
        <f>IF($A27&gt;Assumptions!$B$6,INDEX($E$3:$E$62,MATCH($A27-Assumptions!$B$6,$A$3:$A$62,0)),0)</f>
        <v/>
      </c>
      <c r="K26" s="6">
        <f>$J26+$K25</f>
        <v/>
      </c>
    </row>
    <row r="27">
      <c r="A27" s="7" t="n">
        <v>25</v>
      </c>
      <c r="B27" s="6" t="n">
        <v>3</v>
      </c>
      <c r="C27" s="6" t="n">
        <v>1</v>
      </c>
      <c r="D27" s="6">
        <f>IF((Cash_Flow!$N26+IF($A27=Assumptions!$B$24,Assumptions!$B$23,0)+IF($A27=Assumptions!$B$23,Assumptions!$B$27,0))&gt;=Assumptions!$B$4*Assumptions!$B$20,INT((Cash_Flow!$N26+IF($A27=Assumptions!$B$24,Assumptions!$B$23,0)+IF($A27=Assumptions!$B$28,Assumptions!$B$27,0))/Assumptions!$B$4),0)</f>
        <v/>
      </c>
      <c r="E27" s="6">
        <f>IF($A27&gt;Assumptions!$B$7,INDEX($D$3:$D$62,MATCH($A27-Assumptions!$B$7,$A$3:$A$62,0)),0)</f>
        <v/>
      </c>
      <c r="F27" s="6">
        <f>$F26+$D27-$E27</f>
        <v/>
      </c>
      <c r="G27" s="6">
        <f>$G26+$E27-$J27</f>
        <v/>
      </c>
      <c r="H27" s="6">
        <f>$G27+$F27</f>
        <v/>
      </c>
      <c r="I27" s="6">
        <f>$I26+$E27</f>
        <v/>
      </c>
      <c r="J27" s="6">
        <f>IF($A28&gt;Assumptions!$B$6,INDEX($E$3:$E$62,MATCH($A28-Assumptions!$B$6,$A$3:$A$62,0)),0)</f>
        <v/>
      </c>
      <c r="K27" s="6">
        <f>$J27+$K26</f>
        <v/>
      </c>
    </row>
    <row r="28">
      <c r="A28" s="7" t="n">
        <v>26</v>
      </c>
      <c r="B28" s="6" t="n">
        <v>3</v>
      </c>
      <c r="C28" s="6" t="n">
        <v>2</v>
      </c>
      <c r="D28" s="6">
        <f>IF((Cash_Flow!$N27+IF($A28=Assumptions!$B$24,Assumptions!$B$23,0)+IF($A28=Assumptions!$B$23,Assumptions!$B$27,0))&gt;=Assumptions!$B$4*Assumptions!$B$20,INT((Cash_Flow!$N27+IF($A28=Assumptions!$B$24,Assumptions!$B$23,0)+IF($A28=Assumptions!$B$28,Assumptions!$B$27,0))/Assumptions!$B$4),0)</f>
        <v/>
      </c>
      <c r="E28" s="6">
        <f>IF($A28&gt;Assumptions!$B$7,INDEX($D$3:$D$62,MATCH($A28-Assumptions!$B$7,$A$3:$A$62,0)),0)</f>
        <v/>
      </c>
      <c r="F28" s="6">
        <f>$F27+$D28-$E28</f>
        <v/>
      </c>
      <c r="G28" s="6">
        <f>$G27+$E28-$J28</f>
        <v/>
      </c>
      <c r="H28" s="6">
        <f>$G28+$F28</f>
        <v/>
      </c>
      <c r="I28" s="6">
        <f>$I27+$E28</f>
        <v/>
      </c>
      <c r="J28" s="6">
        <f>IF($A29&gt;Assumptions!$B$6,INDEX($E$3:$E$62,MATCH($A29-Assumptions!$B$6,$A$3:$A$62,0)),0)</f>
        <v/>
      </c>
      <c r="K28" s="6">
        <f>$J28+$K27</f>
        <v/>
      </c>
    </row>
    <row r="29">
      <c r="A29" s="7" t="n">
        <v>27</v>
      </c>
      <c r="B29" s="6" t="n">
        <v>3</v>
      </c>
      <c r="C29" s="6" t="n">
        <v>3</v>
      </c>
      <c r="D29" s="6">
        <f>IF((Cash_Flow!$N28+IF($A29=Assumptions!$B$24,Assumptions!$B$23,0)+IF($A29=Assumptions!$B$23,Assumptions!$B$27,0))&gt;=Assumptions!$B$4*Assumptions!$B$20,INT((Cash_Flow!$N28+IF($A29=Assumptions!$B$24,Assumptions!$B$23,0)+IF($A29=Assumptions!$B$28,Assumptions!$B$27,0))/Assumptions!$B$4),0)</f>
        <v/>
      </c>
      <c r="E29" s="6">
        <f>IF($A29&gt;Assumptions!$B$7,INDEX($D$3:$D$62,MATCH($A29-Assumptions!$B$7,$A$3:$A$62,0)),0)</f>
        <v/>
      </c>
      <c r="F29" s="6">
        <f>$F28+$D29-$E29</f>
        <v/>
      </c>
      <c r="G29" s="6">
        <f>$G28+$E29-$J29</f>
        <v/>
      </c>
      <c r="H29" s="6">
        <f>$G29+$F29</f>
        <v/>
      </c>
      <c r="I29" s="6">
        <f>$I28+$E29</f>
        <v/>
      </c>
      <c r="J29" s="6">
        <f>IF($A30&gt;Assumptions!$B$6,INDEX($E$3:$E$62,MATCH($A30-Assumptions!$B$6,$A$3:$A$62,0)),0)</f>
        <v/>
      </c>
      <c r="K29" s="6">
        <f>$J29+$K28</f>
        <v/>
      </c>
    </row>
    <row r="30">
      <c r="A30" s="7" t="n">
        <v>28</v>
      </c>
      <c r="B30" s="6" t="n">
        <v>3</v>
      </c>
      <c r="C30" s="6" t="n">
        <v>4</v>
      </c>
      <c r="D30" s="6">
        <f>IF((Cash_Flow!$N29+IF($A30=Assumptions!$B$24,Assumptions!$B$23,0)+IF($A30=Assumptions!$B$23,Assumptions!$B$27,0))&gt;=Assumptions!$B$4*Assumptions!$B$20,INT((Cash_Flow!$N29+IF($A30=Assumptions!$B$24,Assumptions!$B$23,0)+IF($A30=Assumptions!$B$28,Assumptions!$B$27,0))/Assumptions!$B$4),0)</f>
        <v/>
      </c>
      <c r="E30" s="6">
        <f>IF($A30&gt;Assumptions!$B$7,INDEX($D$3:$D$62,MATCH($A30-Assumptions!$B$7,$A$3:$A$62,0)),0)</f>
        <v/>
      </c>
      <c r="F30" s="6">
        <f>$F29+$D30-$E30</f>
        <v/>
      </c>
      <c r="G30" s="6">
        <f>$G29+$E30-$J30</f>
        <v/>
      </c>
      <c r="H30" s="6">
        <f>$G30+$F30</f>
        <v/>
      </c>
      <c r="I30" s="6">
        <f>$I29+$E30</f>
        <v/>
      </c>
      <c r="J30" s="6">
        <f>IF($A31&gt;Assumptions!$B$6,INDEX($E$3:$E$62,MATCH($A31-Assumptions!$B$6,$A$3:$A$62,0)),0)</f>
        <v/>
      </c>
      <c r="K30" s="6">
        <f>$J30+$K29</f>
        <v/>
      </c>
    </row>
    <row r="31">
      <c r="A31" s="7" t="n">
        <v>29</v>
      </c>
      <c r="B31" s="6" t="n">
        <v>3</v>
      </c>
      <c r="C31" s="6" t="n">
        <v>5</v>
      </c>
      <c r="D31" s="6">
        <f>IF((Cash_Flow!$N30+IF($A31=Assumptions!$B$24,Assumptions!$B$23,0)+IF($A31=Assumptions!$B$23,Assumptions!$B$27,0))&gt;=Assumptions!$B$4*Assumptions!$B$20,INT((Cash_Flow!$N30+IF($A31=Assumptions!$B$24,Assumptions!$B$23,0)+IF($A31=Assumptions!$B$28,Assumptions!$B$27,0))/Assumptions!$B$4),0)</f>
        <v/>
      </c>
      <c r="E31" s="6">
        <f>IF($A31&gt;Assumptions!$B$7,INDEX($D$3:$D$62,MATCH($A31-Assumptions!$B$7,$A$3:$A$62,0)),0)</f>
        <v/>
      </c>
      <c r="F31" s="6">
        <f>$F30+$D31-$E31</f>
        <v/>
      </c>
      <c r="G31" s="6">
        <f>$G30+$E31-$J31</f>
        <v/>
      </c>
      <c r="H31" s="6">
        <f>$G31+$F31</f>
        <v/>
      </c>
      <c r="I31" s="6">
        <f>$I30+$E31</f>
        <v/>
      </c>
      <c r="J31" s="6">
        <f>IF($A32&gt;Assumptions!$B$6,INDEX($E$3:$E$62,MATCH($A32-Assumptions!$B$6,$A$3:$A$62,0)),0)</f>
        <v/>
      </c>
      <c r="K31" s="6">
        <f>$J31+$K30</f>
        <v/>
      </c>
    </row>
    <row r="32">
      <c r="A32" s="7" t="n">
        <v>30</v>
      </c>
      <c r="B32" s="6" t="n">
        <v>3</v>
      </c>
      <c r="C32" s="6" t="n">
        <v>6</v>
      </c>
      <c r="D32" s="6">
        <f>IF((Cash_Flow!$N31+IF($A32=Assumptions!$B$24,Assumptions!$B$23,0)+IF($A32=Assumptions!$B$23,Assumptions!$B$27,0))&gt;=Assumptions!$B$4*Assumptions!$B$20,INT((Cash_Flow!$N31+IF($A32=Assumptions!$B$24,Assumptions!$B$23,0)+IF($A32=Assumptions!$B$28,Assumptions!$B$27,0))/Assumptions!$B$4),0)</f>
        <v/>
      </c>
      <c r="E32" s="6">
        <f>IF($A32&gt;Assumptions!$B$7,INDEX($D$3:$D$62,MATCH($A32-Assumptions!$B$7,$A$3:$A$62,0)),0)</f>
        <v/>
      </c>
      <c r="F32" s="6">
        <f>$F31+$D32-$E32</f>
        <v/>
      </c>
      <c r="G32" s="6">
        <f>$G31+$E32-$J32</f>
        <v/>
      </c>
      <c r="H32" s="6">
        <f>$G32+$F32</f>
        <v/>
      </c>
      <c r="I32" s="6">
        <f>$I31+$E32</f>
        <v/>
      </c>
      <c r="J32" s="6">
        <f>IF($A33&gt;Assumptions!$B$6,INDEX($E$3:$E$62,MATCH($A33-Assumptions!$B$6,$A$3:$A$62,0)),0)</f>
        <v/>
      </c>
      <c r="K32" s="6">
        <f>$J32+$K31</f>
        <v/>
      </c>
    </row>
    <row r="33">
      <c r="A33" s="7" t="n">
        <v>31</v>
      </c>
      <c r="B33" s="6" t="n">
        <v>3</v>
      </c>
      <c r="C33" s="6" t="n">
        <v>7</v>
      </c>
      <c r="D33" s="6">
        <f>IF((Cash_Flow!$N32+IF($A33=Assumptions!$B$24,Assumptions!$B$23,0)+IF($A33=Assumptions!$B$23,Assumptions!$B$27,0))&gt;=Assumptions!$B$4*Assumptions!$B$20,INT((Cash_Flow!$N32+IF($A33=Assumptions!$B$24,Assumptions!$B$23,0)+IF($A33=Assumptions!$B$28,Assumptions!$B$27,0))/Assumptions!$B$4),0)</f>
        <v/>
      </c>
      <c r="E33" s="6">
        <f>IF($A33&gt;Assumptions!$B$7,INDEX($D$3:$D$62,MATCH($A33-Assumptions!$B$7,$A$3:$A$62,0)),0)</f>
        <v/>
      </c>
      <c r="F33" s="6">
        <f>$F32+$D33-$E33</f>
        <v/>
      </c>
      <c r="G33" s="6">
        <f>$G32+$E33-$J33</f>
        <v/>
      </c>
      <c r="H33" s="6">
        <f>$G33+$F33</f>
        <v/>
      </c>
      <c r="I33" s="6">
        <f>$I32+$E33</f>
        <v/>
      </c>
      <c r="J33" s="6">
        <f>IF($A34&gt;Assumptions!$B$6,INDEX($E$3:$E$62,MATCH($A34-Assumptions!$B$6,$A$3:$A$62,0)),0)</f>
        <v/>
      </c>
      <c r="K33" s="6">
        <f>$J33+$K32</f>
        <v/>
      </c>
    </row>
    <row r="34">
      <c r="A34" s="7" t="n">
        <v>32</v>
      </c>
      <c r="B34" s="6" t="n">
        <v>3</v>
      </c>
      <c r="C34" s="6" t="n">
        <v>8</v>
      </c>
      <c r="D34" s="6">
        <f>IF((Cash_Flow!$N33+IF($A34=Assumptions!$B$24,Assumptions!$B$23,0)+IF($A34=Assumptions!$B$23,Assumptions!$B$27,0))&gt;=Assumptions!$B$4*Assumptions!$B$20,INT((Cash_Flow!$N33+IF($A34=Assumptions!$B$24,Assumptions!$B$23,0)+IF($A34=Assumptions!$B$28,Assumptions!$B$27,0))/Assumptions!$B$4),0)</f>
        <v/>
      </c>
      <c r="E34" s="6">
        <f>IF($A34&gt;Assumptions!$B$7,INDEX($D$3:$D$62,MATCH($A34-Assumptions!$B$7,$A$3:$A$62,0)),0)</f>
        <v/>
      </c>
      <c r="F34" s="6">
        <f>$F33+$D34-$E34</f>
        <v/>
      </c>
      <c r="G34" s="6">
        <f>$G33+$E34-$J34</f>
        <v/>
      </c>
      <c r="H34" s="6">
        <f>$G34+$F34</f>
        <v/>
      </c>
      <c r="I34" s="6">
        <f>$I33+$E34</f>
        <v/>
      </c>
      <c r="J34" s="6">
        <f>IF($A35&gt;Assumptions!$B$6,INDEX($E$3:$E$62,MATCH($A35-Assumptions!$B$6,$A$3:$A$62,0)),0)</f>
        <v/>
      </c>
      <c r="K34" s="6">
        <f>$J34+$K33</f>
        <v/>
      </c>
    </row>
    <row r="35">
      <c r="A35" s="7" t="n">
        <v>33</v>
      </c>
      <c r="B35" s="6" t="n">
        <v>3</v>
      </c>
      <c r="C35" s="6" t="n">
        <v>9</v>
      </c>
      <c r="D35" s="6">
        <f>IF((Cash_Flow!$N34+IF($A35=Assumptions!$B$24,Assumptions!$B$23,0)+IF($A35=Assumptions!$B$23,Assumptions!$B$27,0))&gt;=Assumptions!$B$4*Assumptions!$B$20,INT((Cash_Flow!$N34+IF($A35=Assumptions!$B$24,Assumptions!$B$23,0)+IF($A35=Assumptions!$B$28,Assumptions!$B$27,0))/Assumptions!$B$4),0)</f>
        <v/>
      </c>
      <c r="E35" s="6">
        <f>IF($A35&gt;Assumptions!$B$7,INDEX($D$3:$D$62,MATCH($A35-Assumptions!$B$7,$A$3:$A$62,0)),0)</f>
        <v/>
      </c>
      <c r="F35" s="6">
        <f>$F34+$D35-$E35</f>
        <v/>
      </c>
      <c r="G35" s="6">
        <f>$G34+$E35-$J35</f>
        <v/>
      </c>
      <c r="H35" s="6">
        <f>$G35+$F35</f>
        <v/>
      </c>
      <c r="I35" s="6">
        <f>$I34+$E35</f>
        <v/>
      </c>
      <c r="J35" s="6">
        <f>IF($A36&gt;Assumptions!$B$6,INDEX($E$3:$E$62,MATCH($A36-Assumptions!$B$6,$A$3:$A$62,0)),0)</f>
        <v/>
      </c>
      <c r="K35" s="6">
        <f>$J35+$K34</f>
        <v/>
      </c>
    </row>
    <row r="36">
      <c r="A36" s="7" t="n">
        <v>34</v>
      </c>
      <c r="B36" s="6" t="n">
        <v>3</v>
      </c>
      <c r="C36" s="6" t="n">
        <v>10</v>
      </c>
      <c r="D36" s="6">
        <f>IF((Cash_Flow!$N35+IF($A36=Assumptions!$B$24,Assumptions!$B$23,0)+IF($A36=Assumptions!$B$23,Assumptions!$B$27,0))&gt;=Assumptions!$B$4*Assumptions!$B$20,INT((Cash_Flow!$N35+IF($A36=Assumptions!$B$24,Assumptions!$B$23,0)+IF($A36=Assumptions!$B$28,Assumptions!$B$27,0))/Assumptions!$B$4),0)</f>
        <v/>
      </c>
      <c r="E36" s="6">
        <f>IF($A36&gt;Assumptions!$B$7,INDEX($D$3:$D$62,MATCH($A36-Assumptions!$B$7,$A$3:$A$62,0)),0)</f>
        <v/>
      </c>
      <c r="F36" s="6">
        <f>$F35+$D36-$E36</f>
        <v/>
      </c>
      <c r="G36" s="6">
        <f>$G35+$E36-$J36</f>
        <v/>
      </c>
      <c r="H36" s="6">
        <f>$G36+$F36</f>
        <v/>
      </c>
      <c r="I36" s="6">
        <f>$I35+$E36</f>
        <v/>
      </c>
      <c r="J36" s="6">
        <f>IF($A37&gt;Assumptions!$B$6,INDEX($E$3:$E$62,MATCH($A37-Assumptions!$B$6,$A$3:$A$62,0)),0)</f>
        <v/>
      </c>
      <c r="K36" s="6">
        <f>$J36+$K35</f>
        <v/>
      </c>
    </row>
    <row r="37">
      <c r="A37" s="7" t="n">
        <v>35</v>
      </c>
      <c r="B37" s="6" t="n">
        <v>3</v>
      </c>
      <c r="C37" s="6" t="n">
        <v>11</v>
      </c>
      <c r="D37" s="6">
        <f>IF((Cash_Flow!$N36+IF($A37=Assumptions!$B$24,Assumptions!$B$23,0)+IF($A37=Assumptions!$B$23,Assumptions!$B$27,0))&gt;=Assumptions!$B$4*Assumptions!$B$20,INT((Cash_Flow!$N36+IF($A37=Assumptions!$B$24,Assumptions!$B$23,0)+IF($A37=Assumptions!$B$28,Assumptions!$B$27,0))/Assumptions!$B$4),0)</f>
        <v/>
      </c>
      <c r="E37" s="6">
        <f>IF($A37&gt;Assumptions!$B$7,INDEX($D$3:$D$62,MATCH($A37-Assumptions!$B$7,$A$3:$A$62,0)),0)</f>
        <v/>
      </c>
      <c r="F37" s="6">
        <f>$F36+$D37-$E37</f>
        <v/>
      </c>
      <c r="G37" s="6">
        <f>$G36+$E37-$J37</f>
        <v/>
      </c>
      <c r="H37" s="6">
        <f>$G37+$F37</f>
        <v/>
      </c>
      <c r="I37" s="6">
        <f>$I36+$E37</f>
        <v/>
      </c>
      <c r="J37" s="6">
        <f>IF($A38&gt;Assumptions!$B$6,INDEX($E$3:$E$62,MATCH($A38-Assumptions!$B$6,$A$3:$A$62,0)),0)</f>
        <v/>
      </c>
      <c r="K37" s="6">
        <f>$J37+$K36</f>
        <v/>
      </c>
    </row>
    <row r="38">
      <c r="A38" s="7" t="n">
        <v>36</v>
      </c>
      <c r="B38" s="6" t="n">
        <v>3</v>
      </c>
      <c r="C38" s="6" t="n">
        <v>12</v>
      </c>
      <c r="D38" s="6">
        <f>IF((Cash_Flow!$N37+IF($A38=Assumptions!$B$24,Assumptions!$B$23,0)+IF($A38=Assumptions!$B$23,Assumptions!$B$27,0))&gt;=Assumptions!$B$4*Assumptions!$B$20,INT((Cash_Flow!$N37+IF($A38=Assumptions!$B$24,Assumptions!$B$23,0)+IF($A38=Assumptions!$B$28,Assumptions!$B$27,0))/Assumptions!$B$4),0)</f>
        <v/>
      </c>
      <c r="E38" s="6">
        <f>IF($A38&gt;Assumptions!$B$7,INDEX($D$3:$D$62,MATCH($A38-Assumptions!$B$7,$A$3:$A$62,0)),0)</f>
        <v/>
      </c>
      <c r="F38" s="6">
        <f>$F37+$D38-$E38</f>
        <v/>
      </c>
      <c r="G38" s="6">
        <f>$G37+$E38-$J38</f>
        <v/>
      </c>
      <c r="H38" s="6">
        <f>$G38+$F38</f>
        <v/>
      </c>
      <c r="I38" s="6">
        <f>$I37+$E38</f>
        <v/>
      </c>
      <c r="J38" s="6">
        <f>IF($A39&gt;Assumptions!$B$6,INDEX($E$3:$E$62,MATCH($A39-Assumptions!$B$6,$A$3:$A$62,0)),0)</f>
        <v/>
      </c>
      <c r="K38" s="6">
        <f>$J38+$K37</f>
        <v/>
      </c>
    </row>
    <row r="39">
      <c r="A39" s="7" t="n">
        <v>37</v>
      </c>
      <c r="B39" s="6" t="n">
        <v>4</v>
      </c>
      <c r="C39" s="6" t="n">
        <v>1</v>
      </c>
      <c r="D39" s="6">
        <f>IF((Cash_Flow!$N38+IF($A39=Assumptions!$B$24,Assumptions!$B$23,0)+IF($A39=Assumptions!$B$23,Assumptions!$B$27,0))&gt;=Assumptions!$B$4*Assumptions!$B$20,INT((Cash_Flow!$N38+IF($A39=Assumptions!$B$24,Assumptions!$B$23,0)+IF($A39=Assumptions!$B$28,Assumptions!$B$27,0))/Assumptions!$B$4),0)</f>
        <v/>
      </c>
      <c r="E39" s="6">
        <f>IF($A39&gt;Assumptions!$B$7,INDEX($D$3:$D$62,MATCH($A39-Assumptions!$B$7,$A$3:$A$62,0)),0)</f>
        <v/>
      </c>
      <c r="F39" s="6">
        <f>$F38+$D39-$E39</f>
        <v/>
      </c>
      <c r="G39" s="6">
        <f>$G38+$E39-$J39</f>
        <v/>
      </c>
      <c r="H39" s="6">
        <f>$G39+$F39</f>
        <v/>
      </c>
      <c r="I39" s="6">
        <f>$I38+$E39</f>
        <v/>
      </c>
      <c r="J39" s="6">
        <f>IF($A40&gt;Assumptions!$B$6,INDEX($E$3:$E$62,MATCH($A40-Assumptions!$B$6,$A$3:$A$62,0)),0)</f>
        <v/>
      </c>
      <c r="K39" s="6">
        <f>$J39+$K38</f>
        <v/>
      </c>
    </row>
    <row r="40">
      <c r="A40" s="7" t="n">
        <v>38</v>
      </c>
      <c r="B40" s="6" t="n">
        <v>4</v>
      </c>
      <c r="C40" s="6" t="n">
        <v>2</v>
      </c>
      <c r="D40" s="6">
        <f>IF((Cash_Flow!$N39+IF($A40=Assumptions!$B$24,Assumptions!$B$23,0)+IF($A40=Assumptions!$B$23,Assumptions!$B$27,0))&gt;=Assumptions!$B$4*Assumptions!$B$20,INT((Cash_Flow!$N39+IF($A40=Assumptions!$B$24,Assumptions!$B$23,0)+IF($A40=Assumptions!$B$28,Assumptions!$B$27,0))/Assumptions!$B$4),0)</f>
        <v/>
      </c>
      <c r="E40" s="6">
        <f>IF($A40&gt;Assumptions!$B$7,INDEX($D$3:$D$62,MATCH($A40-Assumptions!$B$7,$A$3:$A$62,0)),0)</f>
        <v/>
      </c>
      <c r="F40" s="6">
        <f>$F39+$D40-$E40</f>
        <v/>
      </c>
      <c r="G40" s="6">
        <f>$G39+$E40-$J40</f>
        <v/>
      </c>
      <c r="H40" s="6">
        <f>$G40+$F40</f>
        <v/>
      </c>
      <c r="I40" s="6">
        <f>$I39+$E40</f>
        <v/>
      </c>
      <c r="J40" s="6">
        <f>IF($A41&gt;Assumptions!$B$6,INDEX($E$3:$E$62,MATCH($A41-Assumptions!$B$6,$A$3:$A$62,0)),0)</f>
        <v/>
      </c>
      <c r="K40" s="6">
        <f>$J40+$K39</f>
        <v/>
      </c>
    </row>
    <row r="41">
      <c r="A41" s="7" t="n">
        <v>39</v>
      </c>
      <c r="B41" s="6" t="n">
        <v>4</v>
      </c>
      <c r="C41" s="6" t="n">
        <v>3</v>
      </c>
      <c r="D41" s="6">
        <f>IF((Cash_Flow!$N40+IF($A41=Assumptions!$B$24,Assumptions!$B$23,0)+IF($A41=Assumptions!$B$23,Assumptions!$B$27,0))&gt;=Assumptions!$B$4*Assumptions!$B$20,INT((Cash_Flow!$N40+IF($A41=Assumptions!$B$24,Assumptions!$B$23,0)+IF($A41=Assumptions!$B$28,Assumptions!$B$27,0))/Assumptions!$B$4),0)</f>
        <v/>
      </c>
      <c r="E41" s="6">
        <f>IF($A41&gt;Assumptions!$B$7,INDEX($D$3:$D$62,MATCH($A41-Assumptions!$B$7,$A$3:$A$62,0)),0)</f>
        <v/>
      </c>
      <c r="F41" s="6">
        <f>$F40+$D41-$E41</f>
        <v/>
      </c>
      <c r="G41" s="6">
        <f>$G40+$E41-$J41</f>
        <v/>
      </c>
      <c r="H41" s="6">
        <f>$G41+$F41</f>
        <v/>
      </c>
      <c r="I41" s="6">
        <f>$I40+$E41</f>
        <v/>
      </c>
      <c r="J41" s="6">
        <f>IF($A42&gt;Assumptions!$B$6,INDEX($E$3:$E$62,MATCH($A42-Assumptions!$B$6,$A$3:$A$62,0)),0)</f>
        <v/>
      </c>
      <c r="K41" s="6">
        <f>$J41+$K40</f>
        <v/>
      </c>
    </row>
    <row r="42">
      <c r="A42" s="7" t="n">
        <v>40</v>
      </c>
      <c r="B42" s="6" t="n">
        <v>4</v>
      </c>
      <c r="C42" s="6" t="n">
        <v>4</v>
      </c>
      <c r="D42" s="6">
        <f>IF((Cash_Flow!$N41+IF($A42=Assumptions!$B$24,Assumptions!$B$23,0)+IF($A42=Assumptions!$B$23,Assumptions!$B$27,0))&gt;=Assumptions!$B$4*Assumptions!$B$20,INT((Cash_Flow!$N41+IF($A42=Assumptions!$B$24,Assumptions!$B$23,0)+IF($A42=Assumptions!$B$28,Assumptions!$B$27,0))/Assumptions!$B$4),0)</f>
        <v/>
      </c>
      <c r="E42" s="6">
        <f>IF($A42&gt;Assumptions!$B$7,INDEX($D$3:$D$62,MATCH($A42-Assumptions!$B$7,$A$3:$A$62,0)),0)</f>
        <v/>
      </c>
      <c r="F42" s="6">
        <f>$F41+$D42-$E42</f>
        <v/>
      </c>
      <c r="G42" s="6">
        <f>$G41+$E42-$J42</f>
        <v/>
      </c>
      <c r="H42" s="6">
        <f>$G42+$F42</f>
        <v/>
      </c>
      <c r="I42" s="6">
        <f>$I41+$E42</f>
        <v/>
      </c>
      <c r="J42" s="6">
        <f>IF($A43&gt;Assumptions!$B$6,INDEX($E$3:$E$62,MATCH($A43-Assumptions!$B$6,$A$3:$A$62,0)),0)</f>
        <v/>
      </c>
      <c r="K42" s="6">
        <f>$J42+$K41</f>
        <v/>
      </c>
    </row>
    <row r="43">
      <c r="A43" s="7" t="n">
        <v>41</v>
      </c>
      <c r="B43" s="6" t="n">
        <v>4</v>
      </c>
      <c r="C43" s="6" t="n">
        <v>5</v>
      </c>
      <c r="D43" s="6">
        <f>IF((Cash_Flow!$N42+IF($A43=Assumptions!$B$24,Assumptions!$B$23,0)+IF($A43=Assumptions!$B$23,Assumptions!$B$27,0))&gt;=Assumptions!$B$4*Assumptions!$B$20,INT((Cash_Flow!$N42+IF($A43=Assumptions!$B$24,Assumptions!$B$23,0)+IF($A43=Assumptions!$B$28,Assumptions!$B$27,0))/Assumptions!$B$4),0)</f>
        <v/>
      </c>
      <c r="E43" s="6">
        <f>IF($A43&gt;Assumptions!$B$7,INDEX($D$3:$D$62,MATCH($A43-Assumptions!$B$7,$A$3:$A$62,0)),0)</f>
        <v/>
      </c>
      <c r="F43" s="6">
        <f>$F42+$D43-$E43</f>
        <v/>
      </c>
      <c r="G43" s="6">
        <f>$G42+$E43-$J43</f>
        <v/>
      </c>
      <c r="H43" s="6">
        <f>$G43+$F43</f>
        <v/>
      </c>
      <c r="I43" s="6">
        <f>$I42+$E43</f>
        <v/>
      </c>
      <c r="J43" s="6">
        <f>IF($A44&gt;Assumptions!$B$6,INDEX($E$3:$E$62,MATCH($A44-Assumptions!$B$6,$A$3:$A$62,0)),0)</f>
        <v/>
      </c>
      <c r="K43" s="6">
        <f>$J43+$K42</f>
        <v/>
      </c>
    </row>
    <row r="44">
      <c r="A44" s="7" t="n">
        <v>42</v>
      </c>
      <c r="B44" s="6" t="n">
        <v>4</v>
      </c>
      <c r="C44" s="6" t="n">
        <v>6</v>
      </c>
      <c r="D44" s="6">
        <f>IF((Cash_Flow!$N43+IF($A44=Assumptions!$B$24,Assumptions!$B$23,0)+IF($A44=Assumptions!$B$23,Assumptions!$B$27,0))&gt;=Assumptions!$B$4*Assumptions!$B$20,INT((Cash_Flow!$N43+IF($A44=Assumptions!$B$24,Assumptions!$B$23,0)+IF($A44=Assumptions!$B$28,Assumptions!$B$27,0))/Assumptions!$B$4),0)</f>
        <v/>
      </c>
      <c r="E44" s="6">
        <f>IF($A44&gt;Assumptions!$B$7,INDEX($D$3:$D$62,MATCH($A44-Assumptions!$B$7,$A$3:$A$62,0)),0)</f>
        <v/>
      </c>
      <c r="F44" s="6">
        <f>$F43+$D44-$E44</f>
        <v/>
      </c>
      <c r="G44" s="6">
        <f>$G43+$E44-$J44</f>
        <v/>
      </c>
      <c r="H44" s="6">
        <f>$G44+$F44</f>
        <v/>
      </c>
      <c r="I44" s="6">
        <f>$I43+$E44</f>
        <v/>
      </c>
      <c r="J44" s="6">
        <f>IF($A45&gt;Assumptions!$B$6,INDEX($E$3:$E$62,MATCH($A45-Assumptions!$B$6,$A$3:$A$62,0)),0)</f>
        <v/>
      </c>
      <c r="K44" s="6">
        <f>$J44+$K43</f>
        <v/>
      </c>
    </row>
    <row r="45">
      <c r="A45" s="7" t="n">
        <v>43</v>
      </c>
      <c r="B45" s="6" t="n">
        <v>4</v>
      </c>
      <c r="C45" s="6" t="n">
        <v>7</v>
      </c>
      <c r="D45" s="6">
        <f>IF((Cash_Flow!$N44+IF($A45=Assumptions!$B$24,Assumptions!$B$23,0)+IF($A45=Assumptions!$B$23,Assumptions!$B$27,0))&gt;=Assumptions!$B$4*Assumptions!$B$20,INT((Cash_Flow!$N44+IF($A45=Assumptions!$B$24,Assumptions!$B$23,0)+IF($A45=Assumptions!$B$28,Assumptions!$B$27,0))/Assumptions!$B$4),0)</f>
        <v/>
      </c>
      <c r="E45" s="6">
        <f>IF($A45&gt;Assumptions!$B$7,INDEX($D$3:$D$62,MATCH($A45-Assumptions!$B$7,$A$3:$A$62,0)),0)</f>
        <v/>
      </c>
      <c r="F45" s="6">
        <f>$F44+$D45-$E45</f>
        <v/>
      </c>
      <c r="G45" s="6">
        <f>$G44+$E45-$J45</f>
        <v/>
      </c>
      <c r="H45" s="6">
        <f>$G45+$F45</f>
        <v/>
      </c>
      <c r="I45" s="6">
        <f>$I44+$E45</f>
        <v/>
      </c>
      <c r="J45" s="6">
        <f>IF($A46&gt;Assumptions!$B$6,INDEX($E$3:$E$62,MATCH($A46-Assumptions!$B$6,$A$3:$A$62,0)),0)</f>
        <v/>
      </c>
      <c r="K45" s="6">
        <f>$J45+$K44</f>
        <v/>
      </c>
    </row>
    <row r="46">
      <c r="A46" s="7" t="n">
        <v>44</v>
      </c>
      <c r="B46" s="6" t="n">
        <v>4</v>
      </c>
      <c r="C46" s="6" t="n">
        <v>8</v>
      </c>
      <c r="D46" s="6">
        <f>IF((Cash_Flow!$N45+IF($A46=Assumptions!$B$24,Assumptions!$B$23,0)+IF($A46=Assumptions!$B$23,Assumptions!$B$27,0))&gt;=Assumptions!$B$4*Assumptions!$B$20,INT((Cash_Flow!$N45+IF($A46=Assumptions!$B$24,Assumptions!$B$23,0)+IF($A46=Assumptions!$B$28,Assumptions!$B$27,0))/Assumptions!$B$4),0)</f>
        <v/>
      </c>
      <c r="E46" s="6">
        <f>IF($A46&gt;Assumptions!$B$7,INDEX($D$3:$D$62,MATCH($A46-Assumptions!$B$7,$A$3:$A$62,0)),0)</f>
        <v/>
      </c>
      <c r="F46" s="6">
        <f>$F45+$D46-$E46</f>
        <v/>
      </c>
      <c r="G46" s="6">
        <f>$G45+$E46-$J46</f>
        <v/>
      </c>
      <c r="H46" s="6">
        <f>$G46+$F46</f>
        <v/>
      </c>
      <c r="I46" s="6">
        <f>$I45+$E46</f>
        <v/>
      </c>
      <c r="J46" s="6">
        <f>IF($A47&gt;Assumptions!$B$6,INDEX($E$3:$E$62,MATCH($A47-Assumptions!$B$6,$A$3:$A$62,0)),0)</f>
        <v/>
      </c>
      <c r="K46" s="6">
        <f>$J46+$K45</f>
        <v/>
      </c>
    </row>
    <row r="47">
      <c r="A47" s="7" t="n">
        <v>45</v>
      </c>
      <c r="B47" s="6" t="n">
        <v>4</v>
      </c>
      <c r="C47" s="6" t="n">
        <v>9</v>
      </c>
      <c r="D47" s="6">
        <f>IF((Cash_Flow!$N46+IF($A47=Assumptions!$B$24,Assumptions!$B$23,0)+IF($A47=Assumptions!$B$23,Assumptions!$B$27,0))&gt;=Assumptions!$B$4*Assumptions!$B$20,INT((Cash_Flow!$N46+IF($A47=Assumptions!$B$24,Assumptions!$B$23,0)+IF($A47=Assumptions!$B$28,Assumptions!$B$27,0))/Assumptions!$B$4),0)</f>
        <v/>
      </c>
      <c r="E47" s="6">
        <f>IF($A47&gt;Assumptions!$B$7,INDEX($D$3:$D$62,MATCH($A47-Assumptions!$B$7,$A$3:$A$62,0)),0)</f>
        <v/>
      </c>
      <c r="F47" s="6">
        <f>$F46+$D47-$E47</f>
        <v/>
      </c>
      <c r="G47" s="6">
        <f>$G46+$E47-$J47</f>
        <v/>
      </c>
      <c r="H47" s="6">
        <f>$G47+$F47</f>
        <v/>
      </c>
      <c r="I47" s="6">
        <f>$I46+$E47</f>
        <v/>
      </c>
      <c r="J47" s="6">
        <f>IF($A48&gt;Assumptions!$B$6,INDEX($E$3:$E$62,MATCH($A48-Assumptions!$B$6,$A$3:$A$62,0)),0)</f>
        <v/>
      </c>
      <c r="K47" s="6">
        <f>$J47+$K46</f>
        <v/>
      </c>
    </row>
    <row r="48">
      <c r="A48" s="7" t="n">
        <v>46</v>
      </c>
      <c r="B48" s="6" t="n">
        <v>4</v>
      </c>
      <c r="C48" s="6" t="n">
        <v>10</v>
      </c>
      <c r="D48" s="6">
        <f>IF((Cash_Flow!$N47+IF($A48=Assumptions!$B$24,Assumptions!$B$23,0)+IF($A48=Assumptions!$B$23,Assumptions!$B$27,0))&gt;=Assumptions!$B$4*Assumptions!$B$20,INT((Cash_Flow!$N47+IF($A48=Assumptions!$B$24,Assumptions!$B$23,0)+IF($A48=Assumptions!$B$28,Assumptions!$B$27,0))/Assumptions!$B$4),0)</f>
        <v/>
      </c>
      <c r="E48" s="6">
        <f>IF($A48&gt;Assumptions!$B$7,INDEX($D$3:$D$62,MATCH($A48-Assumptions!$B$7,$A$3:$A$62,0)),0)</f>
        <v/>
      </c>
      <c r="F48" s="6">
        <f>$F47+$D48-$E48</f>
        <v/>
      </c>
      <c r="G48" s="6">
        <f>$G47+$E48-$J48</f>
        <v/>
      </c>
      <c r="H48" s="6">
        <f>$G48+$F48</f>
        <v/>
      </c>
      <c r="I48" s="6">
        <f>$I47+$E48</f>
        <v/>
      </c>
      <c r="J48" s="6">
        <f>IF($A49&gt;Assumptions!$B$6,INDEX($E$3:$E$62,MATCH($A49-Assumptions!$B$6,$A$3:$A$62,0)),0)</f>
        <v/>
      </c>
      <c r="K48" s="6">
        <f>$J48+$K47</f>
        <v/>
      </c>
    </row>
    <row r="49">
      <c r="A49" s="7" t="n">
        <v>47</v>
      </c>
      <c r="B49" s="6" t="n">
        <v>4</v>
      </c>
      <c r="C49" s="6" t="n">
        <v>11</v>
      </c>
      <c r="D49" s="6">
        <f>IF((Cash_Flow!$N48+IF($A49=Assumptions!$B$24,Assumptions!$B$23,0)+IF($A49=Assumptions!$B$23,Assumptions!$B$27,0))&gt;=Assumptions!$B$4*Assumptions!$B$20,INT((Cash_Flow!$N48+IF($A49=Assumptions!$B$24,Assumptions!$B$23,0)+IF($A49=Assumptions!$B$28,Assumptions!$B$27,0))/Assumptions!$B$4),0)</f>
        <v/>
      </c>
      <c r="E49" s="6">
        <f>IF($A49&gt;Assumptions!$B$7,INDEX($D$3:$D$62,MATCH($A49-Assumptions!$B$7,$A$3:$A$62,0)),0)</f>
        <v/>
      </c>
      <c r="F49" s="6">
        <f>$F48+$D49-$E49</f>
        <v/>
      </c>
      <c r="G49" s="6">
        <f>$G48+$E49-$J49</f>
        <v/>
      </c>
      <c r="H49" s="6">
        <f>$G49+$F49</f>
        <v/>
      </c>
      <c r="I49" s="6">
        <f>$I48+$E49</f>
        <v/>
      </c>
      <c r="J49" s="6">
        <f>IF($A50&gt;Assumptions!$B$6,INDEX($E$3:$E$62,MATCH($A50-Assumptions!$B$6,$A$3:$A$62,0)),0)</f>
        <v/>
      </c>
      <c r="K49" s="6">
        <f>$J49+$K48</f>
        <v/>
      </c>
    </row>
    <row r="50">
      <c r="A50" s="7" t="n">
        <v>48</v>
      </c>
      <c r="B50" s="6" t="n">
        <v>4</v>
      </c>
      <c r="C50" s="6" t="n">
        <v>12</v>
      </c>
      <c r="D50" s="6">
        <f>IF((Cash_Flow!$N49+IF($A50=Assumptions!$B$24,Assumptions!$B$23,0)+IF($A50=Assumptions!$B$23,Assumptions!$B$27,0))&gt;=Assumptions!$B$4*Assumptions!$B$20,INT((Cash_Flow!$N49+IF($A50=Assumptions!$B$24,Assumptions!$B$23,0)+IF($A50=Assumptions!$B$28,Assumptions!$B$27,0))/Assumptions!$B$4),0)</f>
        <v/>
      </c>
      <c r="E50" s="6">
        <f>IF($A50&gt;Assumptions!$B$7,INDEX($D$3:$D$62,MATCH($A50-Assumptions!$B$7,$A$3:$A$62,0)),0)</f>
        <v/>
      </c>
      <c r="F50" s="6">
        <f>$F49+$D50-$E50</f>
        <v/>
      </c>
      <c r="G50" s="6">
        <f>$G49+$E50-$J50</f>
        <v/>
      </c>
      <c r="H50" s="6">
        <f>$G50+$F50</f>
        <v/>
      </c>
      <c r="I50" s="6">
        <f>$I49+$E50</f>
        <v/>
      </c>
      <c r="J50" s="6">
        <f>IF($A51&gt;Assumptions!$B$6,INDEX($E$3:$E$62,MATCH($A51-Assumptions!$B$6,$A$3:$A$62,0)),0)</f>
        <v/>
      </c>
      <c r="K50" s="6">
        <f>$J50+$K49</f>
        <v/>
      </c>
    </row>
    <row r="51">
      <c r="A51" s="7" t="n">
        <v>49</v>
      </c>
      <c r="B51" s="6" t="n">
        <v>5</v>
      </c>
      <c r="C51" s="6" t="n">
        <v>1</v>
      </c>
      <c r="D51" s="6">
        <f>IF((Cash_Flow!$N50+IF($A51=Assumptions!$B$24,Assumptions!$B$23,0)+IF($A51=Assumptions!$B$23,Assumptions!$B$27,0))&gt;=Assumptions!$B$4*Assumptions!$B$20,INT((Cash_Flow!$N50+IF($A51=Assumptions!$B$24,Assumptions!$B$23,0)+IF($A51=Assumptions!$B$28,Assumptions!$B$27,0))/Assumptions!$B$4),0)</f>
        <v/>
      </c>
      <c r="E51" s="6">
        <f>IF($A51&gt;Assumptions!$B$7,INDEX($D$3:$D$62,MATCH($A51-Assumptions!$B$7,$A$3:$A$62,0)),0)</f>
        <v/>
      </c>
      <c r="F51" s="6">
        <f>$F50+$D51-$E51</f>
        <v/>
      </c>
      <c r="G51" s="6">
        <f>$G50+$E51-$J51</f>
        <v/>
      </c>
      <c r="H51" s="6">
        <f>$G51+$F51</f>
        <v/>
      </c>
      <c r="I51" s="6">
        <f>$I50+$E51</f>
        <v/>
      </c>
      <c r="J51" s="6">
        <f>IF($A52&gt;Assumptions!$B$6,INDEX($E$3:$E$62,MATCH($A52-Assumptions!$B$6,$A$3:$A$62,0)),0)</f>
        <v/>
      </c>
      <c r="K51" s="6">
        <f>$J51+$K50</f>
        <v/>
      </c>
    </row>
    <row r="52">
      <c r="A52" s="7" t="n">
        <v>50</v>
      </c>
      <c r="B52" s="6" t="n">
        <v>5</v>
      </c>
      <c r="C52" s="6" t="n">
        <v>2</v>
      </c>
      <c r="D52" s="6">
        <f>IF((Cash_Flow!$N51+IF($A52=Assumptions!$B$24,Assumptions!$B$23,0)+IF($A52=Assumptions!$B$23,Assumptions!$B$27,0))&gt;=Assumptions!$B$4*Assumptions!$B$20,INT((Cash_Flow!$N51+IF($A52=Assumptions!$B$24,Assumptions!$B$23,0)+IF($A52=Assumptions!$B$28,Assumptions!$B$27,0))/Assumptions!$B$4),0)</f>
        <v/>
      </c>
      <c r="E52" s="6">
        <f>IF($A52&gt;Assumptions!$B$7,INDEX($D$3:$D$62,MATCH($A52-Assumptions!$B$7,$A$3:$A$62,0)),0)</f>
        <v/>
      </c>
      <c r="F52" s="6">
        <f>$F51+$D52-$E52</f>
        <v/>
      </c>
      <c r="G52" s="6">
        <f>$G51+$E52-$J52</f>
        <v/>
      </c>
      <c r="H52" s="6">
        <f>$G52+$F52</f>
        <v/>
      </c>
      <c r="I52" s="6">
        <f>$I51+$E52</f>
        <v/>
      </c>
      <c r="J52" s="6">
        <f>IF($A53&gt;Assumptions!$B$6,INDEX($E$3:$E$62,MATCH($A53-Assumptions!$B$6,$A$3:$A$62,0)),0)</f>
        <v/>
      </c>
      <c r="K52" s="6">
        <f>$J52+$K51</f>
        <v/>
      </c>
    </row>
    <row r="53">
      <c r="A53" s="7" t="n">
        <v>51</v>
      </c>
      <c r="B53" s="6" t="n">
        <v>5</v>
      </c>
      <c r="C53" s="6" t="n">
        <v>3</v>
      </c>
      <c r="D53" s="6">
        <f>IF((Cash_Flow!$N52+IF($A53=Assumptions!$B$24,Assumptions!$B$23,0)+IF($A53=Assumptions!$B$23,Assumptions!$B$27,0))&gt;=Assumptions!$B$4*Assumptions!$B$20,INT((Cash_Flow!$N52+IF($A53=Assumptions!$B$24,Assumptions!$B$23,0)+IF($A53=Assumptions!$B$28,Assumptions!$B$27,0))/Assumptions!$B$4),0)</f>
        <v/>
      </c>
      <c r="E53" s="6">
        <f>IF($A53&gt;Assumptions!$B$7,INDEX($D$3:$D$62,MATCH($A53-Assumptions!$B$7,$A$3:$A$62,0)),0)</f>
        <v/>
      </c>
      <c r="F53" s="6">
        <f>$F52+$D53-$E53</f>
        <v/>
      </c>
      <c r="G53" s="6">
        <f>$G52+$E53-$J53</f>
        <v/>
      </c>
      <c r="H53" s="6">
        <f>$G53+$F53</f>
        <v/>
      </c>
      <c r="I53" s="6">
        <f>$I52+$E53</f>
        <v/>
      </c>
      <c r="J53" s="6">
        <f>IF($A54&gt;Assumptions!$B$6,INDEX($E$3:$E$62,MATCH($A54-Assumptions!$B$6,$A$3:$A$62,0)),0)</f>
        <v/>
      </c>
      <c r="K53" s="6">
        <f>$J53+$K52</f>
        <v/>
      </c>
    </row>
    <row r="54">
      <c r="A54" s="7" t="n">
        <v>52</v>
      </c>
      <c r="B54" s="6" t="n">
        <v>5</v>
      </c>
      <c r="C54" s="6" t="n">
        <v>4</v>
      </c>
      <c r="D54" s="6">
        <f>IF((Cash_Flow!$N53+IF($A54=Assumptions!$B$24,Assumptions!$B$23,0)+IF($A54=Assumptions!$B$23,Assumptions!$B$27,0))&gt;=Assumptions!$B$4*Assumptions!$B$20,INT((Cash_Flow!$N53+IF($A54=Assumptions!$B$24,Assumptions!$B$23,0)+IF($A54=Assumptions!$B$28,Assumptions!$B$27,0))/Assumptions!$B$4),0)</f>
        <v/>
      </c>
      <c r="E54" s="6">
        <f>IF($A54&gt;Assumptions!$B$7,INDEX($D$3:$D$62,MATCH($A54-Assumptions!$B$7,$A$3:$A$62,0)),0)</f>
        <v/>
      </c>
      <c r="F54" s="6">
        <f>$F53+$D54-$E54</f>
        <v/>
      </c>
      <c r="G54" s="6">
        <f>$G53+$E54-$J54</f>
        <v/>
      </c>
      <c r="H54" s="6">
        <f>$G54+$F54</f>
        <v/>
      </c>
      <c r="I54" s="6">
        <f>$I53+$E54</f>
        <v/>
      </c>
      <c r="J54" s="6">
        <f>IF($A55&gt;Assumptions!$B$6,INDEX($E$3:$E$62,MATCH($A55-Assumptions!$B$6,$A$3:$A$62,0)),0)</f>
        <v/>
      </c>
      <c r="K54" s="6">
        <f>$J54+$K53</f>
        <v/>
      </c>
    </row>
    <row r="55">
      <c r="A55" s="7" t="n">
        <v>53</v>
      </c>
      <c r="B55" s="6" t="n">
        <v>5</v>
      </c>
      <c r="C55" s="6" t="n">
        <v>5</v>
      </c>
      <c r="D55" s="6">
        <f>IF((Cash_Flow!$N54+IF($A55=Assumptions!$B$24,Assumptions!$B$23,0)+IF($A55=Assumptions!$B$23,Assumptions!$B$27,0))&gt;=Assumptions!$B$4*Assumptions!$B$20,INT((Cash_Flow!$N54+IF($A55=Assumptions!$B$24,Assumptions!$B$23,0)+IF($A55=Assumptions!$B$28,Assumptions!$B$27,0))/Assumptions!$B$4),0)</f>
        <v/>
      </c>
      <c r="E55" s="6">
        <f>IF($A55&gt;Assumptions!$B$7,INDEX($D$3:$D$62,MATCH($A55-Assumptions!$B$7,$A$3:$A$62,0)),0)</f>
        <v/>
      </c>
      <c r="F55" s="6">
        <f>$F54+$D55-$E55</f>
        <v/>
      </c>
      <c r="G55" s="6">
        <f>$G54+$E55-$J55</f>
        <v/>
      </c>
      <c r="H55" s="6">
        <f>$G55+$F55</f>
        <v/>
      </c>
      <c r="I55" s="6">
        <f>$I54+$E55</f>
        <v/>
      </c>
      <c r="J55" s="6">
        <f>IF($A56&gt;Assumptions!$B$6,INDEX($E$3:$E$62,MATCH($A56-Assumptions!$B$6,$A$3:$A$62,0)),0)</f>
        <v/>
      </c>
      <c r="K55" s="6">
        <f>$J55+$K54</f>
        <v/>
      </c>
    </row>
    <row r="56">
      <c r="A56" s="7" t="n">
        <v>54</v>
      </c>
      <c r="B56" s="6" t="n">
        <v>5</v>
      </c>
      <c r="C56" s="6" t="n">
        <v>6</v>
      </c>
      <c r="D56" s="6">
        <f>IF((Cash_Flow!$N55+IF($A56=Assumptions!$B$24,Assumptions!$B$23,0)+IF($A56=Assumptions!$B$23,Assumptions!$B$27,0))&gt;=Assumptions!$B$4*Assumptions!$B$20,INT((Cash_Flow!$N55+IF($A56=Assumptions!$B$24,Assumptions!$B$23,0)+IF($A56=Assumptions!$B$28,Assumptions!$B$27,0))/Assumptions!$B$4),0)</f>
        <v/>
      </c>
      <c r="E56" s="6">
        <f>IF($A56&gt;Assumptions!$B$7,INDEX($D$3:$D$62,MATCH($A56-Assumptions!$B$7,$A$3:$A$62,0)),0)</f>
        <v/>
      </c>
      <c r="F56" s="6">
        <f>$F55+$D56-$E56</f>
        <v/>
      </c>
      <c r="G56" s="6">
        <f>$G55+$E56-$J56</f>
        <v/>
      </c>
      <c r="H56" s="6">
        <f>$G56+$F56</f>
        <v/>
      </c>
      <c r="I56" s="6">
        <f>$I55+$E56</f>
        <v/>
      </c>
      <c r="J56" s="6">
        <f>IF($A57&gt;Assumptions!$B$6,INDEX($E$3:$E$62,MATCH($A57-Assumptions!$B$6,$A$3:$A$62,0)),0)</f>
        <v/>
      </c>
      <c r="K56" s="6">
        <f>$J56+$K55</f>
        <v/>
      </c>
    </row>
    <row r="57">
      <c r="A57" s="7" t="n">
        <v>55</v>
      </c>
      <c r="B57" s="6" t="n">
        <v>5</v>
      </c>
      <c r="C57" s="6" t="n">
        <v>7</v>
      </c>
      <c r="D57" s="6">
        <f>IF((Cash_Flow!$N56+IF($A57=Assumptions!$B$24,Assumptions!$B$23,0)+IF($A57=Assumptions!$B$23,Assumptions!$B$27,0))&gt;=Assumptions!$B$4*Assumptions!$B$20,INT((Cash_Flow!$N56+IF($A57=Assumptions!$B$24,Assumptions!$B$23,0)+IF($A57=Assumptions!$B$28,Assumptions!$B$27,0))/Assumptions!$B$4),0)</f>
        <v/>
      </c>
      <c r="E57" s="6">
        <f>IF($A57&gt;Assumptions!$B$7,INDEX($D$3:$D$62,MATCH($A57-Assumptions!$B$7,$A$3:$A$62,0)),0)</f>
        <v/>
      </c>
      <c r="F57" s="6">
        <f>$F56+$D57-$E57</f>
        <v/>
      </c>
      <c r="G57" s="6">
        <f>$G56+$E57-$J57</f>
        <v/>
      </c>
      <c r="H57" s="6">
        <f>$G57+$F57</f>
        <v/>
      </c>
      <c r="I57" s="6">
        <f>$I56+$E57</f>
        <v/>
      </c>
      <c r="J57" s="6">
        <f>IF($A58&gt;Assumptions!$B$6,INDEX($E$3:$E$62,MATCH($A58-Assumptions!$B$6,$A$3:$A$62,0)),0)</f>
        <v/>
      </c>
      <c r="K57" s="6">
        <f>$J57+$K56</f>
        <v/>
      </c>
    </row>
    <row r="58">
      <c r="A58" s="7" t="n">
        <v>56</v>
      </c>
      <c r="B58" s="6" t="n">
        <v>5</v>
      </c>
      <c r="C58" s="6" t="n">
        <v>8</v>
      </c>
      <c r="D58" s="6">
        <f>IF((Cash_Flow!$N57+IF($A58=Assumptions!$B$24,Assumptions!$B$23,0)+IF($A58=Assumptions!$B$23,Assumptions!$B$27,0))&gt;=Assumptions!$B$4*Assumptions!$B$20,INT((Cash_Flow!$N57+IF($A58=Assumptions!$B$24,Assumptions!$B$23,0)+IF($A58=Assumptions!$B$28,Assumptions!$B$27,0))/Assumptions!$B$4),0)</f>
        <v/>
      </c>
      <c r="E58" s="6">
        <f>IF($A58&gt;Assumptions!$B$7,INDEX($D$3:$D$62,MATCH($A58-Assumptions!$B$7,$A$3:$A$62,0)),0)</f>
        <v/>
      </c>
      <c r="F58" s="6">
        <f>$F57+$D58-$E58</f>
        <v/>
      </c>
      <c r="G58" s="6">
        <f>$G57+$E58-$J58</f>
        <v/>
      </c>
      <c r="H58" s="6">
        <f>$G58+$F58</f>
        <v/>
      </c>
      <c r="I58" s="6">
        <f>$I57+$E58</f>
        <v/>
      </c>
      <c r="J58" s="6">
        <f>IF($A59&gt;Assumptions!$B$6,INDEX($E$3:$E$62,MATCH($A59-Assumptions!$B$6,$A$3:$A$62,0)),0)</f>
        <v/>
      </c>
      <c r="K58" s="6">
        <f>$J58+$K57</f>
        <v/>
      </c>
    </row>
    <row r="59">
      <c r="A59" s="7" t="n">
        <v>57</v>
      </c>
      <c r="B59" s="6" t="n">
        <v>5</v>
      </c>
      <c r="C59" s="6" t="n">
        <v>9</v>
      </c>
      <c r="D59" s="6">
        <f>IF((Cash_Flow!$N58+IF($A59=Assumptions!$B$24,Assumptions!$B$23,0)+IF($A59=Assumptions!$B$23,Assumptions!$B$27,0))&gt;=Assumptions!$B$4*Assumptions!$B$20,INT((Cash_Flow!$N58+IF($A59=Assumptions!$B$24,Assumptions!$B$23,0)+IF($A59=Assumptions!$B$28,Assumptions!$B$27,0))/Assumptions!$B$4),0)</f>
        <v/>
      </c>
      <c r="E59" s="6">
        <f>IF($A59&gt;Assumptions!$B$7,INDEX($D$3:$D$62,MATCH($A59-Assumptions!$B$7,$A$3:$A$62,0)),0)</f>
        <v/>
      </c>
      <c r="F59" s="6">
        <f>$F58+$D59-$E59</f>
        <v/>
      </c>
      <c r="G59" s="6">
        <f>$G58+$E59-$J59</f>
        <v/>
      </c>
      <c r="H59" s="6">
        <f>$G59+$F59</f>
        <v/>
      </c>
      <c r="I59" s="6">
        <f>$I58+$E59</f>
        <v/>
      </c>
      <c r="J59" s="6">
        <f>IF($A60&gt;Assumptions!$B$6,INDEX($E$3:$E$62,MATCH($A60-Assumptions!$B$6,$A$3:$A$62,0)),0)</f>
        <v/>
      </c>
      <c r="K59" s="6">
        <f>$J59+$K58</f>
        <v/>
      </c>
    </row>
    <row r="60">
      <c r="A60" s="7" t="n">
        <v>58</v>
      </c>
      <c r="B60" s="6" t="n">
        <v>5</v>
      </c>
      <c r="C60" s="6" t="n">
        <v>10</v>
      </c>
      <c r="D60" s="6">
        <f>IF((Cash_Flow!$N59+IF($A60=Assumptions!$B$24,Assumptions!$B$23,0)+IF($A60=Assumptions!$B$23,Assumptions!$B$27,0))&gt;=Assumptions!$B$4*Assumptions!$B$20,INT((Cash_Flow!$N59+IF($A60=Assumptions!$B$24,Assumptions!$B$23,0)+IF($A60=Assumptions!$B$28,Assumptions!$B$27,0))/Assumptions!$B$4),0)</f>
        <v/>
      </c>
      <c r="E60" s="6">
        <f>IF($A60&gt;Assumptions!$B$7,INDEX($D$3:$D$62,MATCH($A60-Assumptions!$B$7,$A$3:$A$62,0)),0)</f>
        <v/>
      </c>
      <c r="F60" s="6">
        <f>$F59+$D60-$E60</f>
        <v/>
      </c>
      <c r="G60" s="6">
        <f>$G59+$E60-$J60</f>
        <v/>
      </c>
      <c r="H60" s="6">
        <f>$G60+$F60</f>
        <v/>
      </c>
      <c r="I60" s="6">
        <f>$I59+$E60</f>
        <v/>
      </c>
      <c r="J60" s="6">
        <f>IF($A61&gt;Assumptions!$B$6,INDEX($E$3:$E$62,MATCH($A61-Assumptions!$B$6,$A$3:$A$62,0)),0)</f>
        <v/>
      </c>
      <c r="K60" s="6">
        <f>$J60+$K59</f>
        <v/>
      </c>
    </row>
    <row r="61">
      <c r="A61" s="7" t="n">
        <v>59</v>
      </c>
      <c r="B61" s="6" t="n">
        <v>5</v>
      </c>
      <c r="C61" s="6" t="n">
        <v>11</v>
      </c>
      <c r="D61" s="6">
        <f>IF((Cash_Flow!$N60+IF($A61=Assumptions!$B$24,Assumptions!$B$23,0)+IF($A61=Assumptions!$B$23,Assumptions!$B$27,0))&gt;=Assumptions!$B$4*Assumptions!$B$20,INT((Cash_Flow!$N60+IF($A61=Assumptions!$B$24,Assumptions!$B$23,0)+IF($A61=Assumptions!$B$28,Assumptions!$B$27,0))/Assumptions!$B$4),0)</f>
        <v/>
      </c>
      <c r="E61" s="6">
        <f>IF($A61&gt;Assumptions!$B$7,INDEX($D$3:$D$62,MATCH($A61-Assumptions!$B$7,$A$3:$A$62,0)),0)</f>
        <v/>
      </c>
      <c r="F61" s="6">
        <f>$F60+$D61-$E61</f>
        <v/>
      </c>
      <c r="G61" s="6">
        <f>$G60+$E61-$J61</f>
        <v/>
      </c>
      <c r="H61" s="6">
        <f>$G61+$F61</f>
        <v/>
      </c>
      <c r="I61" s="6">
        <f>$I60+$E61</f>
        <v/>
      </c>
      <c r="J61" s="6">
        <f>IF($A62&gt;Assumptions!$B$6,INDEX($E$3:$E$62,MATCH($A62-Assumptions!$B$6,$A$3:$A$62,0)),0)</f>
        <v/>
      </c>
      <c r="K61" s="6">
        <f>$J61+$K60</f>
        <v/>
      </c>
    </row>
    <row r="62">
      <c r="A62" s="7" t="n">
        <v>60</v>
      </c>
      <c r="B62" s="6" t="n">
        <v>5</v>
      </c>
      <c r="C62" s="6" t="n">
        <v>12</v>
      </c>
      <c r="D62" s="6">
        <f>IF((Cash_Flow!$N61+IF($A62=Assumptions!$B$24,Assumptions!$B$23,0)+IF($A62=Assumptions!$B$23,Assumptions!$B$27,0))&gt;=Assumptions!$B$4*Assumptions!$B$20,INT((Cash_Flow!$N61+IF($A62=Assumptions!$B$24,Assumptions!$B$23,0)+IF($A62=Assumptions!$B$28,Assumptions!$B$27,0))/Assumptions!$B$4),0)</f>
        <v/>
      </c>
      <c r="E62" s="6">
        <f>IF($A62&gt;Assumptions!$B$7,INDEX($D$3:$D$62,MATCH($A62-Assumptions!$B$7,$A$3:$A$62,0)),0)</f>
        <v/>
      </c>
      <c r="F62" s="6">
        <f>$F61+$D62-$E62</f>
        <v/>
      </c>
      <c r="G62" s="6">
        <f>$G61+$E62-$J62</f>
        <v/>
      </c>
      <c r="H62" s="6">
        <f>$G62+$F62</f>
        <v/>
      </c>
      <c r="I62" s="6">
        <f>$I61+$E62</f>
        <v/>
      </c>
      <c r="J62" s="6">
        <f>IF($A63&gt;Assumptions!$B$6,INDEX($E$3:$E$62,MATCH($A63-Assumptions!$B$6,$A$3:$A$62,0)),0)</f>
        <v/>
      </c>
      <c r="K62" s="6">
        <f>$J62+$K61</f>
        <v/>
      </c>
    </row>
  </sheetData>
  <mergeCells count="1">
    <mergeCell ref="A1:L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"/>
  <sheetViews>
    <sheetView showGridLines="0" zoomScale="130" zoomScaleNormal="130" workbookViewId="0">
      <pane xSplit="1" ySplit="2" topLeftCell="K48" activePane="bottomRight" state="frozen"/>
      <selection pane="topRight" activeCell="B1" sqref="B1"/>
      <selection pane="bottomLeft" activeCell="A5" sqref="A5"/>
      <selection pane="bottomRight" activeCell="J50" sqref="J50"/>
    </sheetView>
  </sheetViews>
  <sheetFormatPr baseColWidth="8" defaultColWidth="8.7109375" defaultRowHeight="15" customHeight="1"/>
  <cols>
    <col width="10" customWidth="1" style="25" min="1" max="1"/>
    <col width="22" customWidth="1" style="25" min="2" max="16"/>
    <col width="14" customWidth="1" style="25" min="17" max="17"/>
    <col width="11.28515625" bestFit="1" customWidth="1" style="25" min="18" max="18"/>
    <col width="10.85546875" bestFit="1" customWidth="1" style="25" min="19" max="19"/>
  </cols>
  <sheetData>
    <row r="1" ht="17.25" customHeight="1" s="25">
      <c r="A1" s="24" t="inlineStr">
        <is>
          <t>Monthly Cash Flow</t>
        </is>
      </c>
    </row>
    <row r="2" ht="31.5" customHeight="1" s="25">
      <c r="A2" s="2" t="inlineStr">
        <is>
          <t>Month #</t>
        </is>
      </c>
      <c r="B2" s="2" t="inlineStr">
        <is>
          <t>Owner/Investor Injection</t>
        </is>
      </c>
      <c r="C2" s="2" t="inlineStr">
        <is>
          <t>Bank Loan Draw</t>
        </is>
      </c>
      <c r="D2" s="13" t="inlineStr">
        <is>
          <t>Total Cash In</t>
        </is>
      </c>
      <c r="E2" s="2" t="inlineStr">
        <is>
          <t>Operating Expenses (cash)</t>
        </is>
      </c>
      <c r="F2" s="2" t="inlineStr">
        <is>
          <t>Interest</t>
        </is>
      </c>
      <c r="G2" s="2" t="inlineStr">
        <is>
          <t>Loan Principal</t>
        </is>
      </c>
      <c r="H2" s="2" t="inlineStr">
        <is>
          <t>Income Tax Paid</t>
        </is>
      </c>
      <c r="I2" s="2" t="inlineStr">
        <is>
          <t>Investor Payout/Profit Distribution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Net Cash Flow</t>
        </is>
      </c>
      <c r="M2" s="2" t="inlineStr">
        <is>
          <t xml:space="preserve">Retained Profits Opening </t>
        </is>
      </c>
      <c r="N2" s="2" t="inlineStr">
        <is>
          <t xml:space="preserve">Retained Profits Closing </t>
        </is>
      </c>
      <c r="O2" s="2" t="inlineStr">
        <is>
          <t>Loan Opening</t>
        </is>
      </c>
      <c r="P2" s="2" t="inlineStr">
        <is>
          <t>Loan Closing</t>
        </is>
      </c>
    </row>
    <row r="3">
      <c r="A3" s="7" t="n">
        <v>1</v>
      </c>
      <c r="B3" s="8">
        <f>Assumptions!$B$22</f>
        <v/>
      </c>
      <c r="C3" s="8">
        <f>IF($A3=Assumptions!$B$24,Assumptions!$B$23,0)</f>
        <v/>
      </c>
      <c r="D3" s="8">
        <f>(Fleet_Schedule!$G3*Assumptions!$B$5)+SUM(C3)</f>
        <v/>
      </c>
      <c r="E3" s="8">
        <f>Fleet_Schedule!G3*Assumptions!$B$18</f>
        <v/>
      </c>
      <c r="F3" s="8">
        <f>IF(AND($A3&gt;=Assumptions!$B$33,$A3&lt;Assumptions!$B$33+Assumptions!$B$31),($O3+$C3)*Assumptions!$B$32,0)</f>
        <v/>
      </c>
      <c r="G3" s="8">
        <f>IF(AND($A3&gt;=Assumptions!$B$33,$A3&lt;Assumptions!$B$33+Assumptions!$B$31),MIN(($O3+$C3),Assumptions!$B$25-$F3),0)</f>
        <v/>
      </c>
      <c r="H3" s="8">
        <f>Income_Statement!$S3</f>
        <v/>
      </c>
      <c r="I3" s="8">
        <f>IF($A3&lt;Assumptions!$B$36,Assumptions!$B$34*Fleet_Schedule!$G3,ROUND(Assumptions!$B$34*(Fleet_Schedule!$G3-(Assumptions!$B$23/Assumptions!$B$4)),0))</f>
        <v/>
      </c>
      <c r="J3" s="8">
        <f>D3-E3-F3-G3-H3-I3</f>
        <v/>
      </c>
      <c r="K3" s="8">
        <f>Fleet_Schedule!$D3*Assumptions!$B$4</f>
        <v/>
      </c>
      <c r="L3" s="8">
        <f>J3-K3</f>
        <v/>
      </c>
      <c r="M3" s="8" t="n">
        <v>0</v>
      </c>
      <c r="N3" s="8">
        <f>$M3+$L3</f>
        <v/>
      </c>
      <c r="O3" s="8" t="n">
        <v>0</v>
      </c>
      <c r="P3" s="8">
        <f>O3+C3-G3</f>
        <v/>
      </c>
      <c r="Q3" s="12" t="n"/>
      <c r="R3" s="12" t="n"/>
      <c r="S3" s="12" t="n"/>
    </row>
    <row r="4">
      <c r="A4" s="7" t="n">
        <v>2</v>
      </c>
      <c r="B4" s="8">
        <f>IF($A4=Assumptions!$B$28,Assumptions!$B$27,0)</f>
        <v/>
      </c>
      <c r="C4" s="8">
        <f>IF($A4=Assumptions!$B$24,Assumptions!$B$23,0)</f>
        <v/>
      </c>
      <c r="D4" s="8">
        <f>(Fleet_Schedule!$G4*Assumptions!$B$5)+SUM(B4:C4)</f>
        <v/>
      </c>
      <c r="E4" s="8">
        <f>Fleet_Schedule!G4*Assumptions!$B$18</f>
        <v/>
      </c>
      <c r="F4" s="8">
        <f>IF(AND($A4&gt;=Assumptions!$B$33,$A4&lt;Assumptions!$B$33+Assumptions!$B$31),($O4+$C4)*Assumptions!$B$32,0)</f>
        <v/>
      </c>
      <c r="G4" s="8">
        <f>IF(AND($A4&gt;=Assumptions!$B$33,$A4&lt;Assumptions!$B$33+Assumptions!$B$31),MIN(($O4+$C4),Assumptions!$B$25-$F4),0)</f>
        <v/>
      </c>
      <c r="H4" s="8">
        <f>Income_Statement!$S4</f>
        <v/>
      </c>
      <c r="I4" s="8">
        <f>IF($A4&lt;Assumptions!$B$36,Assumptions!$B$34*Fleet_Schedule!$G4,ROUND(Assumptions!$B$34*(Fleet_Schedule!$G4-(Assumptions!$B$23/Assumptions!$B$4)),0))</f>
        <v/>
      </c>
      <c r="J4" s="8">
        <f>D4-E4-F4-G4-H4-I4</f>
        <v/>
      </c>
      <c r="K4" s="8">
        <f>Fleet_Schedule!$D4*Assumptions!$B$4</f>
        <v/>
      </c>
      <c r="L4" s="8">
        <f>J4-K4</f>
        <v/>
      </c>
      <c r="M4" s="8">
        <f>$N3</f>
        <v/>
      </c>
      <c r="N4" s="8">
        <f>$M4+$L4</f>
        <v/>
      </c>
      <c r="O4" s="8">
        <f>P3</f>
        <v/>
      </c>
      <c r="P4" s="8">
        <f>O4+C4-G4</f>
        <v/>
      </c>
      <c r="Q4" s="12" t="n"/>
      <c r="R4" s="12" t="n"/>
      <c r="S4" s="12" t="n"/>
    </row>
    <row r="5">
      <c r="A5" s="7" t="n">
        <v>3</v>
      </c>
      <c r="B5" s="8">
        <f>IF($A5=Assumptions!$B$28,Assumptions!$B$27,0)</f>
        <v/>
      </c>
      <c r="C5" s="8">
        <f>IF($A5=Assumptions!$B$24,Assumptions!$B$23,0)</f>
        <v/>
      </c>
      <c r="D5" s="8">
        <f>(Fleet_Schedule!$G5*Assumptions!$B$5)+SUM(B5:C5)</f>
        <v/>
      </c>
      <c r="E5" s="8">
        <f>Fleet_Schedule!G5*Assumptions!$B$18</f>
        <v/>
      </c>
      <c r="F5" s="8">
        <f>IF(AND($A5&gt;=Assumptions!$B$33,$A5&lt;Assumptions!$B$33+Assumptions!$B$31),($O5+$C5)*Assumptions!$B$32,0)</f>
        <v/>
      </c>
      <c r="G5" s="8">
        <f>IF(AND($A5&gt;=Assumptions!$B$33,$A5&lt;Assumptions!$B$33+Assumptions!$B$31),MIN(($O5+$C5),Assumptions!$B$25-$F5),0)</f>
        <v/>
      </c>
      <c r="H5" s="8">
        <f>Income_Statement!$S5</f>
        <v/>
      </c>
      <c r="I5" s="8">
        <f>IF($A5&lt;Assumptions!$B$36,Assumptions!$B$34*Fleet_Schedule!$G5,ROUND(Assumptions!$B$34*(Fleet_Schedule!$G5-(Assumptions!$B$23/Assumptions!$B$4)),0))</f>
        <v/>
      </c>
      <c r="J5" s="8">
        <f>D5-E5-F5-G5-H5-I5</f>
        <v/>
      </c>
      <c r="K5" s="8">
        <f>Fleet_Schedule!$D5*Assumptions!$B$4</f>
        <v/>
      </c>
      <c r="L5" s="8">
        <f>J5-K5</f>
        <v/>
      </c>
      <c r="M5" s="8">
        <f>$N4</f>
        <v/>
      </c>
      <c r="N5" s="8">
        <f>$M5+$L5</f>
        <v/>
      </c>
      <c r="O5" s="8">
        <f>P4</f>
        <v/>
      </c>
      <c r="P5" s="8">
        <f>O5+C5-G5</f>
        <v/>
      </c>
      <c r="Q5" s="12" t="n"/>
      <c r="S5" s="12" t="n"/>
    </row>
    <row r="6">
      <c r="A6" s="7" t="n">
        <v>4</v>
      </c>
      <c r="B6" s="8">
        <f>IF($A6=Assumptions!$B$28,Assumptions!$B$27,0)</f>
        <v/>
      </c>
      <c r="C6" s="8">
        <f>IF($A6=Assumptions!$B$24,Assumptions!$B$23,0)</f>
        <v/>
      </c>
      <c r="D6" s="8">
        <f>(Fleet_Schedule!$G6*Assumptions!$B$5)+SUM(B6:C6)</f>
        <v/>
      </c>
      <c r="E6" s="8">
        <f>Fleet_Schedule!G6*Assumptions!$B$18</f>
        <v/>
      </c>
      <c r="F6" s="8">
        <f>IF(AND($A6&gt;=Assumptions!$B$33,$A6&lt;Assumptions!$B$33+Assumptions!$B$31),($O6+$C6)*Assumptions!$B$32,0)</f>
        <v/>
      </c>
      <c r="G6" s="8">
        <f>IF(AND($A6&gt;=Assumptions!$B$33,$A6&lt;Assumptions!$B$33+Assumptions!$B$31),MIN(($O6+$C6),Assumptions!$B$25-$F6),0)</f>
        <v/>
      </c>
      <c r="H6" s="8">
        <f>Income_Statement!$S6</f>
        <v/>
      </c>
      <c r="I6" s="8">
        <f>IF($A6&lt;Assumptions!$B$36,Assumptions!$B$34*Fleet_Schedule!$G6,ROUND(Assumptions!$B$34*(Fleet_Schedule!$G6-(Assumptions!$B$23/Assumptions!$B$4)),0))</f>
        <v/>
      </c>
      <c r="J6" s="8">
        <f>D6-E6-F6-G6-H6-I6</f>
        <v/>
      </c>
      <c r="K6" s="8">
        <f>Fleet_Schedule!$D6*Assumptions!$B$4</f>
        <v/>
      </c>
      <c r="L6" s="8">
        <f>J6-K6</f>
        <v/>
      </c>
      <c r="M6" s="8">
        <f>$N5</f>
        <v/>
      </c>
      <c r="N6" s="8">
        <f>$M6+$L6</f>
        <v/>
      </c>
      <c r="O6" s="8">
        <f>P5</f>
        <v/>
      </c>
      <c r="P6" s="8">
        <f>O6+C6-G6</f>
        <v/>
      </c>
      <c r="Q6" s="12" t="n"/>
      <c r="S6" s="12" t="n"/>
    </row>
    <row r="7">
      <c r="A7" s="7" t="n">
        <v>5</v>
      </c>
      <c r="B7" s="8">
        <f>IF($A7=Assumptions!$B$28,Assumptions!$B$27,0)</f>
        <v/>
      </c>
      <c r="C7" s="8">
        <f>IF($A7=Assumptions!$B$24,Assumptions!$B$23,0)</f>
        <v/>
      </c>
      <c r="D7" s="8">
        <f>(Fleet_Schedule!$G7*Assumptions!$B$5)+SUM(B7:C7)</f>
        <v/>
      </c>
      <c r="E7" s="8">
        <f>Fleet_Schedule!G7*Assumptions!$B$18</f>
        <v/>
      </c>
      <c r="F7" s="8">
        <f>IF(AND($A7&gt;=Assumptions!$B$33,$A7&lt;Assumptions!$B$33+Assumptions!$B$31),($O7+$C7)*Assumptions!$B$32,0)</f>
        <v/>
      </c>
      <c r="G7" s="8">
        <f>IF(AND($A7&gt;=Assumptions!$B$33,$A7&lt;Assumptions!$B$33+Assumptions!$B$31),MIN(($O7+$C7),Assumptions!$B$25-$F7),0)</f>
        <v/>
      </c>
      <c r="H7" s="8">
        <f>Income_Statement!$S7</f>
        <v/>
      </c>
      <c r="I7" s="8">
        <f>IF($A7&lt;Assumptions!$B$36,Assumptions!$B$34*Fleet_Schedule!$G7,ROUND(Assumptions!$B$34*(Fleet_Schedule!$G7-(Assumptions!$B$23/Assumptions!$B$4)),0))</f>
        <v/>
      </c>
      <c r="J7" s="8">
        <f>D7-E7-F7-G7-H7-I7</f>
        <v/>
      </c>
      <c r="K7" s="8">
        <f>Fleet_Schedule!$D7*Assumptions!$B$4</f>
        <v/>
      </c>
      <c r="L7" s="8">
        <f>J7-K7</f>
        <v/>
      </c>
      <c r="M7" s="8">
        <f>$N6</f>
        <v/>
      </c>
      <c r="N7" s="8">
        <f>$M7+$L7</f>
        <v/>
      </c>
      <c r="O7" s="8">
        <f>P6</f>
        <v/>
      </c>
      <c r="P7" s="8">
        <f>O7+C7-G7</f>
        <v/>
      </c>
      <c r="Q7" s="12" t="n"/>
      <c r="S7" s="12" t="n"/>
    </row>
    <row r="8">
      <c r="A8" s="7" t="n">
        <v>6</v>
      </c>
      <c r="B8" s="8">
        <f>IF($A8=Assumptions!$B$28,Assumptions!$B$27,0)</f>
        <v/>
      </c>
      <c r="C8" s="8">
        <f>IF($A8=Assumptions!$B$24,Assumptions!$B$23,0)</f>
        <v/>
      </c>
      <c r="D8" s="8">
        <f>(Fleet_Schedule!$G8*Assumptions!$B$5)+SUM(B8:C8)</f>
        <v/>
      </c>
      <c r="E8" s="8">
        <f>Fleet_Schedule!G8*Assumptions!$B$18</f>
        <v/>
      </c>
      <c r="F8" s="8">
        <f>IF(AND($A8&gt;=Assumptions!$B$33,$A8&lt;Assumptions!$B$33+Assumptions!$B$31),($O8+$C8)*Assumptions!$B$32,0)</f>
        <v/>
      </c>
      <c r="G8" s="8">
        <f>IF(AND($A8&gt;=Assumptions!$B$33,$A8&lt;Assumptions!$B$33+Assumptions!$B$31),MIN(($O8+$C8),Assumptions!$B$25-$F8),0)</f>
        <v/>
      </c>
      <c r="H8" s="8">
        <f>Income_Statement!$S8</f>
        <v/>
      </c>
      <c r="I8" s="8">
        <f>IF($A8&lt;Assumptions!$B$36,Assumptions!$B$34*Fleet_Schedule!$G8,ROUND(Assumptions!$B$34*(Fleet_Schedule!$G8-(Assumptions!$B$23/Assumptions!$B$4)),0))</f>
        <v/>
      </c>
      <c r="J8" s="8">
        <f>D8-E8-F8-G8-H8-I8</f>
        <v/>
      </c>
      <c r="K8" s="8">
        <f>Fleet_Schedule!$D8*Assumptions!$B$4</f>
        <v/>
      </c>
      <c r="L8" s="8">
        <f>J8-K8</f>
        <v/>
      </c>
      <c r="M8" s="8">
        <f>$N7</f>
        <v/>
      </c>
      <c r="N8" s="8">
        <f>$M8+$L8</f>
        <v/>
      </c>
      <c r="O8" s="8">
        <f>P7</f>
        <v/>
      </c>
      <c r="P8" s="8">
        <f>O8+C8-G8</f>
        <v/>
      </c>
      <c r="S8" s="12" t="n"/>
    </row>
    <row r="9">
      <c r="A9" s="7" t="n">
        <v>7</v>
      </c>
      <c r="B9" s="8">
        <f>IF($A9=Assumptions!$B$28,Assumptions!$B$27,0)</f>
        <v/>
      </c>
      <c r="C9" s="8">
        <f>IF($A9=Assumptions!$B$24,Assumptions!$B$23,0)</f>
        <v/>
      </c>
      <c r="D9" s="8">
        <f>(Fleet_Schedule!$G9*Assumptions!$B$5)+SUM(B9:C9)</f>
        <v/>
      </c>
      <c r="E9" s="8">
        <f>Fleet_Schedule!G9*Assumptions!$B$18</f>
        <v/>
      </c>
      <c r="F9" s="8">
        <f>IF(AND($A9&gt;=Assumptions!$B$33,$A9&lt;Assumptions!$B$33+Assumptions!$B$31),($O9+$C9)*Assumptions!$B$32,0)</f>
        <v/>
      </c>
      <c r="G9" s="8">
        <f>IF(AND($A9&gt;=Assumptions!$B$33,$A9&lt;Assumptions!$B$33+Assumptions!$B$31),MIN(($O9+$C9),Assumptions!$B$25-$F9),0)</f>
        <v/>
      </c>
      <c r="H9" s="8">
        <f>Income_Statement!$S9</f>
        <v/>
      </c>
      <c r="I9" s="8">
        <f>IF($A9&lt;Assumptions!$B$36,Assumptions!$B$34*Fleet_Schedule!$G9,ROUND(Assumptions!$B$34*(Fleet_Schedule!$G9-(Assumptions!$B$23/Assumptions!$B$4)),0))</f>
        <v/>
      </c>
      <c r="J9" s="8">
        <f>D9-E9-F9-G9-H9-I9</f>
        <v/>
      </c>
      <c r="K9" s="8">
        <f>Fleet_Schedule!$D9*Assumptions!$B$4</f>
        <v/>
      </c>
      <c r="L9" s="8">
        <f>J9-K9</f>
        <v/>
      </c>
      <c r="M9" s="8">
        <f>$N8</f>
        <v/>
      </c>
      <c r="N9" s="8">
        <f>$M9+$L9</f>
        <v/>
      </c>
      <c r="O9" s="8">
        <f>P8</f>
        <v/>
      </c>
      <c r="P9" s="8">
        <f>O9+C9-G9</f>
        <v/>
      </c>
      <c r="S9" s="12" t="n"/>
    </row>
    <row r="10">
      <c r="A10" s="7" t="n">
        <v>8</v>
      </c>
      <c r="B10" s="8">
        <f>IF($A10=Assumptions!$B$28,Assumptions!$B$27,0)</f>
        <v/>
      </c>
      <c r="C10" s="8">
        <f>IF($A10=Assumptions!$B$24,Assumptions!$B$23,0)</f>
        <v/>
      </c>
      <c r="D10" s="8">
        <f>(Fleet_Schedule!$G10*Assumptions!$B$5)+SUM(B10:C10)</f>
        <v/>
      </c>
      <c r="E10" s="8">
        <f>Fleet_Schedule!G10*Assumptions!$B$18</f>
        <v/>
      </c>
      <c r="F10" s="8">
        <f>IF(AND($A10&gt;=Assumptions!$B$33,$A10&lt;Assumptions!$B$33+Assumptions!$B$31),($O10+$C10)*Assumptions!$B$32,0)</f>
        <v/>
      </c>
      <c r="G10" s="8">
        <f>IF(AND($A10&gt;=Assumptions!$B$33,$A10&lt;Assumptions!$B$33+Assumptions!$B$31),MIN(($O10+$C10),Assumptions!$B$25-$F10),0)</f>
        <v/>
      </c>
      <c r="H10" s="8">
        <f>Income_Statement!$S10</f>
        <v/>
      </c>
      <c r="I10" s="8">
        <f>IF($A10&lt;Assumptions!$B$36,Assumptions!$B$34*Fleet_Schedule!$G10,ROUND(Assumptions!$B$34*(Fleet_Schedule!$G10-(Assumptions!$B$23/Assumptions!$B$4)),0))</f>
        <v/>
      </c>
      <c r="J10" s="8">
        <f>D10-E10-F10-G10-H10-I10</f>
        <v/>
      </c>
      <c r="K10" s="8">
        <f>Fleet_Schedule!$D10*Assumptions!$B$4</f>
        <v/>
      </c>
      <c r="L10" s="8">
        <f>J10-K10</f>
        <v/>
      </c>
      <c r="M10" s="8">
        <f>$N9</f>
        <v/>
      </c>
      <c r="N10" s="8">
        <f>$M10+$L10</f>
        <v/>
      </c>
      <c r="O10" s="8">
        <f>P9</f>
        <v/>
      </c>
      <c r="P10" s="8">
        <f>O10+C10-G10</f>
        <v/>
      </c>
      <c r="S10" s="12" t="n"/>
    </row>
    <row r="11">
      <c r="A11" s="7" t="n">
        <v>9</v>
      </c>
      <c r="B11" s="8">
        <f>IF($A11=Assumptions!$B$28,Assumptions!$B$27,0)</f>
        <v/>
      </c>
      <c r="C11" s="8">
        <f>IF($A11=Assumptions!$B$24,Assumptions!$B$23,0)</f>
        <v/>
      </c>
      <c r="D11" s="8">
        <f>(Fleet_Schedule!$G11*Assumptions!$B$5)+SUM(B11:C11)</f>
        <v/>
      </c>
      <c r="E11" s="8">
        <f>Fleet_Schedule!G11*Assumptions!$B$18</f>
        <v/>
      </c>
      <c r="F11" s="8">
        <f>IF(AND($A11&gt;=Assumptions!$B$33,$A11&lt;Assumptions!$B$33+Assumptions!$B$31),($O11+$C11)*Assumptions!$B$32,0)</f>
        <v/>
      </c>
      <c r="G11" s="8">
        <f>IF(AND($A11&gt;=Assumptions!$B$33,$A11&lt;Assumptions!$B$33+Assumptions!$B$31),MIN(($O11+$C11),Assumptions!$B$25-$F11),0)</f>
        <v/>
      </c>
      <c r="H11" s="8">
        <f>Income_Statement!$S11</f>
        <v/>
      </c>
      <c r="I11" s="8">
        <f>IF($A11&lt;Assumptions!$B$36,Assumptions!$B$34*Fleet_Schedule!$G11,ROUND(Assumptions!$B$34*(Fleet_Schedule!$G11-(Assumptions!$B$23/Assumptions!$B$4)),0))</f>
        <v/>
      </c>
      <c r="J11" s="8">
        <f>D11-E11-F11-G11-H11-I11</f>
        <v/>
      </c>
      <c r="K11" s="8">
        <f>Fleet_Schedule!$D11*Assumptions!$B$4</f>
        <v/>
      </c>
      <c r="L11" s="8">
        <f>J11-K11</f>
        <v/>
      </c>
      <c r="M11" s="8">
        <f>$N10</f>
        <v/>
      </c>
      <c r="N11" s="8">
        <f>$M11+$L11</f>
        <v/>
      </c>
      <c r="O11" s="8">
        <f>P10</f>
        <v/>
      </c>
      <c r="P11" s="8">
        <f>O11+C11-G11</f>
        <v/>
      </c>
      <c r="S11" s="12" t="n"/>
    </row>
    <row r="12">
      <c r="A12" s="7" t="n">
        <v>10</v>
      </c>
      <c r="B12" s="8">
        <f>IF($A12=Assumptions!$B$28,Assumptions!$B$27,0)</f>
        <v/>
      </c>
      <c r="C12" s="8">
        <f>IF($A12=Assumptions!$B$24,Assumptions!$B$23,0)</f>
        <v/>
      </c>
      <c r="D12" s="8">
        <f>(Fleet_Schedule!$G12*Assumptions!$B$5)+SUM(B12:C12)</f>
        <v/>
      </c>
      <c r="E12" s="8">
        <f>Fleet_Schedule!G12*Assumptions!$B$18</f>
        <v/>
      </c>
      <c r="F12" s="8">
        <f>IF(AND($A12&gt;=Assumptions!$B$33,$A12&lt;Assumptions!$B$33+Assumptions!$B$31),($O12+$C12)*Assumptions!$B$32,0)</f>
        <v/>
      </c>
      <c r="G12" s="8">
        <f>IF(AND($A12&gt;=Assumptions!$B$33,$A12&lt;Assumptions!$B$33+Assumptions!$B$31),MIN(($O12+$C12),Assumptions!$B$25-$F12),0)</f>
        <v/>
      </c>
      <c r="H12" s="8">
        <f>Income_Statement!$S12</f>
        <v/>
      </c>
      <c r="I12" s="8">
        <f>IF($A12&lt;Assumptions!$B$36,Assumptions!$B$34*Fleet_Schedule!$G12,ROUND(Assumptions!$B$34*(Fleet_Schedule!$G12-(Assumptions!$B$23/Assumptions!$B$4)),0))</f>
        <v/>
      </c>
      <c r="J12" s="8">
        <f>D12-E12-F12-G12-H12-I12</f>
        <v/>
      </c>
      <c r="K12" s="8">
        <f>Fleet_Schedule!$D12*Assumptions!$B$4</f>
        <v/>
      </c>
      <c r="L12" s="8">
        <f>J12-K12</f>
        <v/>
      </c>
      <c r="M12" s="8">
        <f>$N11</f>
        <v/>
      </c>
      <c r="N12" s="8">
        <f>$M12+$L12</f>
        <v/>
      </c>
      <c r="O12" s="8">
        <f>P11</f>
        <v/>
      </c>
      <c r="P12" s="8">
        <f>O12+C12-G12</f>
        <v/>
      </c>
      <c r="S12" s="12" t="n"/>
    </row>
    <row r="13">
      <c r="A13" s="7" t="n">
        <v>11</v>
      </c>
      <c r="B13" s="8">
        <f>IF($A13=Assumptions!$B$28,Assumptions!$B$27,0)</f>
        <v/>
      </c>
      <c r="C13" s="8">
        <f>IF($A13=Assumptions!$B$24,Assumptions!$B$23,0)</f>
        <v/>
      </c>
      <c r="D13" s="8">
        <f>(Fleet_Schedule!$G13*Assumptions!$B$5)+SUM(B13:C13)</f>
        <v/>
      </c>
      <c r="E13" s="8">
        <f>Fleet_Schedule!G13*Assumptions!$B$18</f>
        <v/>
      </c>
      <c r="F13" s="8">
        <f>IF(AND($A13&gt;=Assumptions!$B$33,$A13&lt;Assumptions!$B$33+Assumptions!$B$31),($O13+$C13)*Assumptions!$B$32,0)</f>
        <v/>
      </c>
      <c r="G13" s="8">
        <f>IF(AND($A13&gt;=Assumptions!$B$33,$A13&lt;Assumptions!$B$33+Assumptions!$B$31),MIN(($O13+$C13),Assumptions!$B$25-$F13),0)</f>
        <v/>
      </c>
      <c r="H13" s="8">
        <f>Income_Statement!$S13</f>
        <v/>
      </c>
      <c r="I13" s="8">
        <f>IF($A13&lt;Assumptions!$B$36,Assumptions!$B$34*Fleet_Schedule!$G13,ROUND(Assumptions!$B$34*(Fleet_Schedule!$G13-(Assumptions!$B$23/Assumptions!$B$4)),0))</f>
        <v/>
      </c>
      <c r="J13" s="8">
        <f>D13-E13-F13-G13-H13-I13</f>
        <v/>
      </c>
      <c r="K13" s="8">
        <f>Fleet_Schedule!$D13*Assumptions!$B$4</f>
        <v/>
      </c>
      <c r="L13" s="8">
        <f>J13-K13</f>
        <v/>
      </c>
      <c r="M13" s="8">
        <f>$N12</f>
        <v/>
      </c>
      <c r="N13" s="8">
        <f>$M13+$L13</f>
        <v/>
      </c>
      <c r="O13" s="8">
        <f>P12</f>
        <v/>
      </c>
      <c r="P13" s="8">
        <f>O13+C13-G13</f>
        <v/>
      </c>
      <c r="S13" s="12" t="n"/>
    </row>
    <row r="14">
      <c r="A14" s="7" t="n">
        <v>12</v>
      </c>
      <c r="B14" s="8">
        <f>IF($A14=Assumptions!$B$28,Assumptions!$B$27,0)</f>
        <v/>
      </c>
      <c r="C14" s="8">
        <f>IF($A14=Assumptions!$B$24,Assumptions!$B$23,0)</f>
        <v/>
      </c>
      <c r="D14" s="8">
        <f>(Fleet_Schedule!$G14*Assumptions!$B$5)+SUM(B14:C14)</f>
        <v/>
      </c>
      <c r="E14" s="8">
        <f>Fleet_Schedule!G14*Assumptions!$B$18</f>
        <v/>
      </c>
      <c r="F14" s="8">
        <f>IF(AND($A14&gt;=Assumptions!$B$33,$A14&lt;Assumptions!$B$33+Assumptions!$B$31),($O14+$C14)*Assumptions!$B$32,0)</f>
        <v/>
      </c>
      <c r="G14" s="8">
        <f>IF(AND($A14&gt;=Assumptions!$B$33,$A14&lt;Assumptions!$B$33+Assumptions!$B$31),MIN(($O14+$C14),Assumptions!$B$25-$F14),0)</f>
        <v/>
      </c>
      <c r="H14" s="8">
        <f>Income_Statement!$S14</f>
        <v/>
      </c>
      <c r="I14" s="8">
        <f>IF($A14&lt;Assumptions!$B$36,Assumptions!$B$34*Fleet_Schedule!$G14,ROUND(Assumptions!$B$34*(Fleet_Schedule!$G14-(Assumptions!$B$23/Assumptions!$B$4)),0))</f>
        <v/>
      </c>
      <c r="J14" s="8">
        <f>D14-E14-F14-G14-H14-I14</f>
        <v/>
      </c>
      <c r="K14" s="8">
        <f>Fleet_Schedule!$D14*Assumptions!$B$4</f>
        <v/>
      </c>
      <c r="L14" s="8">
        <f>J14-K14</f>
        <v/>
      </c>
      <c r="M14" s="8">
        <f>$N13</f>
        <v/>
      </c>
      <c r="N14" s="8">
        <f>$M14+$L14</f>
        <v/>
      </c>
      <c r="O14" s="8">
        <f>P13</f>
        <v/>
      </c>
      <c r="P14" s="8">
        <f>O14+C14-G14</f>
        <v/>
      </c>
      <c r="S14" s="12" t="n"/>
    </row>
    <row r="15">
      <c r="A15" s="7" t="n">
        <v>13</v>
      </c>
      <c r="B15" s="8">
        <f>IF($A15=Assumptions!$B$28,Assumptions!$B$27,0)</f>
        <v/>
      </c>
      <c r="C15" s="8">
        <f>IF($A15=Assumptions!$B$24,Assumptions!$B$23,0)</f>
        <v/>
      </c>
      <c r="D15" s="8">
        <f>(Fleet_Schedule!$G15*Assumptions!$B$5)+SUM(B15:C15)</f>
        <v/>
      </c>
      <c r="E15" s="8">
        <f>Fleet_Schedule!G15*Assumptions!$B$18</f>
        <v/>
      </c>
      <c r="F15" s="8">
        <f>IF(AND($A15&gt;=Assumptions!$B$33,$A15&lt;Assumptions!$B$33+Assumptions!$B$31),($O15+$C15)*Assumptions!$B$32,0)</f>
        <v/>
      </c>
      <c r="G15" s="8">
        <f>IF(AND($A15&gt;=Assumptions!$B$33,$A15&lt;Assumptions!$B$33+Assumptions!$B$31),MIN(($O15+$C15),Assumptions!$B$25-$F15),0)</f>
        <v/>
      </c>
      <c r="H15" s="8">
        <f>Income_Statement!$S15</f>
        <v/>
      </c>
      <c r="I15" s="8">
        <f>IF($A15&lt;Assumptions!$B$36,Assumptions!$B$34*Fleet_Schedule!$G15,ROUND(Assumptions!$B$34*(Fleet_Schedule!$G15-(Assumptions!$B$23/Assumptions!$B$4)),0))</f>
        <v/>
      </c>
      <c r="J15" s="8">
        <f>D15-E15-F15-G15-H15-I15</f>
        <v/>
      </c>
      <c r="K15" s="8">
        <f>Fleet_Schedule!$D15*Assumptions!$B$4</f>
        <v/>
      </c>
      <c r="L15" s="8">
        <f>J15-K15</f>
        <v/>
      </c>
      <c r="M15" s="8">
        <f>$N14</f>
        <v/>
      </c>
      <c r="N15" s="8">
        <f>$M15+$L15</f>
        <v/>
      </c>
      <c r="O15" s="8">
        <f>P14</f>
        <v/>
      </c>
      <c r="P15" s="8">
        <f>O15+C15-G15</f>
        <v/>
      </c>
      <c r="S15" s="12" t="n"/>
    </row>
    <row r="16">
      <c r="A16" s="7" t="n">
        <v>14</v>
      </c>
      <c r="B16" s="8">
        <f>IF($A16=Assumptions!$B$28,Assumptions!$B$27,0)</f>
        <v/>
      </c>
      <c r="C16" s="8">
        <f>IF($A16=Assumptions!$B$24,Assumptions!$B$23,0)</f>
        <v/>
      </c>
      <c r="D16" s="8">
        <f>(Fleet_Schedule!$G16*Assumptions!$B$5)+SUM(B16:C16)</f>
        <v/>
      </c>
      <c r="E16" s="8">
        <f>Fleet_Schedule!G16*Assumptions!$B$18</f>
        <v/>
      </c>
      <c r="F16" s="8">
        <f>IF(AND($A16&gt;=Assumptions!$B$33,$A16&lt;Assumptions!$B$33+Assumptions!$B$31),($O16+$C16)*Assumptions!$B$32,0)</f>
        <v/>
      </c>
      <c r="G16" s="8">
        <f>IF(AND($A16&gt;=Assumptions!$B$33,$A16&lt;Assumptions!$B$33+Assumptions!$B$31),MIN(($O16+$C16),Assumptions!$B$25-$F16),0)</f>
        <v/>
      </c>
      <c r="H16" s="8">
        <f>Income_Statement!$S16</f>
        <v/>
      </c>
      <c r="I16" s="8">
        <f>IF($A16&lt;Assumptions!$B$36,Assumptions!$B$34*Fleet_Schedule!$G16,ROUND(Assumptions!$B$34*(Fleet_Schedule!$G16-(Assumptions!$B$23/Assumptions!$B$4)),0))</f>
        <v/>
      </c>
      <c r="J16" s="8">
        <f>D16-E16-F16-G16-H16-I16</f>
        <v/>
      </c>
      <c r="K16" s="8">
        <f>Fleet_Schedule!$D16*Assumptions!$B$4</f>
        <v/>
      </c>
      <c r="L16" s="8">
        <f>J16-K16</f>
        <v/>
      </c>
      <c r="M16" s="8">
        <f>$N15</f>
        <v/>
      </c>
      <c r="N16" s="8">
        <f>$M16+$L16</f>
        <v/>
      </c>
      <c r="O16" s="8">
        <f>P15</f>
        <v/>
      </c>
      <c r="P16" s="8">
        <f>O16+C16-G16</f>
        <v/>
      </c>
      <c r="S16" s="12" t="n"/>
    </row>
    <row r="17">
      <c r="A17" s="7" t="n">
        <v>15</v>
      </c>
      <c r="B17" s="8">
        <f>IF($A17=Assumptions!$B$28,Assumptions!$B$27,0)</f>
        <v/>
      </c>
      <c r="C17" s="8">
        <f>IF($A17=Assumptions!$B$24,Assumptions!$B$23,0)</f>
        <v/>
      </c>
      <c r="D17" s="8">
        <f>(Fleet_Schedule!$G17*Assumptions!$B$5)+SUM(B17:C17)</f>
        <v/>
      </c>
      <c r="E17" s="8">
        <f>Fleet_Schedule!G17*Assumptions!$B$18</f>
        <v/>
      </c>
      <c r="F17" s="8">
        <f>IF(AND($A17&gt;=Assumptions!$B$33,$A17&lt;Assumptions!$B$33+Assumptions!$B$31),($O17+$C17)*Assumptions!$B$32,0)</f>
        <v/>
      </c>
      <c r="G17" s="8">
        <f>IF(AND($A17&gt;=Assumptions!$B$33,$A17&lt;Assumptions!$B$33+Assumptions!$B$31),MIN(($O17+$C17),Assumptions!$B$25-$F17),0)</f>
        <v/>
      </c>
      <c r="H17" s="8">
        <f>Income_Statement!$S17</f>
        <v/>
      </c>
      <c r="I17" s="8">
        <f>IF($A17&lt;Assumptions!$B$36,Assumptions!$B$34*Fleet_Schedule!$G17,ROUND(Assumptions!$B$34*(Fleet_Schedule!$G17-(Assumptions!$B$23/Assumptions!$B$4)),0))</f>
        <v/>
      </c>
      <c r="J17" s="8">
        <f>D17-E17-F17-G17-H17-I17</f>
        <v/>
      </c>
      <c r="K17" s="8">
        <f>Fleet_Schedule!$D17*Assumptions!$B$4</f>
        <v/>
      </c>
      <c r="L17" s="8">
        <f>J17-K17</f>
        <v/>
      </c>
      <c r="M17" s="8">
        <f>$N16</f>
        <v/>
      </c>
      <c r="N17" s="8">
        <f>$M17+$L17</f>
        <v/>
      </c>
      <c r="O17" s="8">
        <f>P16</f>
        <v/>
      </c>
      <c r="P17" s="8">
        <f>O17+C17-G17</f>
        <v/>
      </c>
      <c r="S17" s="12" t="n"/>
    </row>
    <row r="18">
      <c r="A18" s="7" t="n">
        <v>16</v>
      </c>
      <c r="B18" s="8">
        <f>IF($A18=Assumptions!$B$28,Assumptions!$B$27,0)</f>
        <v/>
      </c>
      <c r="C18" s="8">
        <f>IF($A18=Assumptions!$B$24,Assumptions!$B$23,0)</f>
        <v/>
      </c>
      <c r="D18" s="8">
        <f>(Fleet_Schedule!$G18*Assumptions!$B$5)+SUM(B18:C18)</f>
        <v/>
      </c>
      <c r="E18" s="8">
        <f>Fleet_Schedule!G18*Assumptions!$B$18</f>
        <v/>
      </c>
      <c r="F18" s="8">
        <f>IF(AND($A18&gt;=Assumptions!$B$33,$A18&lt;Assumptions!$B$33+Assumptions!$B$31),($O18+$C18)*Assumptions!$B$32,0)</f>
        <v/>
      </c>
      <c r="G18" s="8">
        <f>IF(AND($A18&gt;=Assumptions!$B$33,$A18&lt;Assumptions!$B$33+Assumptions!$B$31),MIN(($O18+$C18),Assumptions!$B$25-$F18),0)</f>
        <v/>
      </c>
      <c r="H18" s="8">
        <f>Income_Statement!$S18</f>
        <v/>
      </c>
      <c r="I18" s="8">
        <f>IF($A18&lt;Assumptions!$B$36,Assumptions!$B$34*Fleet_Schedule!$G18,ROUND(Assumptions!$B$34*(Fleet_Schedule!$G18-(Assumptions!$B$23/Assumptions!$B$4)),0))</f>
        <v/>
      </c>
      <c r="J18" s="8">
        <f>D18-E18-F18-G18-H18-I18</f>
        <v/>
      </c>
      <c r="K18" s="8">
        <f>Fleet_Schedule!$D18*Assumptions!$B$4</f>
        <v/>
      </c>
      <c r="L18" s="8">
        <f>J18-K18</f>
        <v/>
      </c>
      <c r="M18" s="8">
        <f>$N17</f>
        <v/>
      </c>
      <c r="N18" s="8">
        <f>$M18+$L18</f>
        <v/>
      </c>
      <c r="O18" s="8">
        <f>P17</f>
        <v/>
      </c>
      <c r="P18" s="8">
        <f>O18+C18-G18</f>
        <v/>
      </c>
      <c r="S18" s="12" t="n"/>
    </row>
    <row r="19">
      <c r="A19" s="7" t="n">
        <v>17</v>
      </c>
      <c r="B19" s="8">
        <f>IF($A19=Assumptions!$B$28,Assumptions!$B$27,0)</f>
        <v/>
      </c>
      <c r="C19" s="8">
        <f>IF($A19=Assumptions!$B$24,Assumptions!$B$23,0)</f>
        <v/>
      </c>
      <c r="D19" s="8">
        <f>(Fleet_Schedule!$G19*Assumptions!$B$5)+SUM(B19:C19)</f>
        <v/>
      </c>
      <c r="E19" s="8">
        <f>Fleet_Schedule!G19*Assumptions!$B$18</f>
        <v/>
      </c>
      <c r="F19" s="8">
        <f>IF(AND($A19&gt;=Assumptions!$B$33,$A19&lt;Assumptions!$B$33+Assumptions!$B$31),($O19+$C19)*Assumptions!$B$32,0)</f>
        <v/>
      </c>
      <c r="G19" s="8">
        <f>IF(AND($A19&gt;=Assumptions!$B$33,$A19&lt;Assumptions!$B$33+Assumptions!$B$31),MIN(($O19+$C19),Assumptions!$B$25-$F19),0)</f>
        <v/>
      </c>
      <c r="H19" s="8">
        <f>Income_Statement!$S19</f>
        <v/>
      </c>
      <c r="I19" s="8">
        <f>IF($A19&lt;Assumptions!$B$36,Assumptions!$B$34*Fleet_Schedule!$G19,ROUND(Assumptions!$B$34*(Fleet_Schedule!$G19-(Assumptions!$B$23/Assumptions!$B$4)),0))</f>
        <v/>
      </c>
      <c r="J19" s="8">
        <f>D19-E19-F19-G19-H19-I19</f>
        <v/>
      </c>
      <c r="K19" s="8">
        <f>Fleet_Schedule!$D19*Assumptions!$B$4</f>
        <v/>
      </c>
      <c r="L19" s="8">
        <f>J19-K19</f>
        <v/>
      </c>
      <c r="M19" s="8">
        <f>$N18</f>
        <v/>
      </c>
      <c r="N19" s="8">
        <f>$M19+$L19</f>
        <v/>
      </c>
      <c r="O19" s="8">
        <f>P18</f>
        <v/>
      </c>
      <c r="P19" s="8">
        <f>O19+C19-G19</f>
        <v/>
      </c>
      <c r="S19" s="12" t="n"/>
    </row>
    <row r="20">
      <c r="A20" s="7" t="n">
        <v>18</v>
      </c>
      <c r="B20" s="8">
        <f>IF($A20=Assumptions!$B$28,Assumptions!$B$27,0)</f>
        <v/>
      </c>
      <c r="C20" s="8">
        <f>IF($A20=Assumptions!$B$24,Assumptions!$B$23,0)</f>
        <v/>
      </c>
      <c r="D20" s="8">
        <f>(Fleet_Schedule!$G20*Assumptions!$B$5)+SUM(B20:C20)</f>
        <v/>
      </c>
      <c r="E20" s="8">
        <f>Fleet_Schedule!G20*Assumptions!$B$18</f>
        <v/>
      </c>
      <c r="F20" s="8">
        <f>IF(AND($A20&gt;=Assumptions!$B$33,$A20&lt;Assumptions!$B$33+Assumptions!$B$31),($O20+$C20)*Assumptions!$B$32,0)</f>
        <v/>
      </c>
      <c r="G20" s="8">
        <f>IF(AND($A20&gt;=Assumptions!$B$33,$A20&lt;Assumptions!$B$33+Assumptions!$B$31),MIN(($O20+$C20),Assumptions!$B$25-$F20),0)</f>
        <v/>
      </c>
      <c r="H20" s="8">
        <f>Income_Statement!$S20</f>
        <v/>
      </c>
      <c r="I20" s="8">
        <f>IF($A20&lt;Assumptions!$B$36,Assumptions!$B$34*Fleet_Schedule!$G20,ROUND(Assumptions!$B$34*(Fleet_Schedule!$G20-(Assumptions!$B$23/Assumptions!$B$4)),0))</f>
        <v/>
      </c>
      <c r="J20" s="8">
        <f>D20-E20-F20-G20-H20-I20</f>
        <v/>
      </c>
      <c r="K20" s="8">
        <f>Fleet_Schedule!$D20*Assumptions!$B$4</f>
        <v/>
      </c>
      <c r="L20" s="8">
        <f>J20-K20</f>
        <v/>
      </c>
      <c r="M20" s="8">
        <f>$N19</f>
        <v/>
      </c>
      <c r="N20" s="8">
        <f>$M20+$L20</f>
        <v/>
      </c>
      <c r="O20" s="8">
        <f>P19</f>
        <v/>
      </c>
      <c r="P20" s="8">
        <f>O20+C20-G20</f>
        <v/>
      </c>
      <c r="S20" s="12" t="n"/>
    </row>
    <row r="21">
      <c r="A21" s="7" t="n">
        <v>19</v>
      </c>
      <c r="B21" s="8">
        <f>IF($A21=Assumptions!$B$28,Assumptions!$B$27,0)</f>
        <v/>
      </c>
      <c r="C21" s="8">
        <f>IF($A21=Assumptions!$B$24,Assumptions!$B$23,0)</f>
        <v/>
      </c>
      <c r="D21" s="8">
        <f>(Fleet_Schedule!$G21*Assumptions!$B$5)+SUM(B21:C21)</f>
        <v/>
      </c>
      <c r="E21" s="8">
        <f>Fleet_Schedule!G21*Assumptions!$B$18</f>
        <v/>
      </c>
      <c r="F21" s="8">
        <f>IF(AND($A21&gt;=Assumptions!$B$33,$A21&lt;Assumptions!$B$33+Assumptions!$B$31),($O21+$C21)*Assumptions!$B$32,0)</f>
        <v/>
      </c>
      <c r="G21" s="8">
        <f>IF(AND($A21&gt;=Assumptions!$B$33,$A21&lt;Assumptions!$B$33+Assumptions!$B$31),MIN(($O21+$C21),Assumptions!$B$25-$F21),0)</f>
        <v/>
      </c>
      <c r="H21" s="8">
        <f>Income_Statement!$S21</f>
        <v/>
      </c>
      <c r="I21" s="8">
        <f>IF($A21&lt;Assumptions!$B$36,Assumptions!$B$34*Fleet_Schedule!$G21,ROUND(Assumptions!$B$34*(Fleet_Schedule!$G21-(Assumptions!$B$23/Assumptions!$B$4)),0))</f>
        <v/>
      </c>
      <c r="J21" s="8">
        <f>D21-E21-F21-G21-H21-I21</f>
        <v/>
      </c>
      <c r="K21" s="8">
        <f>Fleet_Schedule!$D21*Assumptions!$B$4</f>
        <v/>
      </c>
      <c r="L21" s="8">
        <f>J21-K21</f>
        <v/>
      </c>
      <c r="M21" s="8">
        <f>$N20</f>
        <v/>
      </c>
      <c r="N21" s="8">
        <f>$M21+$L21</f>
        <v/>
      </c>
      <c r="O21" s="8">
        <f>P20</f>
        <v/>
      </c>
      <c r="P21" s="8">
        <f>O21+C21-G21</f>
        <v/>
      </c>
      <c r="S21" s="12" t="n"/>
    </row>
    <row r="22">
      <c r="A22" s="7" t="n">
        <v>20</v>
      </c>
      <c r="B22" s="8">
        <f>IF($A22=Assumptions!$B$28,Assumptions!$B$27,0)</f>
        <v/>
      </c>
      <c r="C22" s="8">
        <f>IF($A22=Assumptions!$B$24,Assumptions!$B$23,0)</f>
        <v/>
      </c>
      <c r="D22" s="8">
        <f>(Fleet_Schedule!$G22*Assumptions!$B$5)+SUM(B22:C22)</f>
        <v/>
      </c>
      <c r="E22" s="8">
        <f>Fleet_Schedule!G22*Assumptions!$B$18</f>
        <v/>
      </c>
      <c r="F22" s="8">
        <f>IF(AND($A22&gt;=Assumptions!$B$33,$A22&lt;Assumptions!$B$33+Assumptions!$B$31),($O22+$C22)*Assumptions!$B$32,0)</f>
        <v/>
      </c>
      <c r="G22" s="8">
        <f>IF(AND($A22&gt;=Assumptions!$B$33,$A22&lt;Assumptions!$B$33+Assumptions!$B$31),MIN(($O22+$C22),Assumptions!$B$25-$F22),0)</f>
        <v/>
      </c>
      <c r="H22" s="8">
        <f>Income_Statement!$S22</f>
        <v/>
      </c>
      <c r="I22" s="8">
        <f>IF($A22&lt;Assumptions!$B$36,Assumptions!$B$34*Fleet_Schedule!$G22,ROUND(Assumptions!$B$34*(Fleet_Schedule!$G22-(Assumptions!$B$23/Assumptions!$B$4)),0))</f>
        <v/>
      </c>
      <c r="J22" s="8">
        <f>D22-E22-F22-G22-H22-I22</f>
        <v/>
      </c>
      <c r="K22" s="8">
        <f>Fleet_Schedule!$D22*Assumptions!$B$4</f>
        <v/>
      </c>
      <c r="L22" s="8">
        <f>J22-K22</f>
        <v/>
      </c>
      <c r="M22" s="8">
        <f>$N21</f>
        <v/>
      </c>
      <c r="N22" s="8">
        <f>$M22+$L22</f>
        <v/>
      </c>
      <c r="O22" s="8">
        <f>P21</f>
        <v/>
      </c>
      <c r="P22" s="8">
        <f>O22+C22-G22</f>
        <v/>
      </c>
      <c r="S22" s="12" t="n"/>
    </row>
    <row r="23">
      <c r="A23" s="7" t="n">
        <v>21</v>
      </c>
      <c r="B23" s="8">
        <f>IF($A23=Assumptions!$B$28,Assumptions!$B$27,0)</f>
        <v/>
      </c>
      <c r="C23" s="8">
        <f>IF($A23=Assumptions!$B$24,Assumptions!$B$23,0)</f>
        <v/>
      </c>
      <c r="D23" s="8">
        <f>(Fleet_Schedule!$G23*Assumptions!$B$5)+SUM(B23:C23)</f>
        <v/>
      </c>
      <c r="E23" s="8">
        <f>Fleet_Schedule!G23*Assumptions!$B$18</f>
        <v/>
      </c>
      <c r="F23" s="8">
        <f>IF(AND($A23&gt;=Assumptions!$B$33,$A23&lt;Assumptions!$B$33+Assumptions!$B$31),($O23+$C23)*Assumptions!$B$32,0)</f>
        <v/>
      </c>
      <c r="G23" s="8">
        <f>IF(AND($A23&gt;=Assumptions!$B$33,$A23&lt;Assumptions!$B$33+Assumptions!$B$31),MIN(($O23+$C23),Assumptions!$B$25-$F23),0)</f>
        <v/>
      </c>
      <c r="H23" s="8">
        <f>Income_Statement!$S23</f>
        <v/>
      </c>
      <c r="I23" s="8">
        <f>IF($A23&lt;Assumptions!$B$36,Assumptions!$B$34*Fleet_Schedule!$G23,ROUND(Assumptions!$B$34*(Fleet_Schedule!$G23-(Assumptions!$B$23/Assumptions!$B$4)),0))</f>
        <v/>
      </c>
      <c r="J23" s="8">
        <f>D23-E23-F23-G23-H23-I23</f>
        <v/>
      </c>
      <c r="K23" s="8">
        <f>Fleet_Schedule!$D23*Assumptions!$B$4</f>
        <v/>
      </c>
      <c r="L23" s="8">
        <f>J23-K23</f>
        <v/>
      </c>
      <c r="M23" s="8">
        <f>$N22</f>
        <v/>
      </c>
      <c r="N23" s="8">
        <f>$M23+$L23</f>
        <v/>
      </c>
      <c r="O23" s="8">
        <f>P22</f>
        <v/>
      </c>
      <c r="P23" s="8">
        <f>O23+C23-G23</f>
        <v/>
      </c>
      <c r="S23" s="12" t="n"/>
    </row>
    <row r="24">
      <c r="A24" s="7" t="n">
        <v>22</v>
      </c>
      <c r="B24" s="8">
        <f>IF($A24=Assumptions!$B$28,Assumptions!$B$27,0)</f>
        <v/>
      </c>
      <c r="C24" s="8">
        <f>IF($A24=Assumptions!$B$24,Assumptions!$B$23,0)</f>
        <v/>
      </c>
      <c r="D24" s="8">
        <f>(Fleet_Schedule!$G24*Assumptions!$B$5)+SUM(B24:C24)</f>
        <v/>
      </c>
      <c r="E24" s="8">
        <f>Fleet_Schedule!G24*Assumptions!$B$18</f>
        <v/>
      </c>
      <c r="F24" s="8">
        <f>IF(AND($A24&gt;=Assumptions!$B$33,$A24&lt;Assumptions!$B$33+Assumptions!$B$31),($O24+$C24)*Assumptions!$B$32,0)</f>
        <v/>
      </c>
      <c r="G24" s="8">
        <f>IF(AND($A24&gt;=Assumptions!$B$33,$A24&lt;Assumptions!$B$33+Assumptions!$B$31),MIN(($O24+$C24),Assumptions!$B$25-$F24),0)</f>
        <v/>
      </c>
      <c r="H24" s="8">
        <f>Income_Statement!$S24</f>
        <v/>
      </c>
      <c r="I24" s="8">
        <f>IF($A24&lt;Assumptions!$B$36,Assumptions!$B$34*Fleet_Schedule!$G24,ROUND(Assumptions!$B$34*(Fleet_Schedule!$G24-(Assumptions!$B$23/Assumptions!$B$4)),0))</f>
        <v/>
      </c>
      <c r="J24" s="8">
        <f>D24-E24-F24-G24-H24-I24</f>
        <v/>
      </c>
      <c r="K24" s="8">
        <f>Fleet_Schedule!$D24*Assumptions!$B$4</f>
        <v/>
      </c>
      <c r="L24" s="8">
        <f>J24-K24</f>
        <v/>
      </c>
      <c r="M24" s="8">
        <f>$N23</f>
        <v/>
      </c>
      <c r="N24" s="8">
        <f>$M24+$L24</f>
        <v/>
      </c>
      <c r="O24" s="8">
        <f>P23</f>
        <v/>
      </c>
      <c r="P24" s="8">
        <f>O24+C24-G24</f>
        <v/>
      </c>
      <c r="S24" s="12" t="n"/>
    </row>
    <row r="25">
      <c r="A25" s="7" t="n">
        <v>23</v>
      </c>
      <c r="B25" s="8">
        <f>IF($A25=Assumptions!$B$28,Assumptions!$B$27,0)</f>
        <v/>
      </c>
      <c r="C25" s="8">
        <f>IF($A25=Assumptions!$B$24,Assumptions!$B$23,0)</f>
        <v/>
      </c>
      <c r="D25" s="8">
        <f>(Fleet_Schedule!$G25*Assumptions!$B$5)+SUM(B25:C25)</f>
        <v/>
      </c>
      <c r="E25" s="8">
        <f>Fleet_Schedule!G25*Assumptions!$B$18</f>
        <v/>
      </c>
      <c r="F25" s="8">
        <f>IF(AND($A25&gt;=Assumptions!$B$33,$A25&lt;Assumptions!$B$33+Assumptions!$B$31),($O25+$C25)*Assumptions!$B$32,0)</f>
        <v/>
      </c>
      <c r="G25" s="8">
        <f>IF(AND($A25&gt;=Assumptions!$B$33,$A25&lt;Assumptions!$B$33+Assumptions!$B$31),MIN(($O25+$C25),Assumptions!$B$25-$F25),0)</f>
        <v/>
      </c>
      <c r="H25" s="8">
        <f>Income_Statement!$S25</f>
        <v/>
      </c>
      <c r="I25" s="8">
        <f>IF($A25&lt;Assumptions!$B$36,Assumptions!$B$34*Fleet_Schedule!$G25,ROUND(Assumptions!$B$34*(Fleet_Schedule!$G25-(Assumptions!$B$23/Assumptions!$B$4)),0))</f>
        <v/>
      </c>
      <c r="J25" s="8">
        <f>D25-E25-F25-G25-H25-I25</f>
        <v/>
      </c>
      <c r="K25" s="8">
        <f>Fleet_Schedule!$D25*Assumptions!$B$4</f>
        <v/>
      </c>
      <c r="L25" s="8">
        <f>J25-K25</f>
        <v/>
      </c>
      <c r="M25" s="8">
        <f>$N24</f>
        <v/>
      </c>
      <c r="N25" s="8">
        <f>$M25+$L25</f>
        <v/>
      </c>
      <c r="O25" s="8">
        <f>P24</f>
        <v/>
      </c>
      <c r="P25" s="8">
        <f>O25+C25-G25</f>
        <v/>
      </c>
      <c r="S25" s="12" t="n"/>
    </row>
    <row r="26">
      <c r="A26" s="7" t="n">
        <v>24</v>
      </c>
      <c r="B26" s="8">
        <f>IF($A26=Assumptions!$B$28,Assumptions!$B$27,0)</f>
        <v/>
      </c>
      <c r="C26" s="8">
        <f>IF($A26=Assumptions!$B$24,Assumptions!$B$23,0)</f>
        <v/>
      </c>
      <c r="D26" s="8">
        <f>(Fleet_Schedule!$G26*Assumptions!$B$5)+SUM(B26:C26)</f>
        <v/>
      </c>
      <c r="E26" s="8">
        <f>Fleet_Schedule!G26*Assumptions!$B$18</f>
        <v/>
      </c>
      <c r="F26" s="8">
        <f>IF(AND($A26&gt;=Assumptions!$B$33,$A26&lt;Assumptions!$B$33+Assumptions!$B$31),($O26+$C26)*Assumptions!$B$32,0)</f>
        <v/>
      </c>
      <c r="G26" s="8">
        <f>IF(AND($A26&gt;=Assumptions!$B$33,$A26&lt;Assumptions!$B$33+Assumptions!$B$31),MIN(($O26+$C26),Assumptions!$B$25-$F26),0)</f>
        <v/>
      </c>
      <c r="H26" s="8">
        <f>Income_Statement!$S26</f>
        <v/>
      </c>
      <c r="I26" s="8">
        <f>IF($A26&lt;Assumptions!$B$36,Assumptions!$B$34*Fleet_Schedule!$G26,ROUND(Assumptions!$B$34*(Fleet_Schedule!$G26-(Assumptions!$B$23/Assumptions!$B$4)),0))</f>
        <v/>
      </c>
      <c r="J26" s="8">
        <f>D26-E26-F26-G26-H26-I26</f>
        <v/>
      </c>
      <c r="K26" s="8">
        <f>Fleet_Schedule!$D26*Assumptions!$B$4</f>
        <v/>
      </c>
      <c r="L26" s="8">
        <f>J26-K26</f>
        <v/>
      </c>
      <c r="M26" s="8">
        <f>$N25</f>
        <v/>
      </c>
      <c r="N26" s="8">
        <f>$M26+$L26</f>
        <v/>
      </c>
      <c r="O26" s="8">
        <f>P25</f>
        <v/>
      </c>
      <c r="P26" s="8">
        <f>O26+C26-G26</f>
        <v/>
      </c>
      <c r="S26" s="12" t="n"/>
    </row>
    <row r="27">
      <c r="A27" s="7" t="n">
        <v>25</v>
      </c>
      <c r="B27" s="8">
        <f>IF($A27=Assumptions!$B$28,Assumptions!$B$27,0)</f>
        <v/>
      </c>
      <c r="C27" s="8">
        <f>IF($A27=Assumptions!$B$24,Assumptions!$B$23,0)</f>
        <v/>
      </c>
      <c r="D27" s="8">
        <f>(Fleet_Schedule!$G27*Assumptions!$B$5)+SUM(B27:C27)</f>
        <v/>
      </c>
      <c r="E27" s="8">
        <f>Fleet_Schedule!G27*Assumptions!$B$18</f>
        <v/>
      </c>
      <c r="F27" s="8">
        <f>IF(AND($A27&gt;=Assumptions!$B$33,$A27&lt;Assumptions!$B$33+Assumptions!$B$31),($O27+$C27)*Assumptions!$B$32,0)</f>
        <v/>
      </c>
      <c r="G27" s="8">
        <f>IF(AND($A27&gt;=Assumptions!$B$33,$A27&lt;Assumptions!$B$33+Assumptions!$B$31),MIN(($O27+$C27),Assumptions!$B$25-$F27),0)</f>
        <v/>
      </c>
      <c r="H27" s="8">
        <f>Income_Statement!$S27</f>
        <v/>
      </c>
      <c r="I27" s="8">
        <f>IF($A27&lt;Assumptions!$B$36,Assumptions!$B$34*Fleet_Schedule!$G27,ROUND(Assumptions!$B$34*(Fleet_Schedule!$G27-(Assumptions!$B$23/Assumptions!$B$4)),0))</f>
        <v/>
      </c>
      <c r="J27" s="8">
        <f>D27-E27-F27-G27-H27-I27</f>
        <v/>
      </c>
      <c r="K27" s="8">
        <f>Fleet_Schedule!$D27*Assumptions!$B$4</f>
        <v/>
      </c>
      <c r="L27" s="8">
        <f>J27-K27</f>
        <v/>
      </c>
      <c r="M27" s="8">
        <f>$N26</f>
        <v/>
      </c>
      <c r="N27" s="8">
        <f>$M27+$L27</f>
        <v/>
      </c>
      <c r="O27" s="8">
        <f>P26</f>
        <v/>
      </c>
      <c r="P27" s="8">
        <f>O27+C27-G27</f>
        <v/>
      </c>
      <c r="S27" s="12" t="n"/>
    </row>
    <row r="28">
      <c r="A28" s="7" t="n">
        <v>26</v>
      </c>
      <c r="B28" s="8">
        <f>IF($A28=Assumptions!$B$28,Assumptions!$B$27,0)</f>
        <v/>
      </c>
      <c r="C28" s="8">
        <f>IF($A28=Assumptions!$B$24,Assumptions!$B$23,0)</f>
        <v/>
      </c>
      <c r="D28" s="8">
        <f>(Fleet_Schedule!$G28*Assumptions!$B$5)+SUM(B28:C28)</f>
        <v/>
      </c>
      <c r="E28" s="8">
        <f>Fleet_Schedule!G28*Assumptions!$B$18</f>
        <v/>
      </c>
      <c r="F28" s="8">
        <f>IF(AND($A28&gt;=Assumptions!$B$33,$A28&lt;Assumptions!$B$33+Assumptions!$B$31),($O28+$C28)*Assumptions!$B$32,0)</f>
        <v/>
      </c>
      <c r="G28" s="8">
        <f>IF(AND($A28&gt;=Assumptions!$B$33,$A28&lt;Assumptions!$B$33+Assumptions!$B$31),MIN(($O28+$C28),Assumptions!$B$25-$F28),0)</f>
        <v/>
      </c>
      <c r="H28" s="8">
        <f>Income_Statement!$S28</f>
        <v/>
      </c>
      <c r="I28" s="8">
        <f>IF($A28&lt;Assumptions!$B$36,Assumptions!$B$34*Fleet_Schedule!$G28,ROUND(Assumptions!$B$34*(Fleet_Schedule!$G28-(Assumptions!$B$23/Assumptions!$B$4)),0))</f>
        <v/>
      </c>
      <c r="J28" s="8">
        <f>D28-E28-F28-G28-H28-I28</f>
        <v/>
      </c>
      <c r="K28" s="8">
        <f>Fleet_Schedule!$D28*Assumptions!$B$4</f>
        <v/>
      </c>
      <c r="L28" s="8">
        <f>J28-K28</f>
        <v/>
      </c>
      <c r="M28" s="8">
        <f>$N27</f>
        <v/>
      </c>
      <c r="N28" s="8">
        <f>$M28+$L28</f>
        <v/>
      </c>
      <c r="O28" s="8">
        <f>P27</f>
        <v/>
      </c>
      <c r="P28" s="8">
        <f>O28+C28-G28</f>
        <v/>
      </c>
      <c r="S28" s="12" t="n"/>
    </row>
    <row r="29">
      <c r="A29" s="7" t="n">
        <v>27</v>
      </c>
      <c r="B29" s="8">
        <f>IF($A29=Assumptions!$B$28,Assumptions!$B$27,0)</f>
        <v/>
      </c>
      <c r="C29" s="8">
        <f>IF($A29=Assumptions!$B$24,Assumptions!$B$23,0)</f>
        <v/>
      </c>
      <c r="D29" s="8">
        <f>(Fleet_Schedule!$G29*Assumptions!$B$5)+SUM(B29:C29)</f>
        <v/>
      </c>
      <c r="E29" s="8">
        <f>Fleet_Schedule!G29*Assumptions!$B$18</f>
        <v/>
      </c>
      <c r="F29" s="8">
        <f>IF(AND($A29&gt;=Assumptions!$B$33,$A29&lt;Assumptions!$B$33+Assumptions!$B$31),($O29+$C29)*Assumptions!$B$32,0)</f>
        <v/>
      </c>
      <c r="G29" s="8">
        <f>IF(AND($A29&gt;=Assumptions!$B$33,$A29&lt;Assumptions!$B$33+Assumptions!$B$31),MIN(($O29+$C29),Assumptions!$B$25-$F29),0)</f>
        <v/>
      </c>
      <c r="H29" s="8">
        <f>Income_Statement!$S29</f>
        <v/>
      </c>
      <c r="I29" s="8">
        <f>IF($A29&lt;Assumptions!$B$36,Assumptions!$B$34*Fleet_Schedule!$G29,ROUND(Assumptions!$B$34*(Fleet_Schedule!$G29-(Assumptions!$B$23/Assumptions!$B$4)),0))</f>
        <v/>
      </c>
      <c r="J29" s="8">
        <f>D29-E29-F29-G29-H29-I29</f>
        <v/>
      </c>
      <c r="K29" s="8">
        <f>Fleet_Schedule!$D29*Assumptions!$B$4</f>
        <v/>
      </c>
      <c r="L29" s="8">
        <f>J29-K29</f>
        <v/>
      </c>
      <c r="M29" s="8">
        <f>$N28</f>
        <v/>
      </c>
      <c r="N29" s="8">
        <f>$M29+$L29</f>
        <v/>
      </c>
      <c r="O29" s="8">
        <f>P28</f>
        <v/>
      </c>
      <c r="P29" s="8">
        <f>O29+C29-G29</f>
        <v/>
      </c>
      <c r="S29" s="12" t="n"/>
    </row>
    <row r="30">
      <c r="A30" s="7" t="n">
        <v>28</v>
      </c>
      <c r="B30" s="8">
        <f>IF($A30=Assumptions!$B$28,Assumptions!$B$27,0)</f>
        <v/>
      </c>
      <c r="C30" s="8">
        <f>IF($A30=Assumptions!$B$24,Assumptions!$B$23,0)</f>
        <v/>
      </c>
      <c r="D30" s="8">
        <f>(Fleet_Schedule!$G30*Assumptions!$B$5)+SUM(B30:C30)</f>
        <v/>
      </c>
      <c r="E30" s="8">
        <f>Fleet_Schedule!G30*Assumptions!$B$18</f>
        <v/>
      </c>
      <c r="F30" s="8">
        <f>IF(AND($A30&gt;=Assumptions!$B$33,$A30&lt;Assumptions!$B$33+Assumptions!$B$31),($O30+$C30)*Assumptions!$B$32,0)</f>
        <v/>
      </c>
      <c r="G30" s="8">
        <f>IF(AND($A30&gt;=Assumptions!$B$33,$A30&lt;Assumptions!$B$33+Assumptions!$B$31),MIN(($O30+$C30),Assumptions!$B$25-$F30),0)</f>
        <v/>
      </c>
      <c r="H30" s="8">
        <f>Income_Statement!$S30</f>
        <v/>
      </c>
      <c r="I30" s="8">
        <f>IF($A30&lt;Assumptions!$B$36,Assumptions!$B$34*Fleet_Schedule!$G30,ROUND(Assumptions!$B$34*(Fleet_Schedule!$G30-(Assumptions!$B$23/Assumptions!$B$4)),0))</f>
        <v/>
      </c>
      <c r="J30" s="8">
        <f>D30-E30-F30-G30-H30-I30</f>
        <v/>
      </c>
      <c r="K30" s="8">
        <f>Fleet_Schedule!$D30*Assumptions!$B$4</f>
        <v/>
      </c>
      <c r="L30" s="8">
        <f>J30-K30</f>
        <v/>
      </c>
      <c r="M30" s="8">
        <f>$N29</f>
        <v/>
      </c>
      <c r="N30" s="8">
        <f>$M30+$L30</f>
        <v/>
      </c>
      <c r="O30" s="8">
        <f>P29</f>
        <v/>
      </c>
      <c r="P30" s="8">
        <f>O30+C30-G30</f>
        <v/>
      </c>
      <c r="S30" s="12" t="n"/>
    </row>
    <row r="31">
      <c r="A31" s="7" t="n">
        <v>29</v>
      </c>
      <c r="B31" s="8">
        <f>IF($A31=Assumptions!$B$28,Assumptions!$B$27,0)</f>
        <v/>
      </c>
      <c r="C31" s="8">
        <f>IF($A31=Assumptions!$B$24,Assumptions!$B$23,0)</f>
        <v/>
      </c>
      <c r="D31" s="8">
        <f>(Fleet_Schedule!$G31*Assumptions!$B$5)+SUM(B31:C31)</f>
        <v/>
      </c>
      <c r="E31" s="8">
        <f>Fleet_Schedule!G31*Assumptions!$B$18</f>
        <v/>
      </c>
      <c r="F31" s="8">
        <f>IF(AND($A31&gt;=Assumptions!$B$33,$A31&lt;Assumptions!$B$33+Assumptions!$B$31),($O31+$C31)*Assumptions!$B$32,0)</f>
        <v/>
      </c>
      <c r="G31" s="8">
        <f>IF(AND($A31&gt;=Assumptions!$B$33,$A31&lt;Assumptions!$B$33+Assumptions!$B$31),MIN(($O31+$C31),Assumptions!$B$25-$F31),0)</f>
        <v/>
      </c>
      <c r="H31" s="8">
        <f>Income_Statement!$S31</f>
        <v/>
      </c>
      <c r="I31" s="8">
        <f>IF($A31&lt;Assumptions!$B$36,Assumptions!$B$34*Fleet_Schedule!$G31,ROUND(Assumptions!$B$34*(Fleet_Schedule!$G31-(Assumptions!$B$23/Assumptions!$B$4)),0))</f>
        <v/>
      </c>
      <c r="J31" s="8">
        <f>D31-E31-F31-G31-H31-I31</f>
        <v/>
      </c>
      <c r="K31" s="8">
        <f>Fleet_Schedule!$D31*Assumptions!$B$4</f>
        <v/>
      </c>
      <c r="L31" s="8">
        <f>J31-K31</f>
        <v/>
      </c>
      <c r="M31" s="8">
        <f>$N30</f>
        <v/>
      </c>
      <c r="N31" s="8">
        <f>$M31+$L31</f>
        <v/>
      </c>
      <c r="O31" s="8">
        <f>P30</f>
        <v/>
      </c>
      <c r="P31" s="8">
        <f>O31+C31-G31</f>
        <v/>
      </c>
      <c r="S31" s="12" t="n"/>
    </row>
    <row r="32">
      <c r="A32" s="7" t="n">
        <v>30</v>
      </c>
      <c r="B32" s="8">
        <f>IF($A32=Assumptions!$B$28,Assumptions!$B$27,0)</f>
        <v/>
      </c>
      <c r="C32" s="8">
        <f>IF($A32=Assumptions!$B$24,Assumptions!$B$23,0)</f>
        <v/>
      </c>
      <c r="D32" s="8">
        <f>(Fleet_Schedule!$G32*Assumptions!$B$5)+SUM(B32:C32)</f>
        <v/>
      </c>
      <c r="E32" s="8">
        <f>Fleet_Schedule!G32*Assumptions!$B$18</f>
        <v/>
      </c>
      <c r="F32" s="8">
        <f>IF(AND($A32&gt;=Assumptions!$B$33,$A32&lt;Assumptions!$B$33+Assumptions!$B$31),($O32+$C32)*Assumptions!$B$32,0)</f>
        <v/>
      </c>
      <c r="G32" s="8">
        <f>IF(AND($A32&gt;=Assumptions!$B$33,$A32&lt;Assumptions!$B$33+Assumptions!$B$31),MIN(($O32+$C32),Assumptions!$B$25-$F32),0)</f>
        <v/>
      </c>
      <c r="H32" s="8">
        <f>Income_Statement!$S32</f>
        <v/>
      </c>
      <c r="I32" s="8">
        <f>IF($A32&lt;Assumptions!$B$36,Assumptions!$B$34*Fleet_Schedule!$G32,ROUND(Assumptions!$B$34*(Fleet_Schedule!$G32-(Assumptions!$B$23/Assumptions!$B$4)),0))</f>
        <v/>
      </c>
      <c r="J32" s="8">
        <f>D32-E32-F32-G32-H32-I32</f>
        <v/>
      </c>
      <c r="K32" s="8">
        <f>Fleet_Schedule!$D32*Assumptions!$B$4</f>
        <v/>
      </c>
      <c r="L32" s="8">
        <f>J32-K32</f>
        <v/>
      </c>
      <c r="M32" s="8">
        <f>$N31</f>
        <v/>
      </c>
      <c r="N32" s="8">
        <f>$M32+$L32</f>
        <v/>
      </c>
      <c r="O32" s="8">
        <f>P31</f>
        <v/>
      </c>
      <c r="P32" s="8">
        <f>O32+C32-G32</f>
        <v/>
      </c>
      <c r="S32" s="12" t="n"/>
    </row>
    <row r="33">
      <c r="A33" s="7" t="n">
        <v>31</v>
      </c>
      <c r="B33" s="8">
        <f>IF($A33=Assumptions!$B$28,Assumptions!$B$27,0)</f>
        <v/>
      </c>
      <c r="C33" s="8">
        <f>IF($A33=Assumptions!$B$24,Assumptions!$B$23,0)</f>
        <v/>
      </c>
      <c r="D33" s="8">
        <f>(Fleet_Schedule!$G33*Assumptions!$B$5)+SUM(B33:C33)</f>
        <v/>
      </c>
      <c r="E33" s="8">
        <f>Fleet_Schedule!G33*Assumptions!$B$18</f>
        <v/>
      </c>
      <c r="F33" s="8">
        <f>IF(AND($A33&gt;=Assumptions!$B$33,$A33&lt;Assumptions!$B$33+Assumptions!$B$31),($O33+$C33)*Assumptions!$B$32,0)</f>
        <v/>
      </c>
      <c r="G33" s="8">
        <f>IF(AND($A33&gt;=Assumptions!$B$33,$A33&lt;Assumptions!$B$33+Assumptions!$B$31),MIN(($O33+$C33),Assumptions!$B$25-$F33),0)</f>
        <v/>
      </c>
      <c r="H33" s="8">
        <f>Income_Statement!$S33</f>
        <v/>
      </c>
      <c r="I33" s="8">
        <f>IF($A33&lt;Assumptions!$B$36,Assumptions!$B$34*Fleet_Schedule!$G33,ROUND(Assumptions!$B$34*(Fleet_Schedule!$G33-(Assumptions!$B$23/Assumptions!$B$4)),0))</f>
        <v/>
      </c>
      <c r="J33" s="8">
        <f>D33-E33-F33-G33-H33-I33</f>
        <v/>
      </c>
      <c r="K33" s="8">
        <f>Fleet_Schedule!$D33*Assumptions!$B$4</f>
        <v/>
      </c>
      <c r="L33" s="8">
        <f>J33-K33</f>
        <v/>
      </c>
      <c r="M33" s="8">
        <f>$N32</f>
        <v/>
      </c>
      <c r="N33" s="8">
        <f>$M33+$L33</f>
        <v/>
      </c>
      <c r="O33" s="8">
        <f>P32</f>
        <v/>
      </c>
      <c r="P33" s="8">
        <f>O33+C33-G33</f>
        <v/>
      </c>
      <c r="S33" s="12" t="n"/>
    </row>
    <row r="34">
      <c r="A34" s="7" t="n">
        <v>32</v>
      </c>
      <c r="B34" s="8">
        <f>IF($A34=Assumptions!$B$28,Assumptions!$B$27,0)</f>
        <v/>
      </c>
      <c r="C34" s="8">
        <f>IF($A34=Assumptions!$B$24,Assumptions!$B$23,0)</f>
        <v/>
      </c>
      <c r="D34" s="8">
        <f>(Fleet_Schedule!$G34*Assumptions!$B$5)+SUM(B34:C34)</f>
        <v/>
      </c>
      <c r="E34" s="8">
        <f>Fleet_Schedule!G34*Assumptions!$B$18</f>
        <v/>
      </c>
      <c r="F34" s="8">
        <f>IF(AND($A34&gt;=Assumptions!$B$33,$A34&lt;Assumptions!$B$33+Assumptions!$B$31),($O34+$C34)*Assumptions!$B$32,0)</f>
        <v/>
      </c>
      <c r="G34" s="8">
        <f>IF(AND($A34&gt;=Assumptions!$B$33,$A34&lt;Assumptions!$B$33+Assumptions!$B$31),MIN(($O34+$C34),Assumptions!$B$25-$F34),0)</f>
        <v/>
      </c>
      <c r="H34" s="8">
        <f>Income_Statement!$S34</f>
        <v/>
      </c>
      <c r="I34" s="8">
        <f>IF($A34&lt;Assumptions!$B$36,Assumptions!$B$34*Fleet_Schedule!$G34,ROUND(Assumptions!$B$34*(Fleet_Schedule!$G34-(Assumptions!$B$23/Assumptions!$B$4)),0))</f>
        <v/>
      </c>
      <c r="J34" s="8">
        <f>D34-E34-F34-G34-H34-I34</f>
        <v/>
      </c>
      <c r="K34" s="8">
        <f>Fleet_Schedule!$D34*Assumptions!$B$4</f>
        <v/>
      </c>
      <c r="L34" s="8">
        <f>J34-K34</f>
        <v/>
      </c>
      <c r="M34" s="8">
        <f>$N33</f>
        <v/>
      </c>
      <c r="N34" s="8">
        <f>$M34+$L34</f>
        <v/>
      </c>
      <c r="O34" s="8">
        <f>P33</f>
        <v/>
      </c>
      <c r="P34" s="8">
        <f>O34+C34-G34</f>
        <v/>
      </c>
      <c r="S34" s="12" t="n"/>
    </row>
    <row r="35">
      <c r="A35" s="7" t="n">
        <v>33</v>
      </c>
      <c r="B35" s="8">
        <f>IF($A35=Assumptions!$B$28,Assumptions!$B$27,0)</f>
        <v/>
      </c>
      <c r="C35" s="8">
        <f>IF($A35=Assumptions!$B$24,Assumptions!$B$23,0)</f>
        <v/>
      </c>
      <c r="D35" s="8">
        <f>(Fleet_Schedule!$G35*Assumptions!$B$5)+SUM(B35:C35)</f>
        <v/>
      </c>
      <c r="E35" s="8">
        <f>Fleet_Schedule!G35*Assumptions!$B$18</f>
        <v/>
      </c>
      <c r="F35" s="8">
        <f>IF(AND($A35&gt;=Assumptions!$B$33,$A35&lt;Assumptions!$B$33+Assumptions!$B$31),($O35+$C35)*Assumptions!$B$32,0)</f>
        <v/>
      </c>
      <c r="G35" s="8">
        <f>IF(AND($A35&gt;=Assumptions!$B$33,$A35&lt;Assumptions!$B$33+Assumptions!$B$31),MIN(($O35+$C35),Assumptions!$B$25-$F35),0)</f>
        <v/>
      </c>
      <c r="H35" s="8">
        <f>Income_Statement!$S35</f>
        <v/>
      </c>
      <c r="I35" s="8">
        <f>IF($A35&lt;Assumptions!$B$36,Assumptions!$B$34*Fleet_Schedule!$G35,ROUND(Assumptions!$B$34*(Fleet_Schedule!$G35-(Assumptions!$B$23/Assumptions!$B$4)),0))</f>
        <v/>
      </c>
      <c r="J35" s="8">
        <f>D35-E35-F35-G35-H35-I35</f>
        <v/>
      </c>
      <c r="K35" s="8">
        <f>Fleet_Schedule!$D35*Assumptions!$B$4</f>
        <v/>
      </c>
      <c r="L35" s="8">
        <f>J35-K35</f>
        <v/>
      </c>
      <c r="M35" s="8">
        <f>$N34</f>
        <v/>
      </c>
      <c r="N35" s="8">
        <f>$M35+$L35</f>
        <v/>
      </c>
      <c r="O35" s="8">
        <f>P34</f>
        <v/>
      </c>
      <c r="P35" s="8">
        <f>O35+C35-G35</f>
        <v/>
      </c>
      <c r="S35" s="12" t="n"/>
    </row>
    <row r="36">
      <c r="A36" s="7" t="n">
        <v>34</v>
      </c>
      <c r="B36" s="8">
        <f>IF($A36=Assumptions!$B$28,Assumptions!$B$27,0)</f>
        <v/>
      </c>
      <c r="C36" s="8">
        <f>IF($A36=Assumptions!$B$24,Assumptions!$B$23,0)</f>
        <v/>
      </c>
      <c r="D36" s="8">
        <f>(Fleet_Schedule!$G36*Assumptions!$B$5)+SUM(B36:C36)</f>
        <v/>
      </c>
      <c r="E36" s="8">
        <f>Fleet_Schedule!G36*Assumptions!$B$18</f>
        <v/>
      </c>
      <c r="F36" s="8">
        <f>IF(AND($A36&gt;=Assumptions!$B$33,$A36&lt;Assumptions!$B$33+Assumptions!$B$31),($O36+$C36)*Assumptions!$B$32,0)</f>
        <v/>
      </c>
      <c r="G36" s="8">
        <f>IF(AND($A36&gt;=Assumptions!$B$33,$A36&lt;Assumptions!$B$33+Assumptions!$B$31),MIN(($O36+$C36),Assumptions!$B$25-$F36),0)</f>
        <v/>
      </c>
      <c r="H36" s="8">
        <f>Income_Statement!$S36</f>
        <v/>
      </c>
      <c r="I36" s="8">
        <f>IF($A36&lt;Assumptions!$B$36,Assumptions!$B$34*Fleet_Schedule!$G36,ROUND(Assumptions!$B$34*(Fleet_Schedule!$G36-(Assumptions!$B$23/Assumptions!$B$4)),0))</f>
        <v/>
      </c>
      <c r="J36" s="8">
        <f>D36-E36-F36-G36-H36-I36</f>
        <v/>
      </c>
      <c r="K36" s="8">
        <f>Fleet_Schedule!$D36*Assumptions!$B$4</f>
        <v/>
      </c>
      <c r="L36" s="8">
        <f>J36-K36</f>
        <v/>
      </c>
      <c r="M36" s="8">
        <f>$N35</f>
        <v/>
      </c>
      <c r="N36" s="8">
        <f>$M36+$L36</f>
        <v/>
      </c>
      <c r="O36" s="8">
        <f>P35</f>
        <v/>
      </c>
      <c r="P36" s="8">
        <f>O36+C36-G36</f>
        <v/>
      </c>
      <c r="S36" s="12" t="n"/>
    </row>
    <row r="37">
      <c r="A37" s="7" t="n">
        <v>35</v>
      </c>
      <c r="B37" s="8">
        <f>IF($A37=Assumptions!$B$28,Assumptions!$B$27,0)</f>
        <v/>
      </c>
      <c r="C37" s="8">
        <f>IF($A37=Assumptions!$B$24,Assumptions!$B$23,0)</f>
        <v/>
      </c>
      <c r="D37" s="8">
        <f>(Fleet_Schedule!$G37*Assumptions!$B$5)+SUM(B37:C37)</f>
        <v/>
      </c>
      <c r="E37" s="8">
        <f>Fleet_Schedule!G37*Assumptions!$B$18</f>
        <v/>
      </c>
      <c r="F37" s="8">
        <f>IF(AND($A37&gt;=Assumptions!$B$33,$A37&lt;Assumptions!$B$33+Assumptions!$B$31),($O37+$C37)*Assumptions!$B$32,0)</f>
        <v/>
      </c>
      <c r="G37" s="8">
        <f>IF(AND($A37&gt;=Assumptions!$B$33,$A37&lt;Assumptions!$B$33+Assumptions!$B$31),MIN(($O37+$C37),Assumptions!$B$25-$F37),0)</f>
        <v/>
      </c>
      <c r="H37" s="8">
        <f>Income_Statement!$S37</f>
        <v/>
      </c>
      <c r="I37" s="8">
        <f>IF($A37&lt;Assumptions!$B$36,Assumptions!$B$34*Fleet_Schedule!$G37,ROUND(Assumptions!$B$34*(Fleet_Schedule!$G37-(Assumptions!$B$23/Assumptions!$B$4)),0))</f>
        <v/>
      </c>
      <c r="J37" s="8">
        <f>D37-E37-F37-G37-H37-I37</f>
        <v/>
      </c>
      <c r="K37" s="8">
        <f>Fleet_Schedule!$D37*Assumptions!$B$4</f>
        <v/>
      </c>
      <c r="L37" s="8">
        <f>J37-K37</f>
        <v/>
      </c>
      <c r="M37" s="8">
        <f>$N36</f>
        <v/>
      </c>
      <c r="N37" s="8">
        <f>$M37+$L37</f>
        <v/>
      </c>
      <c r="O37" s="8">
        <f>P36</f>
        <v/>
      </c>
      <c r="P37" s="8">
        <f>O37+C37-G37</f>
        <v/>
      </c>
      <c r="S37" s="12" t="n"/>
    </row>
    <row r="38">
      <c r="A38" s="7" t="n">
        <v>36</v>
      </c>
      <c r="B38" s="8">
        <f>IF($A38=Assumptions!$B$28,Assumptions!$B$27,0)</f>
        <v/>
      </c>
      <c r="C38" s="8">
        <f>IF($A38=Assumptions!$B$24,Assumptions!$B$23,0)</f>
        <v/>
      </c>
      <c r="D38" s="8">
        <f>(Fleet_Schedule!$G38*Assumptions!$B$5)+SUM(B38:C38)</f>
        <v/>
      </c>
      <c r="E38" s="8">
        <f>Fleet_Schedule!G38*Assumptions!$B$18</f>
        <v/>
      </c>
      <c r="F38" s="8">
        <f>IF(AND($A38&gt;=Assumptions!$B$33,$A38&lt;Assumptions!$B$33+Assumptions!$B$31),($O38+$C38)*Assumptions!$B$32,0)</f>
        <v/>
      </c>
      <c r="G38" s="8">
        <f>IF(AND($A38&gt;=Assumptions!$B$33,$A38&lt;Assumptions!$B$33+Assumptions!$B$31),MIN(($O38+$C38),Assumptions!$B$25-$F38),0)</f>
        <v/>
      </c>
      <c r="H38" s="8">
        <f>Income_Statement!$S38</f>
        <v/>
      </c>
      <c r="I38" s="8">
        <f>IF($A38&lt;Assumptions!$B$36,Assumptions!$B$34*Fleet_Schedule!$G38,ROUND(Assumptions!$B$34*(Fleet_Schedule!$G38-(Assumptions!$B$23/Assumptions!$B$4)),0))</f>
        <v/>
      </c>
      <c r="J38" s="8">
        <f>D38-E38-F38-G38-H38-I38</f>
        <v/>
      </c>
      <c r="K38" s="8">
        <f>Fleet_Schedule!$D38*Assumptions!$B$4</f>
        <v/>
      </c>
      <c r="L38" s="8">
        <f>J38-K38</f>
        <v/>
      </c>
      <c r="M38" s="8">
        <f>$N37</f>
        <v/>
      </c>
      <c r="N38" s="8">
        <f>$M38+$L38</f>
        <v/>
      </c>
      <c r="O38" s="8">
        <f>P37</f>
        <v/>
      </c>
      <c r="P38" s="8">
        <f>O38+C38-G38</f>
        <v/>
      </c>
      <c r="S38" s="12" t="n"/>
    </row>
    <row r="39">
      <c r="A39" s="7" t="n">
        <v>37</v>
      </c>
      <c r="B39" s="8">
        <f>IF($A39=Assumptions!$B$28,Assumptions!$B$27,0)</f>
        <v/>
      </c>
      <c r="C39" s="8">
        <f>IF($A39=Assumptions!$B$24,Assumptions!$B$23,0)</f>
        <v/>
      </c>
      <c r="D39" s="8">
        <f>(Fleet_Schedule!$G39*Assumptions!$B$5)+SUM(B39:C39)</f>
        <v/>
      </c>
      <c r="E39" s="8">
        <f>Fleet_Schedule!G39*Assumptions!$B$18</f>
        <v/>
      </c>
      <c r="F39" s="8">
        <f>IF(AND($A39&gt;=Assumptions!$B$33,$A39&lt;Assumptions!$B$33+Assumptions!$B$31),($O39+$C39)*Assumptions!$B$32,0)</f>
        <v/>
      </c>
      <c r="G39" s="8">
        <f>IF(AND($A39&gt;=Assumptions!$B$33,$A39&lt;Assumptions!$B$33+Assumptions!$B$31),MIN(($O39+$C39),Assumptions!$B$25-$F39),0)</f>
        <v/>
      </c>
      <c r="H39" s="8">
        <f>Income_Statement!$S39</f>
        <v/>
      </c>
      <c r="I39" s="8">
        <f>IF($A39&lt;Assumptions!$B$36,Assumptions!$B$34*Fleet_Schedule!$G39,ROUND(Assumptions!$B$34*(Fleet_Schedule!$G39-(Assumptions!$B$23/Assumptions!$B$4)),0))</f>
        <v/>
      </c>
      <c r="J39" s="8">
        <f>D39-E39-F39-G39-H39-I39</f>
        <v/>
      </c>
      <c r="K39" s="8">
        <f>Fleet_Schedule!$D39*Assumptions!$B$4</f>
        <v/>
      </c>
      <c r="L39" s="8">
        <f>J39-K39</f>
        <v/>
      </c>
      <c r="M39" s="8">
        <f>$N38</f>
        <v/>
      </c>
      <c r="N39" s="8">
        <f>$M39+$L39</f>
        <v/>
      </c>
      <c r="O39" s="8">
        <f>P38</f>
        <v/>
      </c>
      <c r="P39" s="8">
        <f>O39+C39-G39</f>
        <v/>
      </c>
      <c r="S39" s="12" t="n"/>
    </row>
    <row r="40">
      <c r="A40" s="7" t="n">
        <v>38</v>
      </c>
      <c r="B40" s="8">
        <f>IF($A40=Assumptions!$B$28,Assumptions!$B$27,0)</f>
        <v/>
      </c>
      <c r="C40" s="8">
        <f>IF($A40=Assumptions!$B$24,Assumptions!$B$23,0)</f>
        <v/>
      </c>
      <c r="D40" s="8">
        <f>(Fleet_Schedule!$G40*Assumptions!$B$5)+SUM(B40:C40)</f>
        <v/>
      </c>
      <c r="E40" s="8">
        <f>Fleet_Schedule!G40*Assumptions!$B$18</f>
        <v/>
      </c>
      <c r="F40" s="8">
        <f>IF(AND($A40&gt;=Assumptions!$B$33,$A40&lt;Assumptions!$B$33+Assumptions!$B$31),($O40+$C40)*Assumptions!$B$32,0)</f>
        <v/>
      </c>
      <c r="G40" s="8">
        <f>IF(AND($A40&gt;=Assumptions!$B$33,$A40&lt;Assumptions!$B$33+Assumptions!$B$31),MIN(($O40+$C40),Assumptions!$B$25-$F40),0)</f>
        <v/>
      </c>
      <c r="H40" s="8">
        <f>Income_Statement!$S40</f>
        <v/>
      </c>
      <c r="I40" s="8">
        <f>IF($A40&lt;Assumptions!$B$36,Assumptions!$B$34*Fleet_Schedule!$G40,ROUND(Assumptions!$B$34*(Fleet_Schedule!$G40-(Assumptions!$B$23/Assumptions!$B$4)),0))</f>
        <v/>
      </c>
      <c r="J40" s="8">
        <f>D40-E40-F40-G40-H40-I40</f>
        <v/>
      </c>
      <c r="K40" s="8">
        <f>Fleet_Schedule!$D40*Assumptions!$B$4</f>
        <v/>
      </c>
      <c r="L40" s="8">
        <f>J40-K40</f>
        <v/>
      </c>
      <c r="M40" s="8">
        <f>$N39</f>
        <v/>
      </c>
      <c r="N40" s="8">
        <f>$M40+$L40</f>
        <v/>
      </c>
      <c r="O40" s="8">
        <f>P39</f>
        <v/>
      </c>
      <c r="P40" s="8">
        <f>O40+C40-G40</f>
        <v/>
      </c>
      <c r="S40" s="12" t="n"/>
    </row>
    <row r="41">
      <c r="A41" s="7" t="n">
        <v>39</v>
      </c>
      <c r="B41" s="8">
        <f>IF($A41=Assumptions!$B$28,Assumptions!$B$27,0)</f>
        <v/>
      </c>
      <c r="C41" s="8">
        <f>IF($A41=Assumptions!$B$24,Assumptions!$B$23,0)</f>
        <v/>
      </c>
      <c r="D41" s="8">
        <f>(Fleet_Schedule!$G41*Assumptions!$B$5)+SUM(B41:C41)</f>
        <v/>
      </c>
      <c r="E41" s="8">
        <f>Fleet_Schedule!G41*Assumptions!$B$18</f>
        <v/>
      </c>
      <c r="F41" s="8">
        <f>IF(AND($A41&gt;=Assumptions!$B$33,$A41&lt;Assumptions!$B$33+Assumptions!$B$31),($O41+$C41)*Assumptions!$B$32,0)</f>
        <v/>
      </c>
      <c r="G41" s="8">
        <f>IF(AND($A41&gt;=Assumptions!$B$33,$A41&lt;Assumptions!$B$33+Assumptions!$B$31),MIN(($O41+$C41),Assumptions!$B$25-$F41),0)</f>
        <v/>
      </c>
      <c r="H41" s="8">
        <f>Income_Statement!$S41</f>
        <v/>
      </c>
      <c r="I41" s="8">
        <f>IF($A41&lt;Assumptions!$B$36,Assumptions!$B$34*Fleet_Schedule!$G41,ROUND(Assumptions!$B$34*(Fleet_Schedule!$G41-(Assumptions!$B$23/Assumptions!$B$4)),0))</f>
        <v/>
      </c>
      <c r="J41" s="8">
        <f>D41-E41-F41-G41-H41-I41</f>
        <v/>
      </c>
      <c r="K41" s="8">
        <f>Fleet_Schedule!$D41*Assumptions!$B$4</f>
        <v/>
      </c>
      <c r="L41" s="8">
        <f>J41-K41</f>
        <v/>
      </c>
      <c r="M41" s="8">
        <f>$N40</f>
        <v/>
      </c>
      <c r="N41" s="8">
        <f>$M41+$L41</f>
        <v/>
      </c>
      <c r="O41" s="8">
        <f>P40</f>
        <v/>
      </c>
      <c r="P41" s="8">
        <f>O41+C41-G41</f>
        <v/>
      </c>
      <c r="S41" s="12" t="n"/>
    </row>
    <row r="42">
      <c r="A42" s="7" t="n">
        <v>40</v>
      </c>
      <c r="B42" s="8">
        <f>IF($A42=Assumptions!$B$28,Assumptions!$B$27,0)</f>
        <v/>
      </c>
      <c r="C42" s="8">
        <f>IF($A42=Assumptions!$B$24,Assumptions!$B$23,0)</f>
        <v/>
      </c>
      <c r="D42" s="8">
        <f>(Fleet_Schedule!$G42*Assumptions!$B$5)+SUM(B42:C42)</f>
        <v/>
      </c>
      <c r="E42" s="8">
        <f>Fleet_Schedule!G42*Assumptions!$B$18</f>
        <v/>
      </c>
      <c r="F42" s="8">
        <f>IF(AND($A42&gt;=Assumptions!$B$33,$A42&lt;Assumptions!$B$33+Assumptions!$B$31),($O42+$C42)*Assumptions!$B$32,0)</f>
        <v/>
      </c>
      <c r="G42" s="8">
        <f>IF(AND($A42&gt;=Assumptions!$B$33,$A42&lt;Assumptions!$B$33+Assumptions!$B$31),MIN(($O42+$C42),Assumptions!$B$25-$F42),0)</f>
        <v/>
      </c>
      <c r="H42" s="8">
        <f>Income_Statement!$S42</f>
        <v/>
      </c>
      <c r="I42" s="8">
        <f>IF($A42&lt;Assumptions!$B$36,Assumptions!$B$34*Fleet_Schedule!$G42,ROUND(Assumptions!$B$34*(Fleet_Schedule!$G42-(Assumptions!$B$23/Assumptions!$B$4)),0))</f>
        <v/>
      </c>
      <c r="J42" s="8">
        <f>D42-E42-F42-G42-H42-I42</f>
        <v/>
      </c>
      <c r="K42" s="8">
        <f>Fleet_Schedule!$D42*Assumptions!$B$4</f>
        <v/>
      </c>
      <c r="L42" s="8">
        <f>J42-K42</f>
        <v/>
      </c>
      <c r="M42" s="8">
        <f>$N41</f>
        <v/>
      </c>
      <c r="N42" s="8">
        <f>$M42+$L42</f>
        <v/>
      </c>
      <c r="O42" s="8">
        <f>P41</f>
        <v/>
      </c>
      <c r="P42" s="8">
        <f>O42+C42-G42</f>
        <v/>
      </c>
      <c r="S42" s="12" t="n"/>
    </row>
    <row r="43">
      <c r="A43" s="7" t="n">
        <v>41</v>
      </c>
      <c r="B43" s="8">
        <f>IF($A43=Assumptions!$B$28,Assumptions!$B$27,0)</f>
        <v/>
      </c>
      <c r="C43" s="8">
        <f>IF($A43=Assumptions!$B$24,Assumptions!$B$23,0)</f>
        <v/>
      </c>
      <c r="D43" s="8">
        <f>(Fleet_Schedule!$G43*Assumptions!$B$5)+SUM(B43:C43)</f>
        <v/>
      </c>
      <c r="E43" s="8">
        <f>Fleet_Schedule!G43*Assumptions!$B$18</f>
        <v/>
      </c>
      <c r="F43" s="8">
        <f>IF(AND($A43&gt;=Assumptions!$B$33,$A43&lt;Assumptions!$B$33+Assumptions!$B$31),($O43+$C43)*Assumptions!$B$32,0)</f>
        <v/>
      </c>
      <c r="G43" s="8">
        <f>IF(AND($A43&gt;=Assumptions!$B$33,$A43&lt;Assumptions!$B$33+Assumptions!$B$31),MIN(($O43+$C43),Assumptions!$B$25-$F43),0)</f>
        <v/>
      </c>
      <c r="H43" s="8">
        <f>Income_Statement!$S43</f>
        <v/>
      </c>
      <c r="I43" s="8">
        <f>IF($A43&lt;Assumptions!$B$36,Assumptions!$B$34*Fleet_Schedule!$G43,ROUND(Assumptions!$B$34*(Fleet_Schedule!$G43-(Assumptions!$B$23/Assumptions!$B$4)),0))</f>
        <v/>
      </c>
      <c r="J43" s="8">
        <f>D43-E43-F43-G43-H43-I43</f>
        <v/>
      </c>
      <c r="K43" s="8">
        <f>Fleet_Schedule!$D43*Assumptions!$B$4</f>
        <v/>
      </c>
      <c r="L43" s="8">
        <f>J43-K43</f>
        <v/>
      </c>
      <c r="M43" s="8">
        <f>$N42</f>
        <v/>
      </c>
      <c r="N43" s="8">
        <f>$M43+$L43</f>
        <v/>
      </c>
      <c r="O43" s="8">
        <f>P42</f>
        <v/>
      </c>
      <c r="P43" s="8">
        <f>O43+C43-G43</f>
        <v/>
      </c>
      <c r="S43" s="12" t="n"/>
    </row>
    <row r="44">
      <c r="A44" s="7" t="n">
        <v>42</v>
      </c>
      <c r="B44" s="8">
        <f>IF($A44=Assumptions!$B$28,Assumptions!$B$27,0)</f>
        <v/>
      </c>
      <c r="C44" s="8">
        <f>IF($A44=Assumptions!$B$24,Assumptions!$B$23,0)</f>
        <v/>
      </c>
      <c r="D44" s="8">
        <f>(Fleet_Schedule!$G44*Assumptions!$B$5)+SUM(B44:C44)</f>
        <v/>
      </c>
      <c r="E44" s="8">
        <f>Fleet_Schedule!G44*Assumptions!$B$18</f>
        <v/>
      </c>
      <c r="F44" s="8">
        <f>IF(AND($A44&gt;=Assumptions!$B$33,$A44&lt;Assumptions!$B$33+Assumptions!$B$31),($O44+$C44)*Assumptions!$B$32,0)</f>
        <v/>
      </c>
      <c r="G44" s="8">
        <f>IF(AND($A44&gt;=Assumptions!$B$33,$A44&lt;Assumptions!$B$33+Assumptions!$B$31),MIN(($O44+$C44),Assumptions!$B$25-$F44),0)</f>
        <v/>
      </c>
      <c r="H44" s="8">
        <f>Income_Statement!$S44</f>
        <v/>
      </c>
      <c r="I44" s="8">
        <f>IF($A44&lt;Assumptions!$B$36,Assumptions!$B$34*Fleet_Schedule!$G44,ROUND(Assumptions!$B$34*(Fleet_Schedule!$G44-(Assumptions!$B$23/Assumptions!$B$4)),0))</f>
        <v/>
      </c>
      <c r="J44" s="8">
        <f>D44-E44-F44-G44-H44-I44</f>
        <v/>
      </c>
      <c r="K44" s="8">
        <f>Fleet_Schedule!$D44*Assumptions!$B$4</f>
        <v/>
      </c>
      <c r="L44" s="8">
        <f>J44-K44</f>
        <v/>
      </c>
      <c r="M44" s="8">
        <f>$N43</f>
        <v/>
      </c>
      <c r="N44" s="8">
        <f>$M44+$L44</f>
        <v/>
      </c>
      <c r="O44" s="8">
        <f>P43</f>
        <v/>
      </c>
      <c r="P44" s="8">
        <f>O44+C44-G44</f>
        <v/>
      </c>
      <c r="S44" s="12" t="n"/>
    </row>
    <row r="45">
      <c r="A45" s="7" t="n">
        <v>43</v>
      </c>
      <c r="B45" s="8">
        <f>IF($A45=Assumptions!$B$28,Assumptions!$B$27,0)</f>
        <v/>
      </c>
      <c r="C45" s="8">
        <f>IF($A45=Assumptions!$B$24,Assumptions!$B$23,0)</f>
        <v/>
      </c>
      <c r="D45" s="8">
        <f>(Fleet_Schedule!$G45*Assumptions!$B$5)+SUM(B45:C45)</f>
        <v/>
      </c>
      <c r="E45" s="8">
        <f>Fleet_Schedule!G45*Assumptions!$B$18</f>
        <v/>
      </c>
      <c r="F45" s="8">
        <f>IF(AND($A45&gt;=Assumptions!$B$33,$A45&lt;Assumptions!$B$33+Assumptions!$B$31),($O45+$C45)*Assumptions!$B$32,0)</f>
        <v/>
      </c>
      <c r="G45" s="8">
        <f>IF(AND($A45&gt;=Assumptions!$B$33,$A45&lt;Assumptions!$B$33+Assumptions!$B$31),MIN(($O45+$C45),Assumptions!$B$25-$F45),0)</f>
        <v/>
      </c>
      <c r="H45" s="8">
        <f>Income_Statement!$S45</f>
        <v/>
      </c>
      <c r="I45" s="8">
        <f>IF($A45&lt;Assumptions!$B$36,Assumptions!$B$34*Fleet_Schedule!$G45,ROUND(Assumptions!$B$34*(Fleet_Schedule!$G45-(Assumptions!$B$23/Assumptions!$B$4)),0))</f>
        <v/>
      </c>
      <c r="J45" s="8">
        <f>D45-E45-F45-G45-H45-I45</f>
        <v/>
      </c>
      <c r="K45" s="8">
        <f>Fleet_Schedule!$D45*Assumptions!$B$4</f>
        <v/>
      </c>
      <c r="L45" s="8">
        <f>J45-K45</f>
        <v/>
      </c>
      <c r="M45" s="8">
        <f>$N44</f>
        <v/>
      </c>
      <c r="N45" s="8">
        <f>$M45+$L45</f>
        <v/>
      </c>
      <c r="O45" s="8">
        <f>P44</f>
        <v/>
      </c>
      <c r="P45" s="8">
        <f>O45+C45-G45</f>
        <v/>
      </c>
      <c r="S45" s="12" t="n"/>
    </row>
    <row r="46">
      <c r="A46" s="7" t="n">
        <v>44</v>
      </c>
      <c r="B46" s="8">
        <f>IF($A46=Assumptions!$B$28,Assumptions!$B$27,0)</f>
        <v/>
      </c>
      <c r="C46" s="8">
        <f>IF($A46=Assumptions!$B$24,Assumptions!$B$23,0)</f>
        <v/>
      </c>
      <c r="D46" s="8">
        <f>(Fleet_Schedule!$G46*Assumptions!$B$5)+SUM(B46:C46)</f>
        <v/>
      </c>
      <c r="E46" s="8">
        <f>Fleet_Schedule!G46*Assumptions!$B$18</f>
        <v/>
      </c>
      <c r="F46" s="8">
        <f>IF(AND($A46&gt;=Assumptions!$B$33,$A46&lt;Assumptions!$B$33+Assumptions!$B$31),($O46+$C46)*Assumptions!$B$32,0)</f>
        <v/>
      </c>
      <c r="G46" s="8">
        <f>IF(AND($A46&gt;=Assumptions!$B$33,$A46&lt;Assumptions!$B$33+Assumptions!$B$31),MIN(($O46+$C46),Assumptions!$B$25-$F46),0)</f>
        <v/>
      </c>
      <c r="H46" s="8">
        <f>Income_Statement!$S46</f>
        <v/>
      </c>
      <c r="I46" s="8">
        <f>IF($A46&lt;Assumptions!$B$36,Assumptions!$B$34*Fleet_Schedule!$G46,ROUND(Assumptions!$B$34*(Fleet_Schedule!$G46-(Assumptions!$B$23/Assumptions!$B$4)),0))</f>
        <v/>
      </c>
      <c r="J46" s="8">
        <f>D46-E46-F46-G46-H46-I46</f>
        <v/>
      </c>
      <c r="K46" s="8">
        <f>Fleet_Schedule!$D46*Assumptions!$B$4</f>
        <v/>
      </c>
      <c r="L46" s="8">
        <f>J46-K46</f>
        <v/>
      </c>
      <c r="M46" s="8">
        <f>$N45</f>
        <v/>
      </c>
      <c r="N46" s="8">
        <f>$M46+$L46</f>
        <v/>
      </c>
      <c r="O46" s="8">
        <f>P45</f>
        <v/>
      </c>
      <c r="P46" s="8">
        <f>O46+C46-G46</f>
        <v/>
      </c>
      <c r="S46" s="12" t="n"/>
    </row>
    <row r="47">
      <c r="A47" s="7" t="n">
        <v>45</v>
      </c>
      <c r="B47" s="8">
        <f>IF($A47=Assumptions!$B$28,Assumptions!$B$27,0)</f>
        <v/>
      </c>
      <c r="C47" s="8">
        <f>IF($A47=Assumptions!$B$24,Assumptions!$B$23,0)</f>
        <v/>
      </c>
      <c r="D47" s="8">
        <f>(Fleet_Schedule!$G47*Assumptions!$B$5)+SUM(B47:C47)</f>
        <v/>
      </c>
      <c r="E47" s="8">
        <f>Fleet_Schedule!G47*Assumptions!$B$18</f>
        <v/>
      </c>
      <c r="F47" s="8">
        <f>IF(AND($A47&gt;=Assumptions!$B$33,$A47&lt;Assumptions!$B$33+Assumptions!$B$31),($O47+$C47)*Assumptions!$B$32,0)</f>
        <v/>
      </c>
      <c r="G47" s="8">
        <f>IF(AND($A47&gt;=Assumptions!$B$33,$A47&lt;Assumptions!$B$33+Assumptions!$B$31),MIN(($O47+$C47),Assumptions!$B$25-$F47),0)</f>
        <v/>
      </c>
      <c r="H47" s="8">
        <f>Income_Statement!$S47</f>
        <v/>
      </c>
      <c r="I47" s="8">
        <f>IF($A47&lt;Assumptions!$B$36,Assumptions!$B$34*Fleet_Schedule!$G47,ROUND(Assumptions!$B$34*(Fleet_Schedule!$G47-(Assumptions!$B$23/Assumptions!$B$4)),0))</f>
        <v/>
      </c>
      <c r="J47" s="8">
        <f>D47-E47-F47-G47-H47-I47</f>
        <v/>
      </c>
      <c r="K47" s="8">
        <f>Fleet_Schedule!$D47*Assumptions!$B$4</f>
        <v/>
      </c>
      <c r="L47" s="8">
        <f>J47-K47</f>
        <v/>
      </c>
      <c r="M47" s="8">
        <f>$N46</f>
        <v/>
      </c>
      <c r="N47" s="8">
        <f>$M47+$L47</f>
        <v/>
      </c>
      <c r="O47" s="8">
        <f>P46</f>
        <v/>
      </c>
      <c r="P47" s="8">
        <f>O47+C47-G47</f>
        <v/>
      </c>
      <c r="S47" s="12" t="n"/>
    </row>
    <row r="48">
      <c r="A48" s="7" t="n">
        <v>46</v>
      </c>
      <c r="B48" s="8">
        <f>IF($A48=Assumptions!$B$28,Assumptions!$B$27,0)</f>
        <v/>
      </c>
      <c r="C48" s="8">
        <f>IF($A48=Assumptions!$B$24,Assumptions!$B$23,0)</f>
        <v/>
      </c>
      <c r="D48" s="8">
        <f>(Fleet_Schedule!$G48*Assumptions!$B$5)+SUM(B48:C48)</f>
        <v/>
      </c>
      <c r="E48" s="8">
        <f>Fleet_Schedule!G48*Assumptions!$B$18</f>
        <v/>
      </c>
      <c r="F48" s="8">
        <f>IF(AND($A48&gt;=Assumptions!$B$33,$A48&lt;Assumptions!$B$33+Assumptions!$B$31),($O48+$C48)*Assumptions!$B$32,0)</f>
        <v/>
      </c>
      <c r="G48" s="8">
        <f>IF(AND($A48&gt;=Assumptions!$B$33,$A48&lt;Assumptions!$B$33+Assumptions!$B$31),MIN(($O48+$C48),Assumptions!$B$25-$F48),0)</f>
        <v/>
      </c>
      <c r="H48" s="8">
        <f>Income_Statement!$S48</f>
        <v/>
      </c>
      <c r="I48" s="8">
        <f>IF($A48&lt;Assumptions!$B$36,Assumptions!$B$34*Fleet_Schedule!$G48,ROUND(Assumptions!$B$34*(Fleet_Schedule!$G48-(Assumptions!$B$23/Assumptions!$B$4)),0))</f>
        <v/>
      </c>
      <c r="J48" s="8">
        <f>D48-E48-F48-G48-H48-I48</f>
        <v/>
      </c>
      <c r="K48" s="8">
        <f>Fleet_Schedule!$D48*Assumptions!$B$4</f>
        <v/>
      </c>
      <c r="L48" s="8">
        <f>J48-K48</f>
        <v/>
      </c>
      <c r="M48" s="8">
        <f>$N47</f>
        <v/>
      </c>
      <c r="N48" s="8">
        <f>$M48+$L48</f>
        <v/>
      </c>
      <c r="O48" s="8">
        <f>P47</f>
        <v/>
      </c>
      <c r="P48" s="8">
        <f>O48+C48-G48</f>
        <v/>
      </c>
      <c r="S48" s="12" t="n"/>
    </row>
    <row r="49">
      <c r="A49" s="7" t="n">
        <v>47</v>
      </c>
      <c r="B49" s="8">
        <f>IF($A49=Assumptions!$B$28,Assumptions!$B$27,0)</f>
        <v/>
      </c>
      <c r="C49" s="8">
        <f>IF($A49=Assumptions!$B$24,Assumptions!$B$23,0)</f>
        <v/>
      </c>
      <c r="D49" s="8">
        <f>(Fleet_Schedule!$G49*Assumptions!$B$5)+SUM(B49:C49)</f>
        <v/>
      </c>
      <c r="E49" s="8">
        <f>Fleet_Schedule!G49*Assumptions!$B$18</f>
        <v/>
      </c>
      <c r="F49" s="8">
        <f>IF(AND($A49&gt;=Assumptions!$B$33,$A49&lt;Assumptions!$B$33+Assumptions!$B$31),($O49+$C49)*Assumptions!$B$32,0)</f>
        <v/>
      </c>
      <c r="G49" s="8">
        <f>IF(AND($A49&gt;=Assumptions!$B$33,$A49&lt;Assumptions!$B$33+Assumptions!$B$31),MIN(($O49+$C49),Assumptions!$B$25-$F49),0)</f>
        <v/>
      </c>
      <c r="H49" s="8">
        <f>Income_Statement!$S49</f>
        <v/>
      </c>
      <c r="I49" s="8">
        <f>IF($A49&lt;Assumptions!$B$36,Assumptions!$B$34*Fleet_Schedule!$G49,ROUND(Assumptions!$B$34*(Fleet_Schedule!$G49-(Assumptions!$B$23/Assumptions!$B$4)),0))</f>
        <v/>
      </c>
      <c r="J49" s="8">
        <f>D49-E49-F49-G49-H49-I49</f>
        <v/>
      </c>
      <c r="K49" s="8">
        <f>Fleet_Schedule!$D49*Assumptions!$B$4</f>
        <v/>
      </c>
      <c r="L49" s="8">
        <f>J49-K49</f>
        <v/>
      </c>
      <c r="M49" s="8">
        <f>$N48</f>
        <v/>
      </c>
      <c r="N49" s="8">
        <f>$M49+$L49</f>
        <v/>
      </c>
      <c r="O49" s="8">
        <f>P48</f>
        <v/>
      </c>
      <c r="P49" s="8">
        <f>O49+C49-G49</f>
        <v/>
      </c>
      <c r="S49" s="12" t="n"/>
    </row>
    <row r="50">
      <c r="A50" s="7" t="n">
        <v>48</v>
      </c>
      <c r="B50" s="8">
        <f>IF($A50=Assumptions!$B$28,Assumptions!$B$27,0)</f>
        <v/>
      </c>
      <c r="C50" s="8">
        <f>IF($A50=Assumptions!$B$24,Assumptions!$B$23,0)</f>
        <v/>
      </c>
      <c r="D50" s="8">
        <f>(Fleet_Schedule!$G50*Assumptions!$B$5)+SUM(B50:C50)</f>
        <v/>
      </c>
      <c r="E50" s="8">
        <f>Fleet_Schedule!G50*Assumptions!$B$18</f>
        <v/>
      </c>
      <c r="F50" s="8">
        <f>IF(AND($A50&gt;=Assumptions!$B$33,$A50&lt;Assumptions!$B$33+Assumptions!$B$31),($O50+$C50)*Assumptions!$B$32,0)</f>
        <v/>
      </c>
      <c r="G50" s="8">
        <f>IF(AND($A50&gt;=Assumptions!$B$33,$A50&lt;Assumptions!$B$33+Assumptions!$B$31),MIN(($O50+$C50),Assumptions!$B$25-$F50),0)</f>
        <v/>
      </c>
      <c r="H50" s="8">
        <f>Income_Statement!$S50</f>
        <v/>
      </c>
      <c r="I50" s="8">
        <f>IF($A50&lt;Assumptions!$B$36,Assumptions!$B$34*Fleet_Schedule!$G50,ROUND(Assumptions!$B$34*(Fleet_Schedule!$G50-(Assumptions!$B$23/Assumptions!$B$4)),0))</f>
        <v/>
      </c>
      <c r="J50" s="8">
        <f>D50-E50-F50-G50-H50-I50</f>
        <v/>
      </c>
      <c r="K50" s="8">
        <f>Fleet_Schedule!$D50*Assumptions!$B$4</f>
        <v/>
      </c>
      <c r="L50" s="8">
        <f>J50-K50</f>
        <v/>
      </c>
      <c r="M50" s="8">
        <f>$N49</f>
        <v/>
      </c>
      <c r="N50" s="8">
        <f>$M50+$L50</f>
        <v/>
      </c>
      <c r="O50" s="8">
        <f>P49</f>
        <v/>
      </c>
      <c r="P50" s="8">
        <f>O50+C50-G50</f>
        <v/>
      </c>
      <c r="Q50" s="12" t="n"/>
      <c r="S50" s="12" t="n"/>
    </row>
    <row r="51">
      <c r="A51" s="7" t="n">
        <v>49</v>
      </c>
      <c r="B51" s="8">
        <f>IF($A51=Assumptions!$B$28,Assumptions!$B$27,0)</f>
        <v/>
      </c>
      <c r="C51" s="8">
        <f>IF($A51=Assumptions!$B$24,Assumptions!$B$23,0)</f>
        <v/>
      </c>
      <c r="D51" s="8">
        <f>(Fleet_Schedule!$G51*Assumptions!$B$5)+SUM(B51:C51)</f>
        <v/>
      </c>
      <c r="E51" s="8">
        <f>Fleet_Schedule!G51*Assumptions!$B$18</f>
        <v/>
      </c>
      <c r="F51" s="8">
        <f>IF(AND($A51&gt;=Assumptions!$B$33,$A51&lt;Assumptions!$B$33+Assumptions!$B$31),($O51+$C51)*Assumptions!$B$32,0)</f>
        <v/>
      </c>
      <c r="G51" s="8">
        <f>IF(AND($A51&gt;=Assumptions!$B$33,$A51&lt;Assumptions!$B$33+Assumptions!$B$31),MIN(($O51+$C51),Assumptions!$B$25-$F51),0)</f>
        <v/>
      </c>
      <c r="H51" s="8">
        <f>Income_Statement!$S51</f>
        <v/>
      </c>
      <c r="I51" s="8">
        <f>IF($A51&lt;Assumptions!$B$36,Assumptions!$B$34*Fleet_Schedule!$G51,ROUND(Assumptions!$B$34*(Fleet_Schedule!$G51-(Assumptions!$B$23/Assumptions!$B$4)),0))</f>
        <v/>
      </c>
      <c r="J51" s="8">
        <f>D51-E51-F51-G51-H51-I51</f>
        <v/>
      </c>
      <c r="K51" s="8">
        <f>Fleet_Schedule!$D51*Assumptions!$B$4</f>
        <v/>
      </c>
      <c r="L51" s="8">
        <f>J51-K51</f>
        <v/>
      </c>
      <c r="M51" s="8">
        <f>$N50</f>
        <v/>
      </c>
      <c r="N51" s="8">
        <f>$M51+$L51</f>
        <v/>
      </c>
      <c r="O51" s="8">
        <f>P50</f>
        <v/>
      </c>
      <c r="P51" s="8">
        <f>O51+C51-G51</f>
        <v/>
      </c>
      <c r="S51" s="12" t="n"/>
    </row>
    <row r="52">
      <c r="A52" s="7" t="n">
        <v>50</v>
      </c>
      <c r="B52" s="8">
        <f>IF($A52=Assumptions!$B$28,Assumptions!$B$27,0)</f>
        <v/>
      </c>
      <c r="C52" s="8">
        <f>IF($A52=Assumptions!$B$24,Assumptions!$B$23,0)</f>
        <v/>
      </c>
      <c r="D52" s="8">
        <f>(Fleet_Schedule!$G52*Assumptions!$B$5)+SUM(B52:C52)</f>
        <v/>
      </c>
      <c r="E52" s="8">
        <f>Fleet_Schedule!G52*Assumptions!$B$18</f>
        <v/>
      </c>
      <c r="F52" s="8">
        <f>IF(AND($A52&gt;=Assumptions!$B$33,$A52&lt;Assumptions!$B$33+Assumptions!$B$31),($O52+$C52)*Assumptions!$B$32,0)</f>
        <v/>
      </c>
      <c r="G52" s="8">
        <f>IF(AND($A52&gt;=Assumptions!$B$33,$A52&lt;Assumptions!$B$33+Assumptions!$B$31),MIN(($O52+$C52),Assumptions!$B$25-$F52),0)</f>
        <v/>
      </c>
      <c r="H52" s="8">
        <f>Income_Statement!$S52</f>
        <v/>
      </c>
      <c r="I52" s="8">
        <f>IF($A52&lt;Assumptions!$B$36,Assumptions!$B$34*Fleet_Schedule!$G52,ROUND(Assumptions!$B$34*(Fleet_Schedule!$G52-(Assumptions!$B$23/Assumptions!$B$4)),0))</f>
        <v/>
      </c>
      <c r="J52" s="8">
        <f>D52-E52-F52-G52-H52-I52</f>
        <v/>
      </c>
      <c r="K52" s="8">
        <f>Fleet_Schedule!$D52*Assumptions!$B$4</f>
        <v/>
      </c>
      <c r="L52" s="8">
        <f>J52-K52</f>
        <v/>
      </c>
      <c r="M52" s="8">
        <f>$N51</f>
        <v/>
      </c>
      <c r="N52" s="8">
        <f>$M52+$L52</f>
        <v/>
      </c>
      <c r="O52" s="8">
        <f>P51</f>
        <v/>
      </c>
      <c r="P52" s="8">
        <f>O52+C52-G52</f>
        <v/>
      </c>
      <c r="S52" s="12" t="n"/>
    </row>
    <row r="53">
      <c r="A53" s="7" t="n">
        <v>51</v>
      </c>
      <c r="B53" s="8">
        <f>IF($A53=Assumptions!$B$28,Assumptions!$B$27,0)</f>
        <v/>
      </c>
      <c r="C53" s="8">
        <f>IF($A53=Assumptions!$B$24,Assumptions!$B$23,0)</f>
        <v/>
      </c>
      <c r="D53" s="8">
        <f>(Fleet_Schedule!$G53*Assumptions!$B$5)+SUM(B53:C53)</f>
        <v/>
      </c>
      <c r="E53" s="8">
        <f>Fleet_Schedule!G53*Assumptions!$B$18</f>
        <v/>
      </c>
      <c r="F53" s="8">
        <f>IF(AND($A53&gt;=Assumptions!$B$33,$A53&lt;Assumptions!$B$33+Assumptions!$B$31),($O53+$C53)*Assumptions!$B$32,0)</f>
        <v/>
      </c>
      <c r="G53" s="8">
        <f>IF(AND($A53&gt;=Assumptions!$B$33,$A53&lt;Assumptions!$B$33+Assumptions!$B$31),MIN(($O53+$C53),Assumptions!$B$25-$F53),0)</f>
        <v/>
      </c>
      <c r="H53" s="8">
        <f>Income_Statement!$S53</f>
        <v/>
      </c>
      <c r="I53" s="8">
        <f>IF($A53&lt;Assumptions!$B$36,Assumptions!$B$34*Fleet_Schedule!$G53,ROUND(Assumptions!$B$34*(Fleet_Schedule!$G53-(Assumptions!$B$23/Assumptions!$B$4)),0))</f>
        <v/>
      </c>
      <c r="J53" s="8">
        <f>D53-E53-F53-G53-H53-I53</f>
        <v/>
      </c>
      <c r="K53" s="8">
        <f>Fleet_Schedule!$D53*Assumptions!$B$4</f>
        <v/>
      </c>
      <c r="L53" s="8">
        <f>J53-K53</f>
        <v/>
      </c>
      <c r="M53" s="8">
        <f>$N52</f>
        <v/>
      </c>
      <c r="N53" s="8">
        <f>$M53+$L53</f>
        <v/>
      </c>
      <c r="O53" s="8">
        <f>P52</f>
        <v/>
      </c>
      <c r="P53" s="8">
        <f>O53+C53-G53</f>
        <v/>
      </c>
      <c r="S53" s="12" t="n"/>
    </row>
    <row r="54">
      <c r="A54" s="7" t="n">
        <v>52</v>
      </c>
      <c r="B54" s="8">
        <f>IF($A54=Assumptions!$B$28,Assumptions!$B$27,0)</f>
        <v/>
      </c>
      <c r="C54" s="8">
        <f>IF($A54=Assumptions!$B$24,Assumptions!$B$23,0)</f>
        <v/>
      </c>
      <c r="D54" s="8">
        <f>(Fleet_Schedule!$G54*Assumptions!$B$5)+SUM(B54:C54)</f>
        <v/>
      </c>
      <c r="E54" s="8">
        <f>Fleet_Schedule!G54*Assumptions!$B$18</f>
        <v/>
      </c>
      <c r="F54" s="8">
        <f>IF(AND($A54&gt;=Assumptions!$B$33,$A54&lt;Assumptions!$B$33+Assumptions!$B$31),($O54+$C54)*Assumptions!$B$32,0)</f>
        <v/>
      </c>
      <c r="G54" s="8">
        <f>IF(AND($A54&gt;=Assumptions!$B$33,$A54&lt;Assumptions!$B$33+Assumptions!$B$31),MIN(($O54+$C54),Assumptions!$B$25-$F54),0)</f>
        <v/>
      </c>
      <c r="H54" s="8">
        <f>Income_Statement!$S54</f>
        <v/>
      </c>
      <c r="I54" s="8">
        <f>IF($A54&lt;Assumptions!$B$36,Assumptions!$B$34*Fleet_Schedule!$G54,ROUND(Assumptions!$B$34*(Fleet_Schedule!$G54-(Assumptions!$B$23/Assumptions!$B$4)),0))</f>
        <v/>
      </c>
      <c r="J54" s="8">
        <f>D54-E54-F54-G54-H54-I54</f>
        <v/>
      </c>
      <c r="K54" s="8">
        <f>Fleet_Schedule!$D54*Assumptions!$B$4</f>
        <v/>
      </c>
      <c r="L54" s="8">
        <f>J54-K54</f>
        <v/>
      </c>
      <c r="M54" s="8">
        <f>$N53</f>
        <v/>
      </c>
      <c r="N54" s="8">
        <f>$M54+$L54</f>
        <v/>
      </c>
      <c r="O54" s="8">
        <f>P53</f>
        <v/>
      </c>
      <c r="P54" s="8">
        <f>O54+C54-G54</f>
        <v/>
      </c>
      <c r="S54" s="12" t="n"/>
    </row>
    <row r="55">
      <c r="A55" s="7" t="n">
        <v>53</v>
      </c>
      <c r="B55" s="8">
        <f>IF($A55=Assumptions!$B$28,Assumptions!$B$27,0)</f>
        <v/>
      </c>
      <c r="C55" s="8">
        <f>IF($A55=Assumptions!$B$24,Assumptions!$B$23,0)</f>
        <v/>
      </c>
      <c r="D55" s="8">
        <f>(Fleet_Schedule!$G55*Assumptions!$B$5)+SUM(B55:C55)</f>
        <v/>
      </c>
      <c r="E55" s="8">
        <f>Fleet_Schedule!G55*Assumptions!$B$18</f>
        <v/>
      </c>
      <c r="F55" s="8">
        <f>IF(AND($A55&gt;=Assumptions!$B$33,$A55&lt;Assumptions!$B$33+Assumptions!$B$31),($O55+$C55)*Assumptions!$B$32,0)</f>
        <v/>
      </c>
      <c r="G55" s="8">
        <f>IF(AND($A55&gt;=Assumptions!$B$33,$A55&lt;Assumptions!$B$33+Assumptions!$B$31),MIN(($O55+$C55),Assumptions!$B$25-$F55),0)</f>
        <v/>
      </c>
      <c r="H55" s="8">
        <f>Income_Statement!$S55</f>
        <v/>
      </c>
      <c r="I55" s="8">
        <f>IF($A55&lt;Assumptions!$B$36,Assumptions!$B$34*Fleet_Schedule!$G55,ROUND(Assumptions!$B$34*(Fleet_Schedule!$G55-(Assumptions!$B$23/Assumptions!$B$4)),0))</f>
        <v/>
      </c>
      <c r="J55" s="8">
        <f>D55-E55-F55-G55-H55-I55</f>
        <v/>
      </c>
      <c r="K55" s="8">
        <f>Fleet_Schedule!$D55*Assumptions!$B$4</f>
        <v/>
      </c>
      <c r="L55" s="8">
        <f>J55-K55</f>
        <v/>
      </c>
      <c r="M55" s="8">
        <f>$N54</f>
        <v/>
      </c>
      <c r="N55" s="8">
        <f>$M55+$L55</f>
        <v/>
      </c>
      <c r="O55" s="8">
        <f>P54</f>
        <v/>
      </c>
      <c r="P55" s="8">
        <f>O55+C55-G55</f>
        <v/>
      </c>
      <c r="S55" s="12" t="n"/>
    </row>
    <row r="56">
      <c r="A56" s="7" t="n">
        <v>54</v>
      </c>
      <c r="B56" s="8">
        <f>IF($A56=Assumptions!$B$28,Assumptions!$B$27,0)</f>
        <v/>
      </c>
      <c r="C56" s="8">
        <f>IF($A56=Assumptions!$B$24,Assumptions!$B$23,0)</f>
        <v/>
      </c>
      <c r="D56" s="8">
        <f>(Fleet_Schedule!$G56*Assumptions!$B$5)+SUM(B56:C56)</f>
        <v/>
      </c>
      <c r="E56" s="8">
        <f>Fleet_Schedule!G56*Assumptions!$B$18</f>
        <v/>
      </c>
      <c r="F56" s="8">
        <f>IF(AND($A56&gt;=Assumptions!$B$33,$A56&lt;Assumptions!$B$33+Assumptions!$B$31),($O56+$C56)*Assumptions!$B$32,0)</f>
        <v/>
      </c>
      <c r="G56" s="8">
        <f>IF(AND($A56&gt;=Assumptions!$B$33,$A56&lt;Assumptions!$B$33+Assumptions!$B$31),MIN(($O56+$C56),Assumptions!$B$25-$F56),0)</f>
        <v/>
      </c>
      <c r="H56" s="8">
        <f>Income_Statement!$S56</f>
        <v/>
      </c>
      <c r="I56" s="8">
        <f>IF($A56&lt;Assumptions!$B$36,Assumptions!$B$34*Fleet_Schedule!$G56,ROUND(Assumptions!$B$34*(Fleet_Schedule!$G56-(Assumptions!$B$23/Assumptions!$B$4)),0))</f>
        <v/>
      </c>
      <c r="J56" s="8">
        <f>D56-E56-F56-G56-H56-I56</f>
        <v/>
      </c>
      <c r="K56" s="8">
        <f>Fleet_Schedule!$D56*Assumptions!$B$4</f>
        <v/>
      </c>
      <c r="L56" s="8">
        <f>J56-K56</f>
        <v/>
      </c>
      <c r="M56" s="8">
        <f>$N55</f>
        <v/>
      </c>
      <c r="N56" s="8">
        <f>$M56+$L56</f>
        <v/>
      </c>
      <c r="O56" s="8">
        <f>P55</f>
        <v/>
      </c>
      <c r="P56" s="8">
        <f>O56+C56-G56</f>
        <v/>
      </c>
      <c r="S56" s="12" t="n"/>
    </row>
    <row r="57">
      <c r="A57" s="7" t="n">
        <v>55</v>
      </c>
      <c r="B57" s="8">
        <f>IF($A57=Assumptions!$B$28,Assumptions!$B$27,0)</f>
        <v/>
      </c>
      <c r="C57" s="8">
        <f>IF($A57=Assumptions!$B$24,Assumptions!$B$23,0)</f>
        <v/>
      </c>
      <c r="D57" s="8">
        <f>(Fleet_Schedule!$G57*Assumptions!$B$5)+SUM(B57:C57)</f>
        <v/>
      </c>
      <c r="E57" s="8">
        <f>Fleet_Schedule!G57*Assumptions!$B$18</f>
        <v/>
      </c>
      <c r="F57" s="8">
        <f>IF(AND($A57&gt;=Assumptions!$B$33,$A57&lt;Assumptions!$B$33+Assumptions!$B$31),($O57+$C57)*Assumptions!$B$32,0)</f>
        <v/>
      </c>
      <c r="G57" s="8">
        <f>IF(AND($A57&gt;=Assumptions!$B$33,$A57&lt;Assumptions!$B$33+Assumptions!$B$31),MIN(($O57+$C57),Assumptions!$B$25-$F57),0)</f>
        <v/>
      </c>
      <c r="H57" s="8">
        <f>Income_Statement!$S57</f>
        <v/>
      </c>
      <c r="I57" s="8">
        <f>IF($A57&lt;Assumptions!$B$36,Assumptions!$B$34*Fleet_Schedule!$G57,ROUND(Assumptions!$B$34*(Fleet_Schedule!$G57-(Assumptions!$B$23/Assumptions!$B$4)),0))</f>
        <v/>
      </c>
      <c r="J57" s="8">
        <f>D57-E57-F57-G57-H57-I57</f>
        <v/>
      </c>
      <c r="K57" s="8">
        <f>Fleet_Schedule!$D57*Assumptions!$B$4</f>
        <v/>
      </c>
      <c r="L57" s="8">
        <f>J57-K57</f>
        <v/>
      </c>
      <c r="M57" s="8">
        <f>$N56</f>
        <v/>
      </c>
      <c r="N57" s="8">
        <f>$M57+$L57</f>
        <v/>
      </c>
      <c r="O57" s="8">
        <f>P56</f>
        <v/>
      </c>
      <c r="P57" s="8">
        <f>O57+C57-G57</f>
        <v/>
      </c>
      <c r="S57" s="12" t="n"/>
    </row>
    <row r="58">
      <c r="A58" s="7" t="n">
        <v>56</v>
      </c>
      <c r="B58" s="8">
        <f>IF($A58=Assumptions!$B$28,Assumptions!$B$27,0)</f>
        <v/>
      </c>
      <c r="C58" s="8">
        <f>IF($A58=Assumptions!$B$24,Assumptions!$B$23,0)</f>
        <v/>
      </c>
      <c r="D58" s="8">
        <f>(Fleet_Schedule!$G58*Assumptions!$B$5)+SUM(B58:C58)</f>
        <v/>
      </c>
      <c r="E58" s="8">
        <f>Fleet_Schedule!G58*Assumptions!$B$18</f>
        <v/>
      </c>
      <c r="F58" s="8">
        <f>IF(AND($A58&gt;=Assumptions!$B$33,$A58&lt;Assumptions!$B$33+Assumptions!$B$31),($O58+$C58)*Assumptions!$B$32,0)</f>
        <v/>
      </c>
      <c r="G58" s="8">
        <f>IF(AND($A58&gt;=Assumptions!$B$33,$A58&lt;Assumptions!$B$33+Assumptions!$B$31),MIN(($O58+$C58),Assumptions!$B$25-$F58),0)</f>
        <v/>
      </c>
      <c r="H58" s="8">
        <f>Income_Statement!$S58</f>
        <v/>
      </c>
      <c r="I58" s="8">
        <f>IF($A58&lt;Assumptions!$B$36,Assumptions!$B$34*Fleet_Schedule!$G58,ROUND(Assumptions!$B$34*(Fleet_Schedule!$G58-(Assumptions!$B$23/Assumptions!$B$4)),0))</f>
        <v/>
      </c>
      <c r="J58" s="8">
        <f>D58-E58-F58-G58-H58-I58</f>
        <v/>
      </c>
      <c r="K58" s="8">
        <f>Fleet_Schedule!$D58*Assumptions!$B$4</f>
        <v/>
      </c>
      <c r="L58" s="8">
        <f>J58-K58</f>
        <v/>
      </c>
      <c r="M58" s="8">
        <f>$N57</f>
        <v/>
      </c>
      <c r="N58" s="8">
        <f>$M58+$L58</f>
        <v/>
      </c>
      <c r="O58" s="8">
        <f>P57</f>
        <v/>
      </c>
      <c r="P58" s="8">
        <f>O58+C58-G58</f>
        <v/>
      </c>
      <c r="S58" s="12" t="n"/>
    </row>
    <row r="59">
      <c r="A59" s="7" t="n">
        <v>57</v>
      </c>
      <c r="B59" s="8">
        <f>IF($A59=Assumptions!$B$28,Assumptions!$B$27,0)</f>
        <v/>
      </c>
      <c r="C59" s="8">
        <f>IF($A59=Assumptions!$B$24,Assumptions!$B$23,0)</f>
        <v/>
      </c>
      <c r="D59" s="8">
        <f>(Fleet_Schedule!$G59*Assumptions!$B$5)+SUM(B59:C59)</f>
        <v/>
      </c>
      <c r="E59" s="8">
        <f>Fleet_Schedule!G59*Assumptions!$B$18</f>
        <v/>
      </c>
      <c r="F59" s="8">
        <f>IF(AND($A59&gt;=Assumptions!$B$33,$A59&lt;Assumptions!$B$33+Assumptions!$B$31),($O59+$C59)*Assumptions!$B$32,0)</f>
        <v/>
      </c>
      <c r="G59" s="8">
        <f>IF(AND($A59&gt;=Assumptions!$B$33,$A59&lt;Assumptions!$B$33+Assumptions!$B$31),MIN(($O59+$C59),Assumptions!$B$25-$F59),0)</f>
        <v/>
      </c>
      <c r="H59" s="8">
        <f>Income_Statement!$S59</f>
        <v/>
      </c>
      <c r="I59" s="8">
        <f>IF($A59&lt;Assumptions!$B$36,Assumptions!$B$34*Fleet_Schedule!$G59,ROUND(Assumptions!$B$34*(Fleet_Schedule!$G59-(Assumptions!$B$23/Assumptions!$B$4)),0))</f>
        <v/>
      </c>
      <c r="J59" s="8">
        <f>D59-E59-F59-G59-H59-I59</f>
        <v/>
      </c>
      <c r="K59" s="8">
        <f>Fleet_Schedule!$D59*Assumptions!$B$4</f>
        <v/>
      </c>
      <c r="L59" s="8">
        <f>J59-K59</f>
        <v/>
      </c>
      <c r="M59" s="8">
        <f>$N58</f>
        <v/>
      </c>
      <c r="N59" s="8">
        <f>$M59+$L59</f>
        <v/>
      </c>
      <c r="O59" s="8">
        <f>P58</f>
        <v/>
      </c>
      <c r="P59" s="8">
        <f>O59+C59-G59</f>
        <v/>
      </c>
      <c r="S59" s="12" t="n"/>
    </row>
    <row r="60">
      <c r="A60" s="7" t="n">
        <v>58</v>
      </c>
      <c r="B60" s="8">
        <f>IF($A60=Assumptions!$B$28,Assumptions!$B$27,0)</f>
        <v/>
      </c>
      <c r="C60" s="8">
        <f>IF($A60=Assumptions!$B$24,Assumptions!$B$23,0)</f>
        <v/>
      </c>
      <c r="D60" s="8">
        <f>(Fleet_Schedule!$G60*Assumptions!$B$5)+SUM(B60:C60)</f>
        <v/>
      </c>
      <c r="E60" s="8">
        <f>Fleet_Schedule!G60*Assumptions!$B$18</f>
        <v/>
      </c>
      <c r="F60" s="8">
        <f>IF(AND($A60&gt;=Assumptions!$B$33,$A60&lt;Assumptions!$B$33+Assumptions!$B$31),($O60+$C60)*Assumptions!$B$32,0)</f>
        <v/>
      </c>
      <c r="G60" s="8">
        <f>IF(AND($A60&gt;=Assumptions!$B$33,$A60&lt;Assumptions!$B$33+Assumptions!$B$31),MIN(($O60+$C60),Assumptions!$B$25-$F60),0)</f>
        <v/>
      </c>
      <c r="H60" s="8">
        <f>Income_Statement!$S60</f>
        <v/>
      </c>
      <c r="I60" s="8">
        <f>IF($A60&lt;Assumptions!$B$36,Assumptions!$B$34*Fleet_Schedule!$G60,ROUND(Assumptions!$B$34*(Fleet_Schedule!$G60-(Assumptions!$B$23/Assumptions!$B$4)),0))</f>
        <v/>
      </c>
      <c r="J60" s="8">
        <f>D60-E60-F60-G60-H60-I60</f>
        <v/>
      </c>
      <c r="K60" s="8">
        <f>Fleet_Schedule!$D60*Assumptions!$B$4</f>
        <v/>
      </c>
      <c r="L60" s="8">
        <f>J60-K60</f>
        <v/>
      </c>
      <c r="M60" s="8">
        <f>$N59</f>
        <v/>
      </c>
      <c r="N60" s="8">
        <f>$M60+$L60</f>
        <v/>
      </c>
      <c r="O60" s="8">
        <f>P59</f>
        <v/>
      </c>
      <c r="P60" s="8">
        <f>O60+C60-G60</f>
        <v/>
      </c>
      <c r="S60" s="12" t="n"/>
    </row>
    <row r="61">
      <c r="A61" s="7" t="n">
        <v>59</v>
      </c>
      <c r="B61" s="8">
        <f>IF($A61=Assumptions!$B$28,Assumptions!$B$27,0)</f>
        <v/>
      </c>
      <c r="C61" s="8">
        <f>IF($A61=Assumptions!$B$24,Assumptions!$B$23,0)</f>
        <v/>
      </c>
      <c r="D61" s="8">
        <f>(Fleet_Schedule!$G61*Assumptions!$B$5)+SUM(B61:C61)</f>
        <v/>
      </c>
      <c r="E61" s="8">
        <f>Fleet_Schedule!G61*Assumptions!$B$18</f>
        <v/>
      </c>
      <c r="F61" s="8">
        <f>IF(AND($A61&gt;=Assumptions!$B$33,$A61&lt;Assumptions!$B$33+Assumptions!$B$31),($O61+$C61)*Assumptions!$B$32,0)</f>
        <v/>
      </c>
      <c r="G61" s="8">
        <f>IF(AND($A61&gt;=Assumptions!$B$33,$A61&lt;Assumptions!$B$33+Assumptions!$B$31),MIN(($O61+$C61),Assumptions!$B$25-$F61),0)</f>
        <v/>
      </c>
      <c r="H61" s="8">
        <f>Income_Statement!$S61</f>
        <v/>
      </c>
      <c r="I61" s="8">
        <f>IF($A61&lt;Assumptions!$B$36,Assumptions!$B$34*Fleet_Schedule!$G61,ROUND(Assumptions!$B$34*(Fleet_Schedule!$G61-(Assumptions!$B$23/Assumptions!$B$4)),0))</f>
        <v/>
      </c>
      <c r="J61" s="8">
        <f>D61-E61-F61-G61-H61-I61</f>
        <v/>
      </c>
      <c r="K61" s="8">
        <f>Fleet_Schedule!$D61*Assumptions!$B$4</f>
        <v/>
      </c>
      <c r="L61" s="8">
        <f>J61-K61</f>
        <v/>
      </c>
      <c r="M61" s="8">
        <f>$N60</f>
        <v/>
      </c>
      <c r="N61" s="8">
        <f>$M61+$L61</f>
        <v/>
      </c>
      <c r="O61" s="8">
        <f>P60</f>
        <v/>
      </c>
      <c r="P61" s="8">
        <f>O61+C61-G61</f>
        <v/>
      </c>
      <c r="S61" s="12" t="n"/>
    </row>
    <row r="62">
      <c r="A62" s="7" t="n">
        <v>60</v>
      </c>
      <c r="B62" s="8">
        <f>IF($A62=Assumptions!$B$28,Assumptions!$B$27,0)</f>
        <v/>
      </c>
      <c r="C62" s="8">
        <f>IF($A62=Assumptions!$B$24,Assumptions!$B$23,0)</f>
        <v/>
      </c>
      <c r="D62" s="8">
        <f>(Fleet_Schedule!$G62*Assumptions!$B$5)+SUM(B62:C62)</f>
        <v/>
      </c>
      <c r="E62" s="8">
        <f>Fleet_Schedule!G62*Assumptions!$B$18</f>
        <v/>
      </c>
      <c r="F62" s="8">
        <f>IF(AND($A62&gt;=Assumptions!$B$33,$A62&lt;Assumptions!$B$33+Assumptions!$B$31),($O62+$C62)*Assumptions!$B$32,0)</f>
        <v/>
      </c>
      <c r="G62" s="8">
        <f>IF(AND($A62&gt;=Assumptions!$B$33,$A62&lt;Assumptions!$B$33+Assumptions!$B$31),MIN(($O62+$C62),Assumptions!$B$25-$F62),0)</f>
        <v/>
      </c>
      <c r="H62" s="8">
        <f>Income_Statement!$S62</f>
        <v/>
      </c>
      <c r="I62" s="8">
        <f>IF($A62&lt;Assumptions!$B$36,Assumptions!$B$34*Fleet_Schedule!$G62,ROUND(Assumptions!$B$34*(Fleet_Schedule!$G62-(Assumptions!$B$23/Assumptions!$B$4)),0))</f>
        <v/>
      </c>
      <c r="J62" s="8">
        <f>D62-E62-F62-G62-H62-I62</f>
        <v/>
      </c>
      <c r="K62" s="8">
        <f>Fleet_Schedule!$D62*Assumptions!$B$4</f>
        <v/>
      </c>
      <c r="L62" s="8">
        <f>J62-K62</f>
        <v/>
      </c>
      <c r="M62" s="8">
        <f>$N61</f>
        <v/>
      </c>
      <c r="N62" s="8">
        <f>$M62+$L62</f>
        <v/>
      </c>
      <c r="O62" s="8">
        <f>P61</f>
        <v/>
      </c>
      <c r="P62" s="8">
        <f>O62+C62-G62</f>
        <v/>
      </c>
      <c r="S62" s="12" t="n"/>
    </row>
    <row r="63" ht="15" customHeight="1" s="25">
      <c r="J63" s="12" t="n"/>
    </row>
  </sheetData>
  <mergeCells count="1">
    <mergeCell ref="A1:P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2"/>
  <sheetViews>
    <sheetView showGridLines="0" zoomScale="130" zoomScaleNormal="13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P3" sqref="P3"/>
    </sheetView>
  </sheetViews>
  <sheetFormatPr baseColWidth="8" defaultColWidth="8.7109375" defaultRowHeight="15" customHeight="1"/>
  <cols>
    <col width="10" customWidth="1" style="25" min="2" max="2"/>
    <col width="12" customWidth="1" style="25" min="3" max="3"/>
    <col width="14.140625" bestFit="1" customWidth="1" style="25" min="4" max="4"/>
    <col width="17.7109375" customWidth="1" style="25" min="5" max="5"/>
    <col width="12" customWidth="1" style="25" min="6" max="8"/>
    <col width="20.28515625" customWidth="1" style="25" min="9" max="9"/>
    <col width="15.42578125" customWidth="1" style="25" min="10" max="10"/>
    <col width="11.140625" bestFit="1" customWidth="1" style="25" min="11" max="11"/>
    <col width="14.85546875" bestFit="1" customWidth="1" style="25" min="12" max="12"/>
    <col width="12.7109375" bestFit="1" customWidth="1" style="25" min="13" max="13"/>
    <col width="12" customWidth="1" style="25" min="14" max="14"/>
    <col width="16.7109375" customWidth="1" style="25" min="15" max="15"/>
    <col width="15.140625" customWidth="1" style="25" min="16" max="18"/>
    <col width="12.7109375" bestFit="1" customWidth="1" style="25" min="19" max="19"/>
    <col width="19.7109375" customWidth="1" style="25" min="20" max="20"/>
    <col width="22.5703125" customWidth="1" style="25" min="21" max="21"/>
    <col width="12" customWidth="1" style="25" min="22" max="22"/>
    <col width="15.28515625" customWidth="1" style="25" min="23" max="23"/>
    <col width="14.42578125" customWidth="1" style="25" min="24" max="24"/>
    <col width="12" customWidth="1" style="25" min="25" max="28"/>
  </cols>
  <sheetData>
    <row r="1" ht="17.25" customHeight="1" s="25">
      <c r="A1" s="26" t="inlineStr">
        <is>
          <t>Monthly Income Statement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</row>
    <row r="2" ht="31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Cars in Operation</t>
        </is>
      </c>
      <c r="D2" s="2" t="inlineStr">
        <is>
          <t>Monthly Gross Revenue</t>
        </is>
      </c>
      <c r="E2" s="2" t="inlineStr">
        <is>
          <t>Fuel</t>
        </is>
      </c>
      <c r="F2" s="2" t="inlineStr">
        <is>
          <t>Airtime</t>
        </is>
      </c>
      <c r="G2" s="2" t="inlineStr">
        <is>
          <t>Carwash</t>
        </is>
      </c>
      <c r="H2" s="2" t="inlineStr">
        <is>
          <t>Maintenance</t>
        </is>
      </c>
      <c r="I2" s="2" t="inlineStr">
        <is>
          <t>Driver Subsistence Allocation</t>
        </is>
      </c>
      <c r="J2" s="2" t="inlineStr">
        <is>
          <t>Incidental Repair Reserve</t>
        </is>
      </c>
      <c r="K2" s="2" t="inlineStr">
        <is>
          <t>Tracking Device</t>
        </is>
      </c>
      <c r="L2" s="2" t="inlineStr">
        <is>
          <t>Cost of Sales</t>
        </is>
      </c>
      <c r="M2" s="13" t="inlineStr">
        <is>
          <t>Gross Profit</t>
        </is>
      </c>
      <c r="N2" s="2" t="inlineStr">
        <is>
          <t>Salary</t>
        </is>
      </c>
      <c r="O2" s="2" t="inlineStr">
        <is>
          <t>Total Operating Expenses</t>
        </is>
      </c>
      <c r="P2" s="2" t="inlineStr">
        <is>
          <t>Operating Profit (EBIT)</t>
        </is>
      </c>
      <c r="Q2" s="2" t="inlineStr">
        <is>
          <t>Interest Expense</t>
        </is>
      </c>
      <c r="R2" s="2" t="inlineStr">
        <is>
          <t>Profit Before Tax</t>
        </is>
      </c>
      <c r="S2" s="13" t="inlineStr">
        <is>
          <t>Income Tax</t>
        </is>
      </c>
      <c r="T2" s="2" t="inlineStr">
        <is>
          <t>Net Profit</t>
        </is>
      </c>
      <c r="U2" s="2" t="inlineStr">
        <is>
          <t>Investor Payout/Profit Distribution</t>
        </is>
      </c>
      <c r="V2" s="2" t="inlineStr">
        <is>
          <t>Retained Profits</t>
        </is>
      </c>
      <c r="W2" s="2" t="n"/>
      <c r="X2" s="2" t="n"/>
      <c r="Y2" s="2" t="n"/>
      <c r="Z2" s="2" t="n"/>
      <c r="AA2" s="2" t="n"/>
      <c r="AB2" s="2" t="n"/>
    </row>
    <row r="3">
      <c r="A3" s="7" t="n">
        <v>1</v>
      </c>
      <c r="B3" s="7" t="n">
        <v>1</v>
      </c>
      <c r="C3" s="6">
        <f>Fleet_Schedule!$G3</f>
        <v/>
      </c>
      <c r="D3" s="8">
        <f>$C3*Assumptions!$B$5</f>
        <v/>
      </c>
      <c r="E3" s="8">
        <f>$C3*Assumptions!$B$8</f>
        <v/>
      </c>
      <c r="F3" s="8">
        <f>$C3*Assumptions!$B$9</f>
        <v/>
      </c>
      <c r="G3" s="8">
        <f>$C3*Assumptions!$B$10</f>
        <v/>
      </c>
      <c r="H3" s="8">
        <f>$C3*Assumptions!$B$11</f>
        <v/>
      </c>
      <c r="I3" s="8">
        <f>$C3*Assumptions!$B$12</f>
        <v/>
      </c>
      <c r="J3" s="8">
        <f>$C3*Assumptions!$B$13</f>
        <v/>
      </c>
      <c r="K3" s="8">
        <f>$C3*Assumptions!$B$14</f>
        <v/>
      </c>
      <c r="L3" s="8">
        <f>SUM(E3:K3)</f>
        <v/>
      </c>
      <c r="M3" s="8">
        <f>D3-L3</f>
        <v/>
      </c>
      <c r="N3" s="8">
        <f>$C3*Assumptions!$B$17</f>
        <v/>
      </c>
      <c r="O3" s="8">
        <f>SUM(N3)</f>
        <v/>
      </c>
      <c r="P3" s="8">
        <f>M3-O3</f>
        <v/>
      </c>
      <c r="Q3" s="8">
        <f>Cash_Flow!$F3</f>
        <v/>
      </c>
      <c r="R3" s="8">
        <f>$P3-$Q3</f>
        <v/>
      </c>
      <c r="S3" s="8">
        <f>Assumptions!$B$21*MAX(0,$R3)</f>
        <v/>
      </c>
      <c r="T3" s="8">
        <f>$R3-$S3</f>
        <v/>
      </c>
      <c r="U3" s="8">
        <f>Cash_Flow!$I3</f>
        <v/>
      </c>
      <c r="V3" s="8">
        <f>$T3-$U3</f>
        <v/>
      </c>
      <c r="W3" s="8" t="n"/>
      <c r="X3" s="8" t="n"/>
      <c r="Y3" s="8" t="n"/>
      <c r="Z3" s="8" t="n"/>
      <c r="AA3" s="8" t="n"/>
      <c r="AB3" s="8" t="n"/>
    </row>
    <row r="4">
      <c r="A4" s="7" t="n">
        <v>1</v>
      </c>
      <c r="B4" s="7" t="n">
        <v>2</v>
      </c>
      <c r="C4" s="6">
        <f>Fleet_Schedule!$G4</f>
        <v/>
      </c>
      <c r="D4" s="8">
        <f>$C4*Assumptions!$B$5</f>
        <v/>
      </c>
      <c r="E4" s="8">
        <f>$C4*Assumptions!$B$8</f>
        <v/>
      </c>
      <c r="F4" s="8">
        <f>$C4*Assumptions!$B$9</f>
        <v/>
      </c>
      <c r="G4" s="8">
        <f>$C4*Assumptions!$B$10</f>
        <v/>
      </c>
      <c r="H4" s="8">
        <f>$C4*Assumptions!$B$11</f>
        <v/>
      </c>
      <c r="I4" s="8">
        <f>$C4*Assumptions!$B$12</f>
        <v/>
      </c>
      <c r="J4" s="8">
        <f>$C4*Assumptions!$B$13</f>
        <v/>
      </c>
      <c r="K4" s="8">
        <f>$C4*Assumptions!$B$14</f>
        <v/>
      </c>
      <c r="L4" s="8">
        <f>SUM(E4:K4)</f>
        <v/>
      </c>
      <c r="M4" s="8">
        <f>D4-L4</f>
        <v/>
      </c>
      <c r="N4" s="8">
        <f>$C4*Assumptions!$B$17</f>
        <v/>
      </c>
      <c r="O4" s="8">
        <f>SUM(N4)</f>
        <v/>
      </c>
      <c r="P4" s="8">
        <f>M4-O4</f>
        <v/>
      </c>
      <c r="Q4" s="8">
        <f>Cash_Flow!$F4</f>
        <v/>
      </c>
      <c r="R4" s="8">
        <f>$P4-$Q4</f>
        <v/>
      </c>
      <c r="S4" s="8">
        <f>Assumptions!$B$21*MAX(0,$R4)</f>
        <v/>
      </c>
      <c r="T4" s="8">
        <f>$R4-$S4</f>
        <v/>
      </c>
      <c r="U4" s="8">
        <f>Cash_Flow!$I4</f>
        <v/>
      </c>
      <c r="V4" s="8">
        <f>$T4-$U4</f>
        <v/>
      </c>
      <c r="W4" s="8" t="n"/>
      <c r="X4" s="8" t="n"/>
      <c r="Y4" s="8" t="n"/>
      <c r="Z4" s="8" t="n"/>
      <c r="AA4" s="8" t="n"/>
      <c r="AB4" s="8" t="n"/>
    </row>
    <row r="5">
      <c r="A5" s="7" t="n">
        <v>1</v>
      </c>
      <c r="B5" s="7" t="n">
        <v>3</v>
      </c>
      <c r="C5" s="6">
        <f>Fleet_Schedule!$G5</f>
        <v/>
      </c>
      <c r="D5" s="8">
        <f>$C5*Assumptions!$B$5</f>
        <v/>
      </c>
      <c r="E5" s="8">
        <f>$C5*Assumptions!$B$8</f>
        <v/>
      </c>
      <c r="F5" s="8">
        <f>$C5*Assumptions!$B$9</f>
        <v/>
      </c>
      <c r="G5" s="8">
        <f>$C5*Assumptions!$B$10</f>
        <v/>
      </c>
      <c r="H5" s="8">
        <f>$C5*Assumptions!$B$11</f>
        <v/>
      </c>
      <c r="I5" s="8">
        <f>$C5*Assumptions!$B$12</f>
        <v/>
      </c>
      <c r="J5" s="8">
        <f>$C5*Assumptions!$B$13</f>
        <v/>
      </c>
      <c r="K5" s="8">
        <f>$C5*Assumptions!$B$14</f>
        <v/>
      </c>
      <c r="L5" s="8">
        <f>SUM(E5:K5)</f>
        <v/>
      </c>
      <c r="M5" s="8">
        <f>D5-L5</f>
        <v/>
      </c>
      <c r="N5" s="8">
        <f>$C5*Assumptions!$B$17</f>
        <v/>
      </c>
      <c r="O5" s="8">
        <f>SUM(N5)</f>
        <v/>
      </c>
      <c r="P5" s="8">
        <f>M5-O5</f>
        <v/>
      </c>
      <c r="Q5" s="8">
        <f>Cash_Flow!$F5</f>
        <v/>
      </c>
      <c r="R5" s="8">
        <f>$P5-$Q5</f>
        <v/>
      </c>
      <c r="S5" s="8">
        <f>Assumptions!$B$21*MAX(0,$R5)</f>
        <v/>
      </c>
      <c r="T5" s="8">
        <f>$R5-$S5</f>
        <v/>
      </c>
      <c r="U5" s="8">
        <f>Cash_Flow!$I5</f>
        <v/>
      </c>
      <c r="V5" s="8">
        <f>$T5-$U5</f>
        <v/>
      </c>
      <c r="W5" s="8" t="n"/>
      <c r="X5" s="8" t="n"/>
      <c r="Y5" s="8" t="n"/>
      <c r="Z5" s="8" t="n"/>
      <c r="AA5" s="8" t="n"/>
      <c r="AB5" s="8" t="n"/>
    </row>
    <row r="6">
      <c r="A6" s="7" t="n">
        <v>1</v>
      </c>
      <c r="B6" s="7" t="n">
        <v>4</v>
      </c>
      <c r="C6" s="6">
        <f>Fleet_Schedule!$G6</f>
        <v/>
      </c>
      <c r="D6" s="8">
        <f>$C6*Assumptions!$B$5</f>
        <v/>
      </c>
      <c r="E6" s="8">
        <f>$C6*Assumptions!$B$8</f>
        <v/>
      </c>
      <c r="F6" s="8">
        <f>$C6*Assumptions!$B$9</f>
        <v/>
      </c>
      <c r="G6" s="8">
        <f>$C6*Assumptions!$B$10</f>
        <v/>
      </c>
      <c r="H6" s="8">
        <f>$C6*Assumptions!$B$11</f>
        <v/>
      </c>
      <c r="I6" s="8">
        <f>$C6*Assumptions!$B$12</f>
        <v/>
      </c>
      <c r="J6" s="8">
        <f>$C6*Assumptions!$B$13</f>
        <v/>
      </c>
      <c r="K6" s="8">
        <f>$C6*Assumptions!$B$14</f>
        <v/>
      </c>
      <c r="L6" s="8">
        <f>SUM(E6:K6)</f>
        <v/>
      </c>
      <c r="M6" s="8">
        <f>D6-L6</f>
        <v/>
      </c>
      <c r="N6" s="8">
        <f>$C6*Assumptions!$B$17</f>
        <v/>
      </c>
      <c r="O6" s="8">
        <f>SUM(N6)</f>
        <v/>
      </c>
      <c r="P6" s="8">
        <f>M6-O6</f>
        <v/>
      </c>
      <c r="Q6" s="8">
        <f>Cash_Flow!$F6</f>
        <v/>
      </c>
      <c r="R6" s="8">
        <f>$P6-$Q6</f>
        <v/>
      </c>
      <c r="S6" s="8">
        <f>Assumptions!$B$21*MAX(0,$R6)</f>
        <v/>
      </c>
      <c r="T6" s="8">
        <f>$R6-$S6</f>
        <v/>
      </c>
      <c r="U6" s="8">
        <f>Cash_Flow!$I6</f>
        <v/>
      </c>
      <c r="V6" s="8">
        <f>$T6-$U6</f>
        <v/>
      </c>
      <c r="W6" s="8" t="n"/>
      <c r="X6" s="8" t="n"/>
      <c r="Y6" s="8" t="n"/>
      <c r="Z6" s="8" t="n"/>
      <c r="AA6" s="8" t="n"/>
      <c r="AB6" s="8" t="n"/>
    </row>
    <row r="7">
      <c r="A7" s="7" t="n">
        <v>1</v>
      </c>
      <c r="B7" s="7" t="n">
        <v>5</v>
      </c>
      <c r="C7" s="6">
        <f>Fleet_Schedule!$G7</f>
        <v/>
      </c>
      <c r="D7" s="8">
        <f>$C7*Assumptions!$B$5</f>
        <v/>
      </c>
      <c r="E7" s="8">
        <f>$C7*Assumptions!$B$8</f>
        <v/>
      </c>
      <c r="F7" s="8">
        <f>$C7*Assumptions!$B$9</f>
        <v/>
      </c>
      <c r="G7" s="8">
        <f>$C7*Assumptions!$B$10</f>
        <v/>
      </c>
      <c r="H7" s="8">
        <f>$C7*Assumptions!$B$11</f>
        <v/>
      </c>
      <c r="I7" s="8">
        <f>$C7*Assumptions!$B$12</f>
        <v/>
      </c>
      <c r="J7" s="8">
        <f>$C7*Assumptions!$B$13</f>
        <v/>
      </c>
      <c r="K7" s="8">
        <f>$C7*Assumptions!$B$14</f>
        <v/>
      </c>
      <c r="L7" s="8">
        <f>SUM(E7:K7)</f>
        <v/>
      </c>
      <c r="M7" s="8">
        <f>D7-L7</f>
        <v/>
      </c>
      <c r="N7" s="8">
        <f>$C7*Assumptions!$B$17</f>
        <v/>
      </c>
      <c r="O7" s="8">
        <f>SUM(N7)</f>
        <v/>
      </c>
      <c r="P7" s="8">
        <f>M7-O7</f>
        <v/>
      </c>
      <c r="Q7" s="8">
        <f>Cash_Flow!$F7</f>
        <v/>
      </c>
      <c r="R7" s="8">
        <f>$P7-$Q7</f>
        <v/>
      </c>
      <c r="S7" s="8">
        <f>Assumptions!$B$21*MAX(0,$R7)</f>
        <v/>
      </c>
      <c r="T7" s="8">
        <f>$R7-$S7</f>
        <v/>
      </c>
      <c r="U7" s="8">
        <f>Cash_Flow!$I7</f>
        <v/>
      </c>
      <c r="V7" s="8">
        <f>$T7-$U7</f>
        <v/>
      </c>
      <c r="Y7" s="8" t="n"/>
      <c r="Z7" s="8" t="n"/>
      <c r="AA7" s="8" t="n"/>
      <c r="AB7" s="8" t="n"/>
    </row>
    <row r="8">
      <c r="A8" s="7" t="n">
        <v>1</v>
      </c>
      <c r="B8" s="7" t="n">
        <v>6</v>
      </c>
      <c r="C8" s="6">
        <f>Fleet_Schedule!$G8</f>
        <v/>
      </c>
      <c r="D8" s="8">
        <f>$C8*Assumptions!$B$5</f>
        <v/>
      </c>
      <c r="E8" s="8">
        <f>$C8*Assumptions!$B$8</f>
        <v/>
      </c>
      <c r="F8" s="8">
        <f>$C8*Assumptions!$B$9</f>
        <v/>
      </c>
      <c r="G8" s="8">
        <f>$C8*Assumptions!$B$10</f>
        <v/>
      </c>
      <c r="H8" s="8">
        <f>$C8*Assumptions!$B$11</f>
        <v/>
      </c>
      <c r="I8" s="8">
        <f>$C8*Assumptions!$B$12</f>
        <v/>
      </c>
      <c r="J8" s="8">
        <f>$C8*Assumptions!$B$13</f>
        <v/>
      </c>
      <c r="K8" s="8">
        <f>$C8*Assumptions!$B$14</f>
        <v/>
      </c>
      <c r="L8" s="8">
        <f>SUM(E8:K8)</f>
        <v/>
      </c>
      <c r="M8" s="8">
        <f>D8-L8</f>
        <v/>
      </c>
      <c r="N8" s="8">
        <f>$C8*Assumptions!$B$17</f>
        <v/>
      </c>
      <c r="O8" s="8">
        <f>SUM(N8)</f>
        <v/>
      </c>
      <c r="P8" s="8">
        <f>M8-O8</f>
        <v/>
      </c>
      <c r="Q8" s="8">
        <f>Cash_Flow!$F8</f>
        <v/>
      </c>
      <c r="R8" s="8">
        <f>$P8-$Q8</f>
        <v/>
      </c>
      <c r="S8" s="8">
        <f>Assumptions!$B$21*MAX(0,$R8)</f>
        <v/>
      </c>
      <c r="T8" s="8">
        <f>$R8-$S8</f>
        <v/>
      </c>
      <c r="U8" s="8">
        <f>Cash_Flow!$I8</f>
        <v/>
      </c>
      <c r="V8" s="8">
        <f>$T8-$U8</f>
        <v/>
      </c>
      <c r="Y8" s="8" t="n"/>
      <c r="Z8" s="8" t="n"/>
      <c r="AA8" s="8" t="n"/>
      <c r="AB8" s="8" t="n"/>
    </row>
    <row r="9">
      <c r="A9" s="7" t="n">
        <v>1</v>
      </c>
      <c r="B9" s="7" t="n">
        <v>7</v>
      </c>
      <c r="C9" s="6">
        <f>Fleet_Schedule!$G9</f>
        <v/>
      </c>
      <c r="D9" s="8">
        <f>$C9*Assumptions!$B$5</f>
        <v/>
      </c>
      <c r="E9" s="8">
        <f>$C9*Assumptions!$B$8</f>
        <v/>
      </c>
      <c r="F9" s="8">
        <f>$C9*Assumptions!$B$9</f>
        <v/>
      </c>
      <c r="G9" s="8">
        <f>$C9*Assumptions!$B$10</f>
        <v/>
      </c>
      <c r="H9" s="8">
        <f>$C9*Assumptions!$B$11</f>
        <v/>
      </c>
      <c r="I9" s="8">
        <f>$C9*Assumptions!$B$12</f>
        <v/>
      </c>
      <c r="J9" s="8">
        <f>$C9*Assumptions!$B$13</f>
        <v/>
      </c>
      <c r="K9" s="8">
        <f>$C9*Assumptions!$B$14</f>
        <v/>
      </c>
      <c r="L9" s="8">
        <f>SUM(E9:K9)</f>
        <v/>
      </c>
      <c r="M9" s="8">
        <f>D9-L9</f>
        <v/>
      </c>
      <c r="N9" s="8">
        <f>$C9*Assumptions!$B$17</f>
        <v/>
      </c>
      <c r="O9" s="8">
        <f>SUM(N9)</f>
        <v/>
      </c>
      <c r="P9" s="8">
        <f>M9-O9</f>
        <v/>
      </c>
      <c r="Q9" s="8">
        <f>Cash_Flow!$F9</f>
        <v/>
      </c>
      <c r="R9" s="8">
        <f>$P9-$Q9</f>
        <v/>
      </c>
      <c r="S9" s="8">
        <f>Assumptions!$B$21*MAX(0,$R9)</f>
        <v/>
      </c>
      <c r="T9" s="8">
        <f>$R9-$S9</f>
        <v/>
      </c>
      <c r="U9" s="8">
        <f>Cash_Flow!$I9</f>
        <v/>
      </c>
      <c r="V9" s="8">
        <f>$T9-$U9</f>
        <v/>
      </c>
      <c r="W9" s="8" t="n"/>
      <c r="X9" s="8" t="n"/>
      <c r="Y9" s="8" t="n"/>
      <c r="Z9" s="8" t="n"/>
      <c r="AA9" s="8" t="n"/>
      <c r="AB9" s="8" t="n"/>
    </row>
    <row r="10">
      <c r="A10" s="7" t="n">
        <v>1</v>
      </c>
      <c r="B10" s="7" t="n">
        <v>8</v>
      </c>
      <c r="C10" s="6">
        <f>Fleet_Schedule!$G10</f>
        <v/>
      </c>
      <c r="D10" s="8">
        <f>$C10*Assumptions!$B$5</f>
        <v/>
      </c>
      <c r="E10" s="8">
        <f>$C10*Assumptions!$B$8</f>
        <v/>
      </c>
      <c r="F10" s="8">
        <f>$C10*Assumptions!$B$9</f>
        <v/>
      </c>
      <c r="G10" s="8">
        <f>$C10*Assumptions!$B$10</f>
        <v/>
      </c>
      <c r="H10" s="8">
        <f>$C10*Assumptions!$B$11</f>
        <v/>
      </c>
      <c r="I10" s="8">
        <f>$C10*Assumptions!$B$12</f>
        <v/>
      </c>
      <c r="J10" s="8">
        <f>$C10*Assumptions!$B$13</f>
        <v/>
      </c>
      <c r="K10" s="8">
        <f>$C10*Assumptions!$B$14</f>
        <v/>
      </c>
      <c r="L10" s="8">
        <f>SUM(E10:K10)</f>
        <v/>
      </c>
      <c r="M10" s="8">
        <f>D10-L10</f>
        <v/>
      </c>
      <c r="N10" s="8">
        <f>$C10*Assumptions!$B$17</f>
        <v/>
      </c>
      <c r="O10" s="8">
        <f>SUM(N10)</f>
        <v/>
      </c>
      <c r="P10" s="8">
        <f>M10-O10</f>
        <v/>
      </c>
      <c r="Q10" s="8">
        <f>Cash_Flow!$F10</f>
        <v/>
      </c>
      <c r="R10" s="8">
        <f>$P10-$Q10</f>
        <v/>
      </c>
      <c r="S10" s="8">
        <f>Assumptions!$B$21*MAX(0,$R10)</f>
        <v/>
      </c>
      <c r="T10" s="8">
        <f>$R10-$S10</f>
        <v/>
      </c>
      <c r="U10" s="8">
        <f>Cash_Flow!$I10</f>
        <v/>
      </c>
      <c r="V10" s="8">
        <f>$T10-$U10</f>
        <v/>
      </c>
      <c r="W10" s="8" t="n"/>
      <c r="X10" s="8" t="n"/>
      <c r="Y10" s="8" t="n"/>
      <c r="Z10" s="8" t="n"/>
      <c r="AA10" s="8" t="n"/>
      <c r="AB10" s="8" t="n"/>
    </row>
    <row r="11">
      <c r="A11" s="7" t="n">
        <v>1</v>
      </c>
      <c r="B11" s="7" t="n">
        <v>9</v>
      </c>
      <c r="C11" s="6">
        <f>Fleet_Schedule!$G11</f>
        <v/>
      </c>
      <c r="D11" s="8">
        <f>$C11*Assumptions!$B$5</f>
        <v/>
      </c>
      <c r="E11" s="8">
        <f>$C11*Assumptions!$B$8</f>
        <v/>
      </c>
      <c r="F11" s="8">
        <f>$C11*Assumptions!$B$9</f>
        <v/>
      </c>
      <c r="G11" s="8">
        <f>$C11*Assumptions!$B$10</f>
        <v/>
      </c>
      <c r="H11" s="8">
        <f>$C11*Assumptions!$B$11</f>
        <v/>
      </c>
      <c r="I11" s="8">
        <f>$C11*Assumptions!$B$12</f>
        <v/>
      </c>
      <c r="J11" s="8">
        <f>$C11*Assumptions!$B$13</f>
        <v/>
      </c>
      <c r="K11" s="8">
        <f>$C11*Assumptions!$B$14</f>
        <v/>
      </c>
      <c r="L11" s="8">
        <f>SUM(E11:K11)</f>
        <v/>
      </c>
      <c r="M11" s="8">
        <f>D11-L11</f>
        <v/>
      </c>
      <c r="N11" s="8">
        <f>$C11*Assumptions!$B$17</f>
        <v/>
      </c>
      <c r="O11" s="8">
        <f>SUM(N11)</f>
        <v/>
      </c>
      <c r="P11" s="8">
        <f>M11-O11</f>
        <v/>
      </c>
      <c r="Q11" s="8">
        <f>Cash_Flow!$F11</f>
        <v/>
      </c>
      <c r="R11" s="8">
        <f>$P11-$Q11</f>
        <v/>
      </c>
      <c r="S11" s="8">
        <f>Assumptions!$B$21*MAX(0,$R11)</f>
        <v/>
      </c>
      <c r="T11" s="8">
        <f>$R11-$S11</f>
        <v/>
      </c>
      <c r="U11" s="8">
        <f>Cash_Flow!$I11</f>
        <v/>
      </c>
      <c r="V11" s="8">
        <f>$T11-$U11</f>
        <v/>
      </c>
      <c r="W11" s="8" t="n"/>
      <c r="X11" s="8" t="n"/>
      <c r="Y11" s="8" t="n"/>
      <c r="Z11" s="8" t="n"/>
      <c r="AA11" s="8" t="n"/>
      <c r="AB11" s="8" t="n"/>
    </row>
    <row r="12">
      <c r="A12" s="7" t="n">
        <v>1</v>
      </c>
      <c r="B12" s="7" t="n">
        <v>10</v>
      </c>
      <c r="C12" s="6">
        <f>Fleet_Schedule!$G12</f>
        <v/>
      </c>
      <c r="D12" s="8">
        <f>$C12*Assumptions!$B$5</f>
        <v/>
      </c>
      <c r="E12" s="8">
        <f>$C12*Assumptions!$B$8</f>
        <v/>
      </c>
      <c r="F12" s="8">
        <f>$C12*Assumptions!$B$9</f>
        <v/>
      </c>
      <c r="G12" s="8">
        <f>$C12*Assumptions!$B$10</f>
        <v/>
      </c>
      <c r="H12" s="8">
        <f>$C12*Assumptions!$B$11</f>
        <v/>
      </c>
      <c r="I12" s="8">
        <f>$C12*Assumptions!$B$12</f>
        <v/>
      </c>
      <c r="J12" s="8">
        <f>$C12*Assumptions!$B$13</f>
        <v/>
      </c>
      <c r="K12" s="8">
        <f>$C12*Assumptions!$B$14</f>
        <v/>
      </c>
      <c r="L12" s="8">
        <f>SUM(E12:K12)</f>
        <v/>
      </c>
      <c r="M12" s="8">
        <f>D12-L12</f>
        <v/>
      </c>
      <c r="N12" s="8">
        <f>$C12*Assumptions!$B$17</f>
        <v/>
      </c>
      <c r="O12" s="8">
        <f>SUM(N12)</f>
        <v/>
      </c>
      <c r="P12" s="8">
        <f>M12-O12</f>
        <v/>
      </c>
      <c r="Q12" s="8">
        <f>Cash_Flow!$F12</f>
        <v/>
      </c>
      <c r="R12" s="8">
        <f>$P12-$Q12</f>
        <v/>
      </c>
      <c r="S12" s="8">
        <f>Assumptions!$B$21*MAX(0,$R12)</f>
        <v/>
      </c>
      <c r="T12" s="8">
        <f>$R12-$S12</f>
        <v/>
      </c>
      <c r="U12" s="8">
        <f>Cash_Flow!$I12</f>
        <v/>
      </c>
      <c r="V12" s="8">
        <f>$T12-$U12</f>
        <v/>
      </c>
      <c r="W12" s="8" t="n"/>
      <c r="X12" s="8" t="n"/>
      <c r="Y12" s="8" t="n"/>
      <c r="Z12" s="8" t="n"/>
      <c r="AA12" s="8" t="n"/>
      <c r="AB12" s="8" t="n"/>
    </row>
    <row r="13">
      <c r="A13" s="7" t="n">
        <v>1</v>
      </c>
      <c r="B13" s="7" t="n">
        <v>11</v>
      </c>
      <c r="C13" s="6">
        <f>Fleet_Schedule!$G13</f>
        <v/>
      </c>
      <c r="D13" s="8">
        <f>$C13*Assumptions!$B$5</f>
        <v/>
      </c>
      <c r="E13" s="8">
        <f>$C13*Assumptions!$B$8</f>
        <v/>
      </c>
      <c r="F13" s="8">
        <f>$C13*Assumptions!$B$9</f>
        <v/>
      </c>
      <c r="G13" s="8">
        <f>$C13*Assumptions!$B$10</f>
        <v/>
      </c>
      <c r="H13" s="8">
        <f>$C13*Assumptions!$B$11</f>
        <v/>
      </c>
      <c r="I13" s="8">
        <f>$C13*Assumptions!$B$12</f>
        <v/>
      </c>
      <c r="J13" s="8">
        <f>$C13*Assumptions!$B$13</f>
        <v/>
      </c>
      <c r="K13" s="8">
        <f>$C13*Assumptions!$B$14</f>
        <v/>
      </c>
      <c r="L13" s="8">
        <f>SUM(E13:K13)</f>
        <v/>
      </c>
      <c r="M13" s="8">
        <f>D13-L13</f>
        <v/>
      </c>
      <c r="N13" s="8">
        <f>$C13*Assumptions!$B$17</f>
        <v/>
      </c>
      <c r="O13" s="8">
        <f>SUM(N13)</f>
        <v/>
      </c>
      <c r="P13" s="8">
        <f>M13-O13</f>
        <v/>
      </c>
      <c r="Q13" s="8">
        <f>Cash_Flow!$F13</f>
        <v/>
      </c>
      <c r="R13" s="8">
        <f>$P13-$Q13</f>
        <v/>
      </c>
      <c r="S13" s="8">
        <f>Assumptions!$B$21*MAX(0,$R13)</f>
        <v/>
      </c>
      <c r="T13" s="8">
        <f>$R13-$S13</f>
        <v/>
      </c>
      <c r="U13" s="8">
        <f>Cash_Flow!$I13</f>
        <v/>
      </c>
      <c r="V13" s="8">
        <f>$T13-$U13</f>
        <v/>
      </c>
      <c r="W13" s="8" t="n"/>
      <c r="X13" s="8" t="n"/>
      <c r="Y13" s="8" t="n"/>
      <c r="Z13" s="8" t="n"/>
      <c r="AA13" s="8" t="n"/>
      <c r="AB13" s="8" t="n"/>
    </row>
    <row r="14">
      <c r="A14" s="7" t="n">
        <v>1</v>
      </c>
      <c r="B14" s="7" t="n">
        <v>12</v>
      </c>
      <c r="C14" s="6">
        <f>Fleet_Schedule!$G14</f>
        <v/>
      </c>
      <c r="D14" s="8">
        <f>$C14*Assumptions!$B$5</f>
        <v/>
      </c>
      <c r="E14" s="8">
        <f>$C14*Assumptions!$B$8</f>
        <v/>
      </c>
      <c r="F14" s="8">
        <f>$C14*Assumptions!$B$9</f>
        <v/>
      </c>
      <c r="G14" s="8">
        <f>$C14*Assumptions!$B$10</f>
        <v/>
      </c>
      <c r="H14" s="8">
        <f>$C14*Assumptions!$B$11</f>
        <v/>
      </c>
      <c r="I14" s="8">
        <f>$C14*Assumptions!$B$12</f>
        <v/>
      </c>
      <c r="J14" s="8">
        <f>$C14*Assumptions!$B$13</f>
        <v/>
      </c>
      <c r="K14" s="8">
        <f>$C14*Assumptions!$B$14</f>
        <v/>
      </c>
      <c r="L14" s="8">
        <f>SUM(E14:K14)</f>
        <v/>
      </c>
      <c r="M14" s="8">
        <f>D14-L14</f>
        <v/>
      </c>
      <c r="N14" s="8">
        <f>$C14*Assumptions!$B$17</f>
        <v/>
      </c>
      <c r="O14" s="8">
        <f>SUM(N14)</f>
        <v/>
      </c>
      <c r="P14" s="8">
        <f>M14-O14</f>
        <v/>
      </c>
      <c r="Q14" s="8">
        <f>Cash_Flow!$F14</f>
        <v/>
      </c>
      <c r="R14" s="8">
        <f>$P14-$Q14</f>
        <v/>
      </c>
      <c r="S14" s="8">
        <f>Assumptions!$B$21*MAX(0,$R14)</f>
        <v/>
      </c>
      <c r="T14" s="8">
        <f>$R14-$S14</f>
        <v/>
      </c>
      <c r="U14" s="8">
        <f>Cash_Flow!$I14</f>
        <v/>
      </c>
      <c r="V14" s="8">
        <f>$T14-$U14</f>
        <v/>
      </c>
      <c r="W14" s="8" t="n"/>
      <c r="X14" s="8" t="n"/>
      <c r="Y14" s="8" t="n"/>
      <c r="Z14" s="8" t="n"/>
      <c r="AA14" s="8" t="n"/>
      <c r="AB14" s="8" t="n"/>
    </row>
    <row r="15">
      <c r="A15" s="7" t="n">
        <v>2</v>
      </c>
      <c r="B15" s="7" t="n">
        <v>13</v>
      </c>
      <c r="C15" s="6">
        <f>Fleet_Schedule!$G15</f>
        <v/>
      </c>
      <c r="D15" s="8">
        <f>$C15*Assumptions!$B$5</f>
        <v/>
      </c>
      <c r="E15" s="8">
        <f>$C15*Assumptions!$B$8</f>
        <v/>
      </c>
      <c r="F15" s="8">
        <f>$C15*Assumptions!$B$9</f>
        <v/>
      </c>
      <c r="G15" s="8">
        <f>$C15*Assumptions!$B$10</f>
        <v/>
      </c>
      <c r="H15" s="8">
        <f>$C15*Assumptions!$B$11</f>
        <v/>
      </c>
      <c r="I15" s="8">
        <f>$C15*Assumptions!$B$12</f>
        <v/>
      </c>
      <c r="J15" s="8">
        <f>$C15*Assumptions!$B$13</f>
        <v/>
      </c>
      <c r="K15" s="8">
        <f>$C15*Assumptions!$B$14</f>
        <v/>
      </c>
      <c r="L15" s="8">
        <f>SUM(E15:K15)</f>
        <v/>
      </c>
      <c r="M15" s="8">
        <f>D15-L15</f>
        <v/>
      </c>
      <c r="N15" s="8">
        <f>$C15*Assumptions!$B$17</f>
        <v/>
      </c>
      <c r="O15" s="8">
        <f>SUM(N15)</f>
        <v/>
      </c>
      <c r="P15" s="8">
        <f>M15-O15</f>
        <v/>
      </c>
      <c r="Q15" s="8">
        <f>Cash_Flow!$F15</f>
        <v/>
      </c>
      <c r="R15" s="8">
        <f>$P15-$Q15</f>
        <v/>
      </c>
      <c r="S15" s="8">
        <f>Assumptions!$B$21*MAX(0,$R15)</f>
        <v/>
      </c>
      <c r="T15" s="8">
        <f>$R15-$S15</f>
        <v/>
      </c>
      <c r="U15" s="8">
        <f>Cash_Flow!$I15</f>
        <v/>
      </c>
      <c r="V15" s="8">
        <f>$T15-$U15</f>
        <v/>
      </c>
      <c r="W15" s="8" t="n"/>
      <c r="X15" s="8" t="n"/>
      <c r="Y15" s="8" t="n"/>
      <c r="Z15" s="8" t="n"/>
      <c r="AA15" s="8" t="n"/>
      <c r="AB15" s="8" t="n"/>
    </row>
    <row r="16">
      <c r="A16" s="7" t="n">
        <v>2</v>
      </c>
      <c r="B16" s="7" t="n">
        <v>14</v>
      </c>
      <c r="C16" s="6">
        <f>Fleet_Schedule!$G16</f>
        <v/>
      </c>
      <c r="D16" s="8">
        <f>$C16*Assumptions!$B$5</f>
        <v/>
      </c>
      <c r="E16" s="8">
        <f>$C16*Assumptions!$B$8</f>
        <v/>
      </c>
      <c r="F16" s="8">
        <f>$C16*Assumptions!$B$9</f>
        <v/>
      </c>
      <c r="G16" s="8">
        <f>$C16*Assumptions!$B$10</f>
        <v/>
      </c>
      <c r="H16" s="8">
        <f>$C16*Assumptions!$B$11</f>
        <v/>
      </c>
      <c r="I16" s="8">
        <f>$C16*Assumptions!$B$12</f>
        <v/>
      </c>
      <c r="J16" s="8">
        <f>$C16*Assumptions!$B$13</f>
        <v/>
      </c>
      <c r="K16" s="8">
        <f>$C16*Assumptions!$B$14</f>
        <v/>
      </c>
      <c r="L16" s="8">
        <f>SUM(E16:K16)</f>
        <v/>
      </c>
      <c r="M16" s="8">
        <f>D16-L16</f>
        <v/>
      </c>
      <c r="N16" s="8">
        <f>$C16*Assumptions!$B$17</f>
        <v/>
      </c>
      <c r="O16" s="8">
        <f>SUM(N16)</f>
        <v/>
      </c>
      <c r="P16" s="8">
        <f>M16-O16</f>
        <v/>
      </c>
      <c r="Q16" s="8">
        <f>Cash_Flow!$F16</f>
        <v/>
      </c>
      <c r="R16" s="8">
        <f>$P16-$Q16</f>
        <v/>
      </c>
      <c r="S16" s="8">
        <f>Assumptions!$B$21*MAX(0,$R16)</f>
        <v/>
      </c>
      <c r="T16" s="8">
        <f>$R16-$S16</f>
        <v/>
      </c>
      <c r="U16" s="8">
        <f>Cash_Flow!$I16</f>
        <v/>
      </c>
      <c r="V16" s="8">
        <f>$T16-$U16</f>
        <v/>
      </c>
      <c r="W16" s="8" t="n"/>
      <c r="X16" s="8" t="n"/>
      <c r="Y16" s="8" t="n"/>
      <c r="Z16" s="8" t="n"/>
      <c r="AA16" s="8" t="n"/>
      <c r="AB16" s="8" t="n"/>
    </row>
    <row r="17">
      <c r="A17" s="7" t="n">
        <v>2</v>
      </c>
      <c r="B17" s="7" t="n">
        <v>15</v>
      </c>
      <c r="C17" s="6">
        <f>Fleet_Schedule!$G17</f>
        <v/>
      </c>
      <c r="D17" s="8">
        <f>$C17*Assumptions!$B$5</f>
        <v/>
      </c>
      <c r="E17" s="8">
        <f>$C17*Assumptions!$B$8</f>
        <v/>
      </c>
      <c r="F17" s="8">
        <f>$C17*Assumptions!$B$9</f>
        <v/>
      </c>
      <c r="G17" s="8">
        <f>$C17*Assumptions!$B$10</f>
        <v/>
      </c>
      <c r="H17" s="8">
        <f>$C17*Assumptions!$B$11</f>
        <v/>
      </c>
      <c r="I17" s="8">
        <f>$C17*Assumptions!$B$12</f>
        <v/>
      </c>
      <c r="J17" s="8">
        <f>$C17*Assumptions!$B$13</f>
        <v/>
      </c>
      <c r="K17" s="8">
        <f>$C17*Assumptions!$B$14</f>
        <v/>
      </c>
      <c r="L17" s="8">
        <f>SUM(E17:K17)</f>
        <v/>
      </c>
      <c r="M17" s="8">
        <f>D17-L17</f>
        <v/>
      </c>
      <c r="N17" s="8">
        <f>$C17*Assumptions!$B$17</f>
        <v/>
      </c>
      <c r="O17" s="8">
        <f>SUM(N17)</f>
        <v/>
      </c>
      <c r="P17" s="8">
        <f>M17-O17</f>
        <v/>
      </c>
      <c r="Q17" s="8">
        <f>Cash_Flow!$F17</f>
        <v/>
      </c>
      <c r="R17" s="8">
        <f>$P17-$Q17</f>
        <v/>
      </c>
      <c r="S17" s="8">
        <f>Assumptions!$B$21*MAX(0,$R17)</f>
        <v/>
      </c>
      <c r="T17" s="8">
        <f>$R17-$S17</f>
        <v/>
      </c>
      <c r="U17" s="8">
        <f>Cash_Flow!$I17</f>
        <v/>
      </c>
      <c r="V17" s="8">
        <f>$T17-$U17</f>
        <v/>
      </c>
      <c r="W17" s="8" t="n"/>
      <c r="X17" s="8" t="n"/>
      <c r="Y17" s="8" t="n"/>
      <c r="Z17" s="8" t="n"/>
      <c r="AA17" s="8" t="n"/>
      <c r="AB17" s="8" t="n"/>
    </row>
    <row r="18">
      <c r="A18" s="7" t="n">
        <v>2</v>
      </c>
      <c r="B18" s="7" t="n">
        <v>16</v>
      </c>
      <c r="C18" s="6">
        <f>Fleet_Schedule!$G18</f>
        <v/>
      </c>
      <c r="D18" s="8">
        <f>$C18*Assumptions!$B$5</f>
        <v/>
      </c>
      <c r="E18" s="8">
        <f>$C18*Assumptions!$B$8</f>
        <v/>
      </c>
      <c r="F18" s="8">
        <f>$C18*Assumptions!$B$9</f>
        <v/>
      </c>
      <c r="G18" s="8">
        <f>$C18*Assumptions!$B$10</f>
        <v/>
      </c>
      <c r="H18" s="8">
        <f>$C18*Assumptions!$B$11</f>
        <v/>
      </c>
      <c r="I18" s="8">
        <f>$C18*Assumptions!$B$12</f>
        <v/>
      </c>
      <c r="J18" s="8">
        <f>$C18*Assumptions!$B$13</f>
        <v/>
      </c>
      <c r="K18" s="8">
        <f>$C18*Assumptions!$B$14</f>
        <v/>
      </c>
      <c r="L18" s="8">
        <f>SUM(E18:K18)</f>
        <v/>
      </c>
      <c r="M18" s="8">
        <f>D18-L18</f>
        <v/>
      </c>
      <c r="N18" s="8">
        <f>$C18*Assumptions!$B$17</f>
        <v/>
      </c>
      <c r="O18" s="8">
        <f>SUM(N18)</f>
        <v/>
      </c>
      <c r="P18" s="8">
        <f>M18-O18</f>
        <v/>
      </c>
      <c r="Q18" s="8">
        <f>Cash_Flow!$F18</f>
        <v/>
      </c>
      <c r="R18" s="8">
        <f>$P18-$Q18</f>
        <v/>
      </c>
      <c r="S18" s="8">
        <f>Assumptions!$B$21*MAX(0,$R18)</f>
        <v/>
      </c>
      <c r="T18" s="8">
        <f>$R18-$S18</f>
        <v/>
      </c>
      <c r="U18" s="8">
        <f>Cash_Flow!$I18</f>
        <v/>
      </c>
      <c r="V18" s="8">
        <f>$T18-$U18</f>
        <v/>
      </c>
      <c r="W18" s="8" t="n"/>
      <c r="X18" s="8" t="n"/>
      <c r="Y18" s="8" t="n"/>
      <c r="Z18" s="8" t="n"/>
      <c r="AA18" s="8" t="n"/>
      <c r="AB18" s="8" t="n"/>
    </row>
    <row r="19">
      <c r="A19" s="7" t="n">
        <v>2</v>
      </c>
      <c r="B19" s="7" t="n">
        <v>17</v>
      </c>
      <c r="C19" s="6">
        <f>Fleet_Schedule!$G19</f>
        <v/>
      </c>
      <c r="D19" s="8">
        <f>$C19*Assumptions!$B$5</f>
        <v/>
      </c>
      <c r="E19" s="8">
        <f>$C19*Assumptions!$B$8</f>
        <v/>
      </c>
      <c r="F19" s="8">
        <f>$C19*Assumptions!$B$9</f>
        <v/>
      </c>
      <c r="G19" s="8">
        <f>$C19*Assumptions!$B$10</f>
        <v/>
      </c>
      <c r="H19" s="8">
        <f>$C19*Assumptions!$B$11</f>
        <v/>
      </c>
      <c r="I19" s="8">
        <f>$C19*Assumptions!$B$12</f>
        <v/>
      </c>
      <c r="J19" s="8">
        <f>$C19*Assumptions!$B$13</f>
        <v/>
      </c>
      <c r="K19" s="8">
        <f>$C19*Assumptions!$B$14</f>
        <v/>
      </c>
      <c r="L19" s="8">
        <f>SUM(E19:K19)</f>
        <v/>
      </c>
      <c r="M19" s="8">
        <f>D19-L19</f>
        <v/>
      </c>
      <c r="N19" s="8">
        <f>$C19*Assumptions!$B$17</f>
        <v/>
      </c>
      <c r="O19" s="8">
        <f>SUM(N19)</f>
        <v/>
      </c>
      <c r="P19" s="8">
        <f>M19-O19</f>
        <v/>
      </c>
      <c r="Q19" s="8">
        <f>Cash_Flow!$F19</f>
        <v/>
      </c>
      <c r="R19" s="8">
        <f>$P19-$Q19</f>
        <v/>
      </c>
      <c r="S19" s="8">
        <f>Assumptions!$B$21*MAX(0,$R19)</f>
        <v/>
      </c>
      <c r="T19" s="8">
        <f>$R19-$S19</f>
        <v/>
      </c>
      <c r="U19" s="8">
        <f>Cash_Flow!$I19</f>
        <v/>
      </c>
      <c r="V19" s="8">
        <f>$T19-$U19</f>
        <v/>
      </c>
      <c r="W19" s="8" t="n"/>
      <c r="X19" s="8" t="n"/>
      <c r="Y19" s="8" t="n"/>
      <c r="Z19" s="8" t="n"/>
      <c r="AA19" s="8" t="n"/>
      <c r="AB19" s="8" t="n"/>
    </row>
    <row r="20">
      <c r="A20" s="7" t="n">
        <v>2</v>
      </c>
      <c r="B20" s="7" t="n">
        <v>18</v>
      </c>
      <c r="C20" s="6">
        <f>Fleet_Schedule!$G20</f>
        <v/>
      </c>
      <c r="D20" s="8">
        <f>$C20*Assumptions!$B$5</f>
        <v/>
      </c>
      <c r="E20" s="8">
        <f>$C20*Assumptions!$B$8</f>
        <v/>
      </c>
      <c r="F20" s="8">
        <f>$C20*Assumptions!$B$9</f>
        <v/>
      </c>
      <c r="G20" s="8">
        <f>$C20*Assumptions!$B$10</f>
        <v/>
      </c>
      <c r="H20" s="8">
        <f>$C20*Assumptions!$B$11</f>
        <v/>
      </c>
      <c r="I20" s="8">
        <f>$C20*Assumptions!$B$12</f>
        <v/>
      </c>
      <c r="J20" s="8">
        <f>$C20*Assumptions!$B$13</f>
        <v/>
      </c>
      <c r="K20" s="8">
        <f>$C20*Assumptions!$B$14</f>
        <v/>
      </c>
      <c r="L20" s="8">
        <f>SUM(E20:K20)</f>
        <v/>
      </c>
      <c r="M20" s="8">
        <f>D20-L20</f>
        <v/>
      </c>
      <c r="N20" s="8">
        <f>$C20*Assumptions!$B$17</f>
        <v/>
      </c>
      <c r="O20" s="8">
        <f>SUM(N20)</f>
        <v/>
      </c>
      <c r="P20" s="8">
        <f>M20-O20</f>
        <v/>
      </c>
      <c r="Q20" s="8">
        <f>Cash_Flow!$F20</f>
        <v/>
      </c>
      <c r="R20" s="8">
        <f>$P20-$Q20</f>
        <v/>
      </c>
      <c r="S20" s="8">
        <f>Assumptions!$B$21*MAX(0,$R20)</f>
        <v/>
      </c>
      <c r="T20" s="8">
        <f>$R20-$S20</f>
        <v/>
      </c>
      <c r="U20" s="8">
        <f>Cash_Flow!$I20</f>
        <v/>
      </c>
      <c r="V20" s="8">
        <f>$T20-$U20</f>
        <v/>
      </c>
      <c r="W20" s="8" t="n"/>
      <c r="X20" s="8" t="n"/>
      <c r="Y20" s="8" t="n"/>
      <c r="Z20" s="8" t="n"/>
      <c r="AA20" s="8" t="n"/>
      <c r="AB20" s="8" t="n"/>
    </row>
    <row r="21">
      <c r="A21" s="7" t="n">
        <v>2</v>
      </c>
      <c r="B21" s="7" t="n">
        <v>19</v>
      </c>
      <c r="C21" s="6">
        <f>Fleet_Schedule!$G21</f>
        <v/>
      </c>
      <c r="D21" s="8">
        <f>$C21*Assumptions!$B$5</f>
        <v/>
      </c>
      <c r="E21" s="8">
        <f>$C21*Assumptions!$B$8</f>
        <v/>
      </c>
      <c r="F21" s="8">
        <f>$C21*Assumptions!$B$9</f>
        <v/>
      </c>
      <c r="G21" s="8">
        <f>$C21*Assumptions!$B$10</f>
        <v/>
      </c>
      <c r="H21" s="8">
        <f>$C21*Assumptions!$B$11</f>
        <v/>
      </c>
      <c r="I21" s="8">
        <f>$C21*Assumptions!$B$12</f>
        <v/>
      </c>
      <c r="J21" s="8">
        <f>$C21*Assumptions!$B$13</f>
        <v/>
      </c>
      <c r="K21" s="8">
        <f>$C21*Assumptions!$B$14</f>
        <v/>
      </c>
      <c r="L21" s="8">
        <f>SUM(E21:K21)</f>
        <v/>
      </c>
      <c r="M21" s="8">
        <f>D21-L21</f>
        <v/>
      </c>
      <c r="N21" s="8">
        <f>$C21*Assumptions!$B$17</f>
        <v/>
      </c>
      <c r="O21" s="8">
        <f>SUM(N21)</f>
        <v/>
      </c>
      <c r="P21" s="8">
        <f>M21-O21</f>
        <v/>
      </c>
      <c r="Q21" s="8">
        <f>Cash_Flow!$F21</f>
        <v/>
      </c>
      <c r="R21" s="8">
        <f>$P21-$Q21</f>
        <v/>
      </c>
      <c r="S21" s="8">
        <f>Assumptions!$B$21*MAX(0,$R21)</f>
        <v/>
      </c>
      <c r="T21" s="8">
        <f>$R21-$S21</f>
        <v/>
      </c>
      <c r="U21" s="8">
        <f>Cash_Flow!$I21</f>
        <v/>
      </c>
      <c r="V21" s="8">
        <f>$T21-$U21</f>
        <v/>
      </c>
      <c r="W21" s="8" t="n"/>
      <c r="X21" s="8" t="n"/>
      <c r="Y21" s="8" t="n"/>
      <c r="Z21" s="8" t="n"/>
      <c r="AA21" s="8" t="n"/>
      <c r="AB21" s="8" t="n"/>
    </row>
    <row r="22">
      <c r="A22" s="7" t="n">
        <v>2</v>
      </c>
      <c r="B22" s="7" t="n">
        <v>20</v>
      </c>
      <c r="C22" s="6">
        <f>Fleet_Schedule!$G22</f>
        <v/>
      </c>
      <c r="D22" s="8">
        <f>$C22*Assumptions!$B$5</f>
        <v/>
      </c>
      <c r="E22" s="8">
        <f>$C22*Assumptions!$B$8</f>
        <v/>
      </c>
      <c r="F22" s="8">
        <f>$C22*Assumptions!$B$9</f>
        <v/>
      </c>
      <c r="G22" s="8">
        <f>$C22*Assumptions!$B$10</f>
        <v/>
      </c>
      <c r="H22" s="8">
        <f>$C22*Assumptions!$B$11</f>
        <v/>
      </c>
      <c r="I22" s="8">
        <f>$C22*Assumptions!$B$12</f>
        <v/>
      </c>
      <c r="J22" s="8">
        <f>$C22*Assumptions!$B$13</f>
        <v/>
      </c>
      <c r="K22" s="8">
        <f>$C22*Assumptions!$B$14</f>
        <v/>
      </c>
      <c r="L22" s="8">
        <f>SUM(E22:K22)</f>
        <v/>
      </c>
      <c r="M22" s="8">
        <f>D22-L22</f>
        <v/>
      </c>
      <c r="N22" s="8">
        <f>$C22*Assumptions!$B$17</f>
        <v/>
      </c>
      <c r="O22" s="8">
        <f>SUM(N22)</f>
        <v/>
      </c>
      <c r="P22" s="8">
        <f>M22-O22</f>
        <v/>
      </c>
      <c r="Q22" s="8">
        <f>Cash_Flow!$F22</f>
        <v/>
      </c>
      <c r="R22" s="8">
        <f>$P22-$Q22</f>
        <v/>
      </c>
      <c r="S22" s="8">
        <f>Assumptions!$B$21*MAX(0,$R22)</f>
        <v/>
      </c>
      <c r="T22" s="8">
        <f>$R22-$S22</f>
        <v/>
      </c>
      <c r="U22" s="8">
        <f>Cash_Flow!$I22</f>
        <v/>
      </c>
      <c r="V22" s="8">
        <f>$T22-$U22</f>
        <v/>
      </c>
      <c r="W22" s="8" t="n"/>
      <c r="X22" s="8" t="n"/>
      <c r="Y22" s="8" t="n"/>
      <c r="Z22" s="8" t="n"/>
      <c r="AA22" s="8" t="n"/>
      <c r="AB22" s="8" t="n"/>
    </row>
    <row r="23">
      <c r="A23" s="7" t="n">
        <v>2</v>
      </c>
      <c r="B23" s="7" t="n">
        <v>21</v>
      </c>
      <c r="C23" s="6">
        <f>Fleet_Schedule!$G23</f>
        <v/>
      </c>
      <c r="D23" s="8">
        <f>$C23*Assumptions!$B$5</f>
        <v/>
      </c>
      <c r="E23" s="8">
        <f>$C23*Assumptions!$B$8</f>
        <v/>
      </c>
      <c r="F23" s="8">
        <f>$C23*Assumptions!$B$9</f>
        <v/>
      </c>
      <c r="G23" s="8">
        <f>$C23*Assumptions!$B$10</f>
        <v/>
      </c>
      <c r="H23" s="8">
        <f>$C23*Assumptions!$B$11</f>
        <v/>
      </c>
      <c r="I23" s="8">
        <f>$C23*Assumptions!$B$12</f>
        <v/>
      </c>
      <c r="J23" s="8">
        <f>$C23*Assumptions!$B$13</f>
        <v/>
      </c>
      <c r="K23" s="8">
        <f>$C23*Assumptions!$B$14</f>
        <v/>
      </c>
      <c r="L23" s="8">
        <f>SUM(E23:K23)</f>
        <v/>
      </c>
      <c r="M23" s="8">
        <f>D23-L23</f>
        <v/>
      </c>
      <c r="N23" s="8">
        <f>$C23*Assumptions!$B$17</f>
        <v/>
      </c>
      <c r="O23" s="8">
        <f>SUM(N23)</f>
        <v/>
      </c>
      <c r="P23" s="8">
        <f>M23-O23</f>
        <v/>
      </c>
      <c r="Q23" s="8">
        <f>Cash_Flow!$F23</f>
        <v/>
      </c>
      <c r="R23" s="8">
        <f>$P23-$Q23</f>
        <v/>
      </c>
      <c r="S23" s="8">
        <f>Assumptions!$B$21*MAX(0,$R23)</f>
        <v/>
      </c>
      <c r="T23" s="8">
        <f>$R23-$S23</f>
        <v/>
      </c>
      <c r="U23" s="8">
        <f>Cash_Flow!$I23</f>
        <v/>
      </c>
      <c r="V23" s="8">
        <f>$T23-$U23</f>
        <v/>
      </c>
      <c r="W23" s="8" t="n"/>
      <c r="X23" s="8" t="n"/>
      <c r="Y23" s="8" t="n"/>
      <c r="Z23" s="8" t="n"/>
      <c r="AA23" s="8" t="n"/>
      <c r="AB23" s="8" t="n"/>
    </row>
    <row r="24">
      <c r="A24" s="7" t="n">
        <v>2</v>
      </c>
      <c r="B24" s="7" t="n">
        <v>22</v>
      </c>
      <c r="C24" s="6">
        <f>Fleet_Schedule!$G24</f>
        <v/>
      </c>
      <c r="D24" s="8">
        <f>$C24*Assumptions!$B$5</f>
        <v/>
      </c>
      <c r="E24" s="8">
        <f>$C24*Assumptions!$B$8</f>
        <v/>
      </c>
      <c r="F24" s="8">
        <f>$C24*Assumptions!$B$9</f>
        <v/>
      </c>
      <c r="G24" s="8">
        <f>$C24*Assumptions!$B$10</f>
        <v/>
      </c>
      <c r="H24" s="8">
        <f>$C24*Assumptions!$B$11</f>
        <v/>
      </c>
      <c r="I24" s="8">
        <f>$C24*Assumptions!$B$12</f>
        <v/>
      </c>
      <c r="J24" s="8">
        <f>$C24*Assumptions!$B$13</f>
        <v/>
      </c>
      <c r="K24" s="8">
        <f>$C24*Assumptions!$B$14</f>
        <v/>
      </c>
      <c r="L24" s="8">
        <f>SUM(E24:K24)</f>
        <v/>
      </c>
      <c r="M24" s="8">
        <f>D24-L24</f>
        <v/>
      </c>
      <c r="N24" s="8">
        <f>$C24*Assumptions!$B$17</f>
        <v/>
      </c>
      <c r="O24" s="8">
        <f>SUM(N24)</f>
        <v/>
      </c>
      <c r="P24" s="8">
        <f>M24-O24</f>
        <v/>
      </c>
      <c r="Q24" s="8">
        <f>Cash_Flow!$F24</f>
        <v/>
      </c>
      <c r="R24" s="8">
        <f>$P24-$Q24</f>
        <v/>
      </c>
      <c r="S24" s="8">
        <f>Assumptions!$B$21*MAX(0,$R24)</f>
        <v/>
      </c>
      <c r="T24" s="8">
        <f>$R24-$S24</f>
        <v/>
      </c>
      <c r="U24" s="8">
        <f>Cash_Flow!$I24</f>
        <v/>
      </c>
      <c r="V24" s="8">
        <f>$T24-$U24</f>
        <v/>
      </c>
      <c r="W24" s="8" t="n"/>
      <c r="X24" s="8" t="n"/>
      <c r="Y24" s="8" t="n"/>
      <c r="Z24" s="8" t="n"/>
      <c r="AA24" s="8" t="n"/>
      <c r="AB24" s="8" t="n"/>
    </row>
    <row r="25">
      <c r="A25" s="7" t="n">
        <v>2</v>
      </c>
      <c r="B25" s="7" t="n">
        <v>23</v>
      </c>
      <c r="C25" s="6">
        <f>Fleet_Schedule!$G25</f>
        <v/>
      </c>
      <c r="D25" s="8">
        <f>$C25*Assumptions!$B$5</f>
        <v/>
      </c>
      <c r="E25" s="8">
        <f>$C25*Assumptions!$B$8</f>
        <v/>
      </c>
      <c r="F25" s="8">
        <f>$C25*Assumptions!$B$9</f>
        <v/>
      </c>
      <c r="G25" s="8">
        <f>$C25*Assumptions!$B$10</f>
        <v/>
      </c>
      <c r="H25" s="8">
        <f>$C25*Assumptions!$B$11</f>
        <v/>
      </c>
      <c r="I25" s="8">
        <f>$C25*Assumptions!$B$12</f>
        <v/>
      </c>
      <c r="J25" s="8">
        <f>$C25*Assumptions!$B$13</f>
        <v/>
      </c>
      <c r="K25" s="8">
        <f>$C25*Assumptions!$B$14</f>
        <v/>
      </c>
      <c r="L25" s="8">
        <f>SUM(E25:K25)</f>
        <v/>
      </c>
      <c r="M25" s="8">
        <f>D25-L25</f>
        <v/>
      </c>
      <c r="N25" s="8">
        <f>$C25*Assumptions!$B$17</f>
        <v/>
      </c>
      <c r="O25" s="8">
        <f>SUM(N25)</f>
        <v/>
      </c>
      <c r="P25" s="8">
        <f>M25-O25</f>
        <v/>
      </c>
      <c r="Q25" s="8">
        <f>Cash_Flow!$F25</f>
        <v/>
      </c>
      <c r="R25" s="8">
        <f>$P25-$Q25</f>
        <v/>
      </c>
      <c r="S25" s="8">
        <f>Assumptions!$B$21*MAX(0,$R25)</f>
        <v/>
      </c>
      <c r="T25" s="8">
        <f>$R25-$S25</f>
        <v/>
      </c>
      <c r="U25" s="8">
        <f>Cash_Flow!$I25</f>
        <v/>
      </c>
      <c r="V25" s="8">
        <f>$T25-$U25</f>
        <v/>
      </c>
      <c r="W25" s="8" t="n"/>
      <c r="X25" s="8" t="n"/>
      <c r="Y25" s="8" t="n"/>
      <c r="Z25" s="8" t="n"/>
      <c r="AA25" s="8" t="n"/>
      <c r="AB25" s="8" t="n"/>
    </row>
    <row r="26">
      <c r="A26" s="7" t="n">
        <v>2</v>
      </c>
      <c r="B26" s="7" t="n">
        <v>24</v>
      </c>
      <c r="C26" s="6">
        <f>Fleet_Schedule!$G26</f>
        <v/>
      </c>
      <c r="D26" s="8">
        <f>$C26*Assumptions!$B$5</f>
        <v/>
      </c>
      <c r="E26" s="8">
        <f>$C26*Assumptions!$B$8</f>
        <v/>
      </c>
      <c r="F26" s="8">
        <f>$C26*Assumptions!$B$9</f>
        <v/>
      </c>
      <c r="G26" s="8">
        <f>$C26*Assumptions!$B$10</f>
        <v/>
      </c>
      <c r="H26" s="8">
        <f>$C26*Assumptions!$B$11</f>
        <v/>
      </c>
      <c r="I26" s="8">
        <f>$C26*Assumptions!$B$12</f>
        <v/>
      </c>
      <c r="J26" s="8">
        <f>$C26*Assumptions!$B$13</f>
        <v/>
      </c>
      <c r="K26" s="8">
        <f>$C26*Assumptions!$B$14</f>
        <v/>
      </c>
      <c r="L26" s="8">
        <f>SUM(E26:K26)</f>
        <v/>
      </c>
      <c r="M26" s="8">
        <f>D26-L26</f>
        <v/>
      </c>
      <c r="N26" s="8">
        <f>$C26*Assumptions!$B$17</f>
        <v/>
      </c>
      <c r="O26" s="8">
        <f>SUM(N26)</f>
        <v/>
      </c>
      <c r="P26" s="8">
        <f>M26-O26</f>
        <v/>
      </c>
      <c r="Q26" s="8">
        <f>Cash_Flow!$F26</f>
        <v/>
      </c>
      <c r="R26" s="8">
        <f>$P26-$Q26</f>
        <v/>
      </c>
      <c r="S26" s="8">
        <f>Assumptions!$B$21*MAX(0,$R26)</f>
        <v/>
      </c>
      <c r="T26" s="8">
        <f>$R26-$S26</f>
        <v/>
      </c>
      <c r="U26" s="8">
        <f>Cash_Flow!$I26</f>
        <v/>
      </c>
      <c r="V26" s="8">
        <f>$T26-$U26</f>
        <v/>
      </c>
      <c r="W26" s="8" t="n"/>
      <c r="X26" s="8" t="n"/>
      <c r="Y26" s="8" t="n"/>
      <c r="Z26" s="8" t="n"/>
      <c r="AA26" s="8" t="n"/>
      <c r="AB26" s="8" t="n"/>
    </row>
    <row r="27">
      <c r="A27" s="7" t="n">
        <v>3</v>
      </c>
      <c r="B27" s="7" t="n">
        <v>25</v>
      </c>
      <c r="C27" s="6">
        <f>Fleet_Schedule!$G27</f>
        <v/>
      </c>
      <c r="D27" s="8">
        <f>$C27*Assumptions!$B$5</f>
        <v/>
      </c>
      <c r="E27" s="8">
        <f>$C27*Assumptions!$B$8</f>
        <v/>
      </c>
      <c r="F27" s="8">
        <f>$C27*Assumptions!$B$9</f>
        <v/>
      </c>
      <c r="G27" s="8">
        <f>$C27*Assumptions!$B$10</f>
        <v/>
      </c>
      <c r="H27" s="8">
        <f>$C27*Assumptions!$B$11</f>
        <v/>
      </c>
      <c r="I27" s="8">
        <f>$C27*Assumptions!$B$12</f>
        <v/>
      </c>
      <c r="J27" s="8">
        <f>$C27*Assumptions!$B$13</f>
        <v/>
      </c>
      <c r="K27" s="8">
        <f>$C27*Assumptions!$B$14</f>
        <v/>
      </c>
      <c r="L27" s="8">
        <f>SUM(E27:K27)</f>
        <v/>
      </c>
      <c r="M27" s="8">
        <f>D27-L27</f>
        <v/>
      </c>
      <c r="N27" s="8">
        <f>$C27*Assumptions!$B$17</f>
        <v/>
      </c>
      <c r="O27" s="8">
        <f>SUM(N27)</f>
        <v/>
      </c>
      <c r="P27" s="8">
        <f>M27-O27</f>
        <v/>
      </c>
      <c r="Q27" s="8">
        <f>Cash_Flow!$F27</f>
        <v/>
      </c>
      <c r="R27" s="8">
        <f>$P27-$Q27</f>
        <v/>
      </c>
      <c r="S27" s="8">
        <f>Assumptions!$B$21*MAX(0,$R27)</f>
        <v/>
      </c>
      <c r="T27" s="8">
        <f>$R27-$S27</f>
        <v/>
      </c>
      <c r="U27" s="8">
        <f>Cash_Flow!$I27</f>
        <v/>
      </c>
      <c r="V27" s="8">
        <f>$T27-$U27</f>
        <v/>
      </c>
      <c r="W27" s="8" t="n"/>
      <c r="X27" s="8" t="n"/>
      <c r="Y27" s="8" t="n"/>
      <c r="Z27" s="8" t="n"/>
      <c r="AA27" s="8" t="n"/>
      <c r="AB27" s="8" t="n"/>
    </row>
    <row r="28">
      <c r="A28" s="7" t="n">
        <v>3</v>
      </c>
      <c r="B28" s="7" t="n">
        <v>26</v>
      </c>
      <c r="C28" s="6">
        <f>Fleet_Schedule!$G28</f>
        <v/>
      </c>
      <c r="D28" s="8">
        <f>$C28*Assumptions!$B$5</f>
        <v/>
      </c>
      <c r="E28" s="8">
        <f>$C28*Assumptions!$B$8</f>
        <v/>
      </c>
      <c r="F28" s="8">
        <f>$C28*Assumptions!$B$9</f>
        <v/>
      </c>
      <c r="G28" s="8">
        <f>$C28*Assumptions!$B$10</f>
        <v/>
      </c>
      <c r="H28" s="8">
        <f>$C28*Assumptions!$B$11</f>
        <v/>
      </c>
      <c r="I28" s="8">
        <f>$C28*Assumptions!$B$12</f>
        <v/>
      </c>
      <c r="J28" s="8">
        <f>$C28*Assumptions!$B$13</f>
        <v/>
      </c>
      <c r="K28" s="8">
        <f>$C28*Assumptions!$B$14</f>
        <v/>
      </c>
      <c r="L28" s="8">
        <f>SUM(E28:K28)</f>
        <v/>
      </c>
      <c r="M28" s="8">
        <f>D28-L28</f>
        <v/>
      </c>
      <c r="N28" s="8">
        <f>$C28*Assumptions!$B$17</f>
        <v/>
      </c>
      <c r="O28" s="8">
        <f>SUM(N28)</f>
        <v/>
      </c>
      <c r="P28" s="8">
        <f>M28-O28</f>
        <v/>
      </c>
      <c r="Q28" s="8">
        <f>Cash_Flow!$F28</f>
        <v/>
      </c>
      <c r="R28" s="8">
        <f>$P28-$Q28</f>
        <v/>
      </c>
      <c r="S28" s="8">
        <f>Assumptions!$B$21*MAX(0,$R28)</f>
        <v/>
      </c>
      <c r="T28" s="8">
        <f>$R28-$S28</f>
        <v/>
      </c>
      <c r="U28" s="8">
        <f>Cash_Flow!$I28</f>
        <v/>
      </c>
      <c r="V28" s="8">
        <f>$T28-$U28</f>
        <v/>
      </c>
      <c r="W28" s="8" t="n"/>
      <c r="X28" s="8" t="n"/>
      <c r="Y28" s="8" t="n"/>
      <c r="Z28" s="8" t="n"/>
      <c r="AA28" s="8" t="n"/>
      <c r="AB28" s="8" t="n"/>
    </row>
    <row r="29">
      <c r="A29" s="7" t="n">
        <v>3</v>
      </c>
      <c r="B29" s="7" t="n">
        <v>27</v>
      </c>
      <c r="C29" s="6">
        <f>Fleet_Schedule!$G29</f>
        <v/>
      </c>
      <c r="D29" s="8">
        <f>$C29*Assumptions!$B$5</f>
        <v/>
      </c>
      <c r="E29" s="8">
        <f>$C29*Assumptions!$B$8</f>
        <v/>
      </c>
      <c r="F29" s="8">
        <f>$C29*Assumptions!$B$9</f>
        <v/>
      </c>
      <c r="G29" s="8">
        <f>$C29*Assumptions!$B$10</f>
        <v/>
      </c>
      <c r="H29" s="8">
        <f>$C29*Assumptions!$B$11</f>
        <v/>
      </c>
      <c r="I29" s="8">
        <f>$C29*Assumptions!$B$12</f>
        <v/>
      </c>
      <c r="J29" s="8">
        <f>$C29*Assumptions!$B$13</f>
        <v/>
      </c>
      <c r="K29" s="8">
        <f>$C29*Assumptions!$B$14</f>
        <v/>
      </c>
      <c r="L29" s="8">
        <f>SUM(E29:K29)</f>
        <v/>
      </c>
      <c r="M29" s="8">
        <f>D29-L29</f>
        <v/>
      </c>
      <c r="N29" s="8">
        <f>$C29*Assumptions!$B$17</f>
        <v/>
      </c>
      <c r="O29" s="8">
        <f>SUM(N29)</f>
        <v/>
      </c>
      <c r="P29" s="8">
        <f>M29-O29</f>
        <v/>
      </c>
      <c r="Q29" s="8">
        <f>Cash_Flow!$F29</f>
        <v/>
      </c>
      <c r="R29" s="8">
        <f>$P29-$Q29</f>
        <v/>
      </c>
      <c r="S29" s="8">
        <f>Assumptions!$B$21*MAX(0,$R29)</f>
        <v/>
      </c>
      <c r="T29" s="8">
        <f>$R29-$S29</f>
        <v/>
      </c>
      <c r="U29" s="8">
        <f>Cash_Flow!$I29</f>
        <v/>
      </c>
      <c r="V29" s="8">
        <f>$T29-$U29</f>
        <v/>
      </c>
      <c r="W29" s="8" t="n"/>
      <c r="X29" s="8" t="n"/>
      <c r="Y29" s="8" t="n"/>
      <c r="Z29" s="8" t="n"/>
      <c r="AA29" s="8" t="n"/>
      <c r="AB29" s="8" t="n"/>
    </row>
    <row r="30">
      <c r="A30" s="7" t="n">
        <v>3</v>
      </c>
      <c r="B30" s="7" t="n">
        <v>28</v>
      </c>
      <c r="C30" s="6">
        <f>Fleet_Schedule!$G30</f>
        <v/>
      </c>
      <c r="D30" s="8">
        <f>$C30*Assumptions!$B$5</f>
        <v/>
      </c>
      <c r="E30" s="8">
        <f>$C30*Assumptions!$B$8</f>
        <v/>
      </c>
      <c r="F30" s="8">
        <f>$C30*Assumptions!$B$9</f>
        <v/>
      </c>
      <c r="G30" s="8">
        <f>$C30*Assumptions!$B$10</f>
        <v/>
      </c>
      <c r="H30" s="8">
        <f>$C30*Assumptions!$B$11</f>
        <v/>
      </c>
      <c r="I30" s="8">
        <f>$C30*Assumptions!$B$12</f>
        <v/>
      </c>
      <c r="J30" s="8">
        <f>$C30*Assumptions!$B$13</f>
        <v/>
      </c>
      <c r="K30" s="8">
        <f>$C30*Assumptions!$B$14</f>
        <v/>
      </c>
      <c r="L30" s="8">
        <f>SUM(E30:K30)</f>
        <v/>
      </c>
      <c r="M30" s="8">
        <f>D30-L30</f>
        <v/>
      </c>
      <c r="N30" s="8">
        <f>$C30*Assumptions!$B$17</f>
        <v/>
      </c>
      <c r="O30" s="8">
        <f>SUM(N30)</f>
        <v/>
      </c>
      <c r="P30" s="8">
        <f>M30-O30</f>
        <v/>
      </c>
      <c r="Q30" s="8">
        <f>Cash_Flow!$F30</f>
        <v/>
      </c>
      <c r="R30" s="8">
        <f>$P30-$Q30</f>
        <v/>
      </c>
      <c r="S30" s="8">
        <f>Assumptions!$B$21*MAX(0,$R30)</f>
        <v/>
      </c>
      <c r="T30" s="8">
        <f>$R30-$S30</f>
        <v/>
      </c>
      <c r="U30" s="8">
        <f>Cash_Flow!$I30</f>
        <v/>
      </c>
      <c r="V30" s="8">
        <f>$T30-$U30</f>
        <v/>
      </c>
      <c r="W30" s="8" t="n"/>
      <c r="X30" s="8" t="n"/>
      <c r="Y30" s="8" t="n"/>
      <c r="Z30" s="8" t="n"/>
      <c r="AA30" s="8" t="n"/>
      <c r="AB30" s="8" t="n"/>
    </row>
    <row r="31">
      <c r="A31" s="7" t="n">
        <v>3</v>
      </c>
      <c r="B31" s="7" t="n">
        <v>29</v>
      </c>
      <c r="C31" s="6">
        <f>Fleet_Schedule!$G31</f>
        <v/>
      </c>
      <c r="D31" s="8">
        <f>$C31*Assumptions!$B$5</f>
        <v/>
      </c>
      <c r="E31" s="8">
        <f>$C31*Assumptions!$B$8</f>
        <v/>
      </c>
      <c r="F31" s="8">
        <f>$C31*Assumptions!$B$9</f>
        <v/>
      </c>
      <c r="G31" s="8">
        <f>$C31*Assumptions!$B$10</f>
        <v/>
      </c>
      <c r="H31" s="8">
        <f>$C31*Assumptions!$B$11</f>
        <v/>
      </c>
      <c r="I31" s="8">
        <f>$C31*Assumptions!$B$12</f>
        <v/>
      </c>
      <c r="J31" s="8">
        <f>$C31*Assumptions!$B$13</f>
        <v/>
      </c>
      <c r="K31" s="8">
        <f>$C31*Assumptions!$B$14</f>
        <v/>
      </c>
      <c r="L31" s="8">
        <f>SUM(E31:K31)</f>
        <v/>
      </c>
      <c r="M31" s="8">
        <f>D31-L31</f>
        <v/>
      </c>
      <c r="N31" s="8">
        <f>$C31*Assumptions!$B$17</f>
        <v/>
      </c>
      <c r="O31" s="8">
        <f>SUM(N31)</f>
        <v/>
      </c>
      <c r="P31" s="8">
        <f>M31-O31</f>
        <v/>
      </c>
      <c r="Q31" s="8">
        <f>Cash_Flow!$F31</f>
        <v/>
      </c>
      <c r="R31" s="8">
        <f>$P31-$Q31</f>
        <v/>
      </c>
      <c r="S31" s="8">
        <f>Assumptions!$B$21*MAX(0,$R31)</f>
        <v/>
      </c>
      <c r="T31" s="8">
        <f>$R31-$S31</f>
        <v/>
      </c>
      <c r="U31" s="8">
        <f>Cash_Flow!$I31</f>
        <v/>
      </c>
      <c r="V31" s="8">
        <f>$T31-$U31</f>
        <v/>
      </c>
      <c r="W31" s="8" t="n"/>
      <c r="X31" s="8" t="n"/>
      <c r="Y31" s="8" t="n"/>
      <c r="Z31" s="8" t="n"/>
      <c r="AA31" s="8" t="n"/>
      <c r="AB31" s="8" t="n"/>
    </row>
    <row r="32">
      <c r="A32" s="7" t="n">
        <v>3</v>
      </c>
      <c r="B32" s="7" t="n">
        <v>30</v>
      </c>
      <c r="C32" s="6">
        <f>Fleet_Schedule!$G32</f>
        <v/>
      </c>
      <c r="D32" s="8">
        <f>$C32*Assumptions!$B$5</f>
        <v/>
      </c>
      <c r="E32" s="8">
        <f>$C32*Assumptions!$B$8</f>
        <v/>
      </c>
      <c r="F32" s="8">
        <f>$C32*Assumptions!$B$9</f>
        <v/>
      </c>
      <c r="G32" s="8">
        <f>$C32*Assumptions!$B$10</f>
        <v/>
      </c>
      <c r="H32" s="8">
        <f>$C32*Assumptions!$B$11</f>
        <v/>
      </c>
      <c r="I32" s="8">
        <f>$C32*Assumptions!$B$12</f>
        <v/>
      </c>
      <c r="J32" s="8">
        <f>$C32*Assumptions!$B$13</f>
        <v/>
      </c>
      <c r="K32" s="8">
        <f>$C32*Assumptions!$B$14</f>
        <v/>
      </c>
      <c r="L32" s="8">
        <f>SUM(E32:K32)</f>
        <v/>
      </c>
      <c r="M32" s="8">
        <f>D32-L32</f>
        <v/>
      </c>
      <c r="N32" s="8">
        <f>$C32*Assumptions!$B$17</f>
        <v/>
      </c>
      <c r="O32" s="8">
        <f>SUM(N32)</f>
        <v/>
      </c>
      <c r="P32" s="8">
        <f>M32-O32</f>
        <v/>
      </c>
      <c r="Q32" s="8">
        <f>Cash_Flow!$F32</f>
        <v/>
      </c>
      <c r="R32" s="8">
        <f>$P32-$Q32</f>
        <v/>
      </c>
      <c r="S32" s="8">
        <f>Assumptions!$B$21*MAX(0,$R32)</f>
        <v/>
      </c>
      <c r="T32" s="8">
        <f>$R32-$S32</f>
        <v/>
      </c>
      <c r="U32" s="8">
        <f>Cash_Flow!$I32</f>
        <v/>
      </c>
      <c r="V32" s="8">
        <f>$T32-$U32</f>
        <v/>
      </c>
      <c r="W32" s="8" t="n"/>
      <c r="X32" s="8" t="n"/>
      <c r="Y32" s="8" t="n"/>
      <c r="Z32" s="8" t="n"/>
      <c r="AA32" s="8" t="n"/>
      <c r="AB32" s="8" t="n"/>
    </row>
    <row r="33">
      <c r="A33" s="7" t="n">
        <v>3</v>
      </c>
      <c r="B33" s="7" t="n">
        <v>31</v>
      </c>
      <c r="C33" s="6">
        <f>Fleet_Schedule!$G33</f>
        <v/>
      </c>
      <c r="D33" s="8">
        <f>$C33*Assumptions!$B$5</f>
        <v/>
      </c>
      <c r="E33" s="8">
        <f>$C33*Assumptions!$B$8</f>
        <v/>
      </c>
      <c r="F33" s="8">
        <f>$C33*Assumptions!$B$9</f>
        <v/>
      </c>
      <c r="G33" s="8">
        <f>$C33*Assumptions!$B$10</f>
        <v/>
      </c>
      <c r="H33" s="8">
        <f>$C33*Assumptions!$B$11</f>
        <v/>
      </c>
      <c r="I33" s="8">
        <f>$C33*Assumptions!$B$12</f>
        <v/>
      </c>
      <c r="J33" s="8">
        <f>$C33*Assumptions!$B$13</f>
        <v/>
      </c>
      <c r="K33" s="8">
        <f>$C33*Assumptions!$B$14</f>
        <v/>
      </c>
      <c r="L33" s="8">
        <f>SUM(E33:K33)</f>
        <v/>
      </c>
      <c r="M33" s="8">
        <f>D33-L33</f>
        <v/>
      </c>
      <c r="N33" s="8">
        <f>$C33*Assumptions!$B$17</f>
        <v/>
      </c>
      <c r="O33" s="8">
        <f>SUM(N33)</f>
        <v/>
      </c>
      <c r="P33" s="8">
        <f>M33-O33</f>
        <v/>
      </c>
      <c r="Q33" s="8">
        <f>Cash_Flow!$F33</f>
        <v/>
      </c>
      <c r="R33" s="8">
        <f>$P33-$Q33</f>
        <v/>
      </c>
      <c r="S33" s="8">
        <f>Assumptions!$B$21*MAX(0,$R33)</f>
        <v/>
      </c>
      <c r="T33" s="8">
        <f>$R33-$S33</f>
        <v/>
      </c>
      <c r="U33" s="8">
        <f>Cash_Flow!$I33</f>
        <v/>
      </c>
      <c r="V33" s="8">
        <f>$T33-$U33</f>
        <v/>
      </c>
      <c r="W33" s="8" t="n"/>
      <c r="X33" s="8" t="n"/>
      <c r="Y33" s="8" t="n"/>
      <c r="Z33" s="8" t="n"/>
      <c r="AA33" s="8" t="n"/>
      <c r="AB33" s="8" t="n"/>
    </row>
    <row r="34">
      <c r="A34" s="7" t="n">
        <v>3</v>
      </c>
      <c r="B34" s="7" t="n">
        <v>32</v>
      </c>
      <c r="C34" s="6">
        <f>Fleet_Schedule!$G34</f>
        <v/>
      </c>
      <c r="D34" s="8">
        <f>$C34*Assumptions!$B$5</f>
        <v/>
      </c>
      <c r="E34" s="8">
        <f>$C34*Assumptions!$B$8</f>
        <v/>
      </c>
      <c r="F34" s="8">
        <f>$C34*Assumptions!$B$9</f>
        <v/>
      </c>
      <c r="G34" s="8">
        <f>$C34*Assumptions!$B$10</f>
        <v/>
      </c>
      <c r="H34" s="8">
        <f>$C34*Assumptions!$B$11</f>
        <v/>
      </c>
      <c r="I34" s="8">
        <f>$C34*Assumptions!$B$12</f>
        <v/>
      </c>
      <c r="J34" s="8">
        <f>$C34*Assumptions!$B$13</f>
        <v/>
      </c>
      <c r="K34" s="8">
        <f>$C34*Assumptions!$B$14</f>
        <v/>
      </c>
      <c r="L34" s="8">
        <f>SUM(E34:K34)</f>
        <v/>
      </c>
      <c r="M34" s="8">
        <f>D34-L34</f>
        <v/>
      </c>
      <c r="N34" s="8">
        <f>$C34*Assumptions!$B$17</f>
        <v/>
      </c>
      <c r="O34" s="8">
        <f>SUM(N34)</f>
        <v/>
      </c>
      <c r="P34" s="8">
        <f>M34-O34</f>
        <v/>
      </c>
      <c r="Q34" s="8">
        <f>Cash_Flow!$F34</f>
        <v/>
      </c>
      <c r="R34" s="8">
        <f>$P34-$Q34</f>
        <v/>
      </c>
      <c r="S34" s="8">
        <f>Assumptions!$B$21*MAX(0,$R34)</f>
        <v/>
      </c>
      <c r="T34" s="8">
        <f>$R34-$S34</f>
        <v/>
      </c>
      <c r="U34" s="8">
        <f>Cash_Flow!$I34</f>
        <v/>
      </c>
      <c r="V34" s="8">
        <f>$T34-$U34</f>
        <v/>
      </c>
      <c r="W34" s="8" t="n"/>
      <c r="X34" s="8" t="n"/>
      <c r="Y34" s="8" t="n"/>
      <c r="Z34" s="8" t="n"/>
      <c r="AA34" s="8" t="n"/>
      <c r="AB34" s="8" t="n"/>
    </row>
    <row r="35">
      <c r="A35" s="7" t="n">
        <v>3</v>
      </c>
      <c r="B35" s="7" t="n">
        <v>33</v>
      </c>
      <c r="C35" s="6">
        <f>Fleet_Schedule!$G35</f>
        <v/>
      </c>
      <c r="D35" s="8">
        <f>$C35*Assumptions!$B$5</f>
        <v/>
      </c>
      <c r="E35" s="8">
        <f>$C35*Assumptions!$B$8</f>
        <v/>
      </c>
      <c r="F35" s="8">
        <f>$C35*Assumptions!$B$9</f>
        <v/>
      </c>
      <c r="G35" s="8">
        <f>$C35*Assumptions!$B$10</f>
        <v/>
      </c>
      <c r="H35" s="8">
        <f>$C35*Assumptions!$B$11</f>
        <v/>
      </c>
      <c r="I35" s="8">
        <f>$C35*Assumptions!$B$12</f>
        <v/>
      </c>
      <c r="J35" s="8">
        <f>$C35*Assumptions!$B$13</f>
        <v/>
      </c>
      <c r="K35" s="8">
        <f>$C35*Assumptions!$B$14</f>
        <v/>
      </c>
      <c r="L35" s="8">
        <f>SUM(E35:K35)</f>
        <v/>
      </c>
      <c r="M35" s="8">
        <f>D35-L35</f>
        <v/>
      </c>
      <c r="N35" s="8">
        <f>$C35*Assumptions!$B$17</f>
        <v/>
      </c>
      <c r="O35" s="8">
        <f>SUM(N35)</f>
        <v/>
      </c>
      <c r="P35" s="8">
        <f>M35-O35</f>
        <v/>
      </c>
      <c r="Q35" s="8">
        <f>Cash_Flow!$F35</f>
        <v/>
      </c>
      <c r="R35" s="8">
        <f>$P35-$Q35</f>
        <v/>
      </c>
      <c r="S35" s="8">
        <f>Assumptions!$B$21*MAX(0,$R35)</f>
        <v/>
      </c>
      <c r="T35" s="8">
        <f>$R35-$S35</f>
        <v/>
      </c>
      <c r="U35" s="8">
        <f>Cash_Flow!$I35</f>
        <v/>
      </c>
      <c r="V35" s="8">
        <f>$T35-$U35</f>
        <v/>
      </c>
      <c r="W35" s="8" t="n"/>
      <c r="X35" s="8" t="n"/>
      <c r="Y35" s="8" t="n"/>
      <c r="Z35" s="8" t="n"/>
      <c r="AA35" s="8" t="n"/>
      <c r="AB35" s="8" t="n"/>
    </row>
    <row r="36">
      <c r="A36" s="7" t="n">
        <v>3</v>
      </c>
      <c r="B36" s="7" t="n">
        <v>34</v>
      </c>
      <c r="C36" s="6">
        <f>Fleet_Schedule!$G36</f>
        <v/>
      </c>
      <c r="D36" s="8">
        <f>$C36*Assumptions!$B$5</f>
        <v/>
      </c>
      <c r="E36" s="8">
        <f>$C36*Assumptions!$B$8</f>
        <v/>
      </c>
      <c r="F36" s="8">
        <f>$C36*Assumptions!$B$9</f>
        <v/>
      </c>
      <c r="G36" s="8">
        <f>$C36*Assumptions!$B$10</f>
        <v/>
      </c>
      <c r="H36" s="8">
        <f>$C36*Assumptions!$B$11</f>
        <v/>
      </c>
      <c r="I36" s="8">
        <f>$C36*Assumptions!$B$12</f>
        <v/>
      </c>
      <c r="J36" s="8">
        <f>$C36*Assumptions!$B$13</f>
        <v/>
      </c>
      <c r="K36" s="8">
        <f>$C36*Assumptions!$B$14</f>
        <v/>
      </c>
      <c r="L36" s="8">
        <f>SUM(E36:K36)</f>
        <v/>
      </c>
      <c r="M36" s="8">
        <f>D36-L36</f>
        <v/>
      </c>
      <c r="N36" s="8">
        <f>$C36*Assumptions!$B$17</f>
        <v/>
      </c>
      <c r="O36" s="8">
        <f>SUM(N36)</f>
        <v/>
      </c>
      <c r="P36" s="8">
        <f>M36-O36</f>
        <v/>
      </c>
      <c r="Q36" s="8">
        <f>Cash_Flow!$F36</f>
        <v/>
      </c>
      <c r="R36" s="8">
        <f>$P36-$Q36</f>
        <v/>
      </c>
      <c r="S36" s="8">
        <f>Assumptions!$B$21*MAX(0,$R36)</f>
        <v/>
      </c>
      <c r="T36" s="8">
        <f>$R36-$S36</f>
        <v/>
      </c>
      <c r="U36" s="8">
        <f>Cash_Flow!$I36</f>
        <v/>
      </c>
      <c r="V36" s="8">
        <f>$T36-$U36</f>
        <v/>
      </c>
      <c r="W36" s="8" t="n"/>
      <c r="X36" s="8" t="n"/>
      <c r="Y36" s="8" t="n"/>
      <c r="Z36" s="8" t="n"/>
      <c r="AA36" s="8" t="n"/>
      <c r="AB36" s="8" t="n"/>
    </row>
    <row r="37">
      <c r="A37" s="7" t="n">
        <v>3</v>
      </c>
      <c r="B37" s="7" t="n">
        <v>35</v>
      </c>
      <c r="C37" s="6">
        <f>Fleet_Schedule!$G37</f>
        <v/>
      </c>
      <c r="D37" s="8">
        <f>$C37*Assumptions!$B$5</f>
        <v/>
      </c>
      <c r="E37" s="8">
        <f>$C37*Assumptions!$B$8</f>
        <v/>
      </c>
      <c r="F37" s="8">
        <f>$C37*Assumptions!$B$9</f>
        <v/>
      </c>
      <c r="G37" s="8">
        <f>$C37*Assumptions!$B$10</f>
        <v/>
      </c>
      <c r="H37" s="8">
        <f>$C37*Assumptions!$B$11</f>
        <v/>
      </c>
      <c r="I37" s="8">
        <f>$C37*Assumptions!$B$12</f>
        <v/>
      </c>
      <c r="J37" s="8">
        <f>$C37*Assumptions!$B$13</f>
        <v/>
      </c>
      <c r="K37" s="8">
        <f>$C37*Assumptions!$B$14</f>
        <v/>
      </c>
      <c r="L37" s="8">
        <f>SUM(E37:K37)</f>
        <v/>
      </c>
      <c r="M37" s="8">
        <f>D37-L37</f>
        <v/>
      </c>
      <c r="N37" s="8">
        <f>$C37*Assumptions!$B$17</f>
        <v/>
      </c>
      <c r="O37" s="8">
        <f>SUM(N37)</f>
        <v/>
      </c>
      <c r="P37" s="8">
        <f>M37-O37</f>
        <v/>
      </c>
      <c r="Q37" s="8">
        <f>Cash_Flow!$F37</f>
        <v/>
      </c>
      <c r="R37" s="8">
        <f>$P37-$Q37</f>
        <v/>
      </c>
      <c r="S37" s="8">
        <f>Assumptions!$B$21*MAX(0,$R37)</f>
        <v/>
      </c>
      <c r="T37" s="8">
        <f>$R37-$S37</f>
        <v/>
      </c>
      <c r="U37" s="8">
        <f>Cash_Flow!$I37</f>
        <v/>
      </c>
      <c r="V37" s="8">
        <f>$T37-$U37</f>
        <v/>
      </c>
      <c r="W37" s="8" t="n"/>
      <c r="X37" s="8" t="n"/>
      <c r="Y37" s="8" t="n"/>
      <c r="Z37" s="8" t="n"/>
      <c r="AA37" s="8" t="n"/>
      <c r="AB37" s="8" t="n"/>
    </row>
    <row r="38">
      <c r="A38" s="7" t="n">
        <v>3</v>
      </c>
      <c r="B38" s="7" t="n">
        <v>36</v>
      </c>
      <c r="C38" s="6">
        <f>Fleet_Schedule!$G38</f>
        <v/>
      </c>
      <c r="D38" s="8">
        <f>$C38*Assumptions!$B$5</f>
        <v/>
      </c>
      <c r="E38" s="8">
        <f>$C38*Assumptions!$B$8</f>
        <v/>
      </c>
      <c r="F38" s="8">
        <f>$C38*Assumptions!$B$9</f>
        <v/>
      </c>
      <c r="G38" s="8">
        <f>$C38*Assumptions!$B$10</f>
        <v/>
      </c>
      <c r="H38" s="8">
        <f>$C38*Assumptions!$B$11</f>
        <v/>
      </c>
      <c r="I38" s="8">
        <f>$C38*Assumptions!$B$12</f>
        <v/>
      </c>
      <c r="J38" s="8">
        <f>$C38*Assumptions!$B$13</f>
        <v/>
      </c>
      <c r="K38" s="8">
        <f>$C38*Assumptions!$B$14</f>
        <v/>
      </c>
      <c r="L38" s="8">
        <f>SUM(E38:K38)</f>
        <v/>
      </c>
      <c r="M38" s="8">
        <f>D38-L38</f>
        <v/>
      </c>
      <c r="N38" s="8">
        <f>$C38*Assumptions!$B$17</f>
        <v/>
      </c>
      <c r="O38" s="8">
        <f>SUM(N38)</f>
        <v/>
      </c>
      <c r="P38" s="8">
        <f>M38-O38</f>
        <v/>
      </c>
      <c r="Q38" s="8">
        <f>Cash_Flow!$F38</f>
        <v/>
      </c>
      <c r="R38" s="8">
        <f>$P38-$Q38</f>
        <v/>
      </c>
      <c r="S38" s="8">
        <f>Assumptions!$B$21*MAX(0,$R38)</f>
        <v/>
      </c>
      <c r="T38" s="8">
        <f>$R38-$S38</f>
        <v/>
      </c>
      <c r="U38" s="8">
        <f>Cash_Flow!$I38</f>
        <v/>
      </c>
      <c r="V38" s="8">
        <f>$T38-$U38</f>
        <v/>
      </c>
      <c r="W38" s="8" t="n"/>
      <c r="X38" s="8" t="n"/>
      <c r="Y38" s="8" t="n"/>
      <c r="Z38" s="8" t="n"/>
      <c r="AA38" s="8" t="n"/>
      <c r="AB38" s="8" t="n"/>
    </row>
    <row r="39">
      <c r="A39" s="7" t="n">
        <v>4</v>
      </c>
      <c r="B39" s="7" t="n">
        <v>37</v>
      </c>
      <c r="C39" s="6">
        <f>Fleet_Schedule!$G39</f>
        <v/>
      </c>
      <c r="D39" s="8">
        <f>$C39*Assumptions!$B$5</f>
        <v/>
      </c>
      <c r="E39" s="8">
        <f>$C39*Assumptions!$B$8</f>
        <v/>
      </c>
      <c r="F39" s="8">
        <f>$C39*Assumptions!$B$9</f>
        <v/>
      </c>
      <c r="G39" s="8">
        <f>$C39*Assumptions!$B$10</f>
        <v/>
      </c>
      <c r="H39" s="8">
        <f>$C39*Assumptions!$B$11</f>
        <v/>
      </c>
      <c r="I39" s="8">
        <f>$C39*Assumptions!$B$12</f>
        <v/>
      </c>
      <c r="J39" s="8">
        <f>$C39*Assumptions!$B$13</f>
        <v/>
      </c>
      <c r="K39" s="8">
        <f>$C39*Assumptions!$B$14</f>
        <v/>
      </c>
      <c r="L39" s="8">
        <f>SUM(E39:K39)</f>
        <v/>
      </c>
      <c r="M39" s="8">
        <f>D39-L39</f>
        <v/>
      </c>
      <c r="N39" s="8">
        <f>$C39*Assumptions!$B$17</f>
        <v/>
      </c>
      <c r="O39" s="8">
        <f>SUM(N39)</f>
        <v/>
      </c>
      <c r="P39" s="8">
        <f>M39-O39</f>
        <v/>
      </c>
      <c r="Q39" s="8">
        <f>Cash_Flow!$F39</f>
        <v/>
      </c>
      <c r="R39" s="8">
        <f>$P39-$Q39</f>
        <v/>
      </c>
      <c r="S39" s="8">
        <f>Assumptions!$B$21*MAX(0,$R39)</f>
        <v/>
      </c>
      <c r="T39" s="8">
        <f>$R39-$S39</f>
        <v/>
      </c>
      <c r="U39" s="8">
        <f>Cash_Flow!$I39</f>
        <v/>
      </c>
      <c r="V39" s="8">
        <f>$T39-$U39</f>
        <v/>
      </c>
      <c r="W39" s="8" t="n"/>
      <c r="X39" s="8" t="n"/>
      <c r="Y39" s="8" t="n"/>
      <c r="Z39" s="8" t="n"/>
      <c r="AA39" s="8" t="n"/>
      <c r="AB39" s="8" t="n"/>
    </row>
    <row r="40">
      <c r="A40" s="7" t="n">
        <v>4</v>
      </c>
      <c r="B40" s="7" t="n">
        <v>38</v>
      </c>
      <c r="C40" s="6">
        <f>Fleet_Schedule!$G40</f>
        <v/>
      </c>
      <c r="D40" s="8">
        <f>$C40*Assumptions!$B$5</f>
        <v/>
      </c>
      <c r="E40" s="8">
        <f>$C40*Assumptions!$B$8</f>
        <v/>
      </c>
      <c r="F40" s="8">
        <f>$C40*Assumptions!$B$9</f>
        <v/>
      </c>
      <c r="G40" s="8">
        <f>$C40*Assumptions!$B$10</f>
        <v/>
      </c>
      <c r="H40" s="8">
        <f>$C40*Assumptions!$B$11</f>
        <v/>
      </c>
      <c r="I40" s="8">
        <f>$C40*Assumptions!$B$12</f>
        <v/>
      </c>
      <c r="J40" s="8">
        <f>$C40*Assumptions!$B$13</f>
        <v/>
      </c>
      <c r="K40" s="8">
        <f>$C40*Assumptions!$B$14</f>
        <v/>
      </c>
      <c r="L40" s="8">
        <f>SUM(E40:K40)</f>
        <v/>
      </c>
      <c r="M40" s="8">
        <f>D40-L40</f>
        <v/>
      </c>
      <c r="N40" s="8">
        <f>$C40*Assumptions!$B$17</f>
        <v/>
      </c>
      <c r="O40" s="8">
        <f>SUM(N40)</f>
        <v/>
      </c>
      <c r="P40" s="8">
        <f>M40-O40</f>
        <v/>
      </c>
      <c r="Q40" s="8">
        <f>Cash_Flow!$F40</f>
        <v/>
      </c>
      <c r="R40" s="8">
        <f>$P40-$Q40</f>
        <v/>
      </c>
      <c r="S40" s="8">
        <f>Assumptions!$B$21*MAX(0,$R40)</f>
        <v/>
      </c>
      <c r="T40" s="8">
        <f>$R40-$S40</f>
        <v/>
      </c>
      <c r="U40" s="8">
        <f>Cash_Flow!$I40</f>
        <v/>
      </c>
      <c r="V40" s="8">
        <f>$T40-$U40</f>
        <v/>
      </c>
      <c r="W40" s="8" t="n"/>
      <c r="X40" s="8" t="n"/>
      <c r="Y40" s="8" t="n"/>
      <c r="Z40" s="8" t="n"/>
      <c r="AA40" s="8" t="n"/>
      <c r="AB40" s="8" t="n"/>
    </row>
    <row r="41">
      <c r="A41" s="7" t="n">
        <v>4</v>
      </c>
      <c r="B41" s="7" t="n">
        <v>39</v>
      </c>
      <c r="C41" s="6">
        <f>Fleet_Schedule!$G41</f>
        <v/>
      </c>
      <c r="D41" s="8">
        <f>$C41*Assumptions!$B$5</f>
        <v/>
      </c>
      <c r="E41" s="8">
        <f>$C41*Assumptions!$B$8</f>
        <v/>
      </c>
      <c r="F41" s="8">
        <f>$C41*Assumptions!$B$9</f>
        <v/>
      </c>
      <c r="G41" s="8">
        <f>$C41*Assumptions!$B$10</f>
        <v/>
      </c>
      <c r="H41" s="8">
        <f>$C41*Assumptions!$B$11</f>
        <v/>
      </c>
      <c r="I41" s="8">
        <f>$C41*Assumptions!$B$12</f>
        <v/>
      </c>
      <c r="J41" s="8">
        <f>$C41*Assumptions!$B$13</f>
        <v/>
      </c>
      <c r="K41" s="8">
        <f>$C41*Assumptions!$B$14</f>
        <v/>
      </c>
      <c r="L41" s="8">
        <f>SUM(E41:K41)</f>
        <v/>
      </c>
      <c r="M41" s="8">
        <f>D41-L41</f>
        <v/>
      </c>
      <c r="N41" s="8">
        <f>$C41*Assumptions!$B$17</f>
        <v/>
      </c>
      <c r="O41" s="8">
        <f>SUM(N41)</f>
        <v/>
      </c>
      <c r="P41" s="8">
        <f>M41-O41</f>
        <v/>
      </c>
      <c r="Q41" s="8">
        <f>Cash_Flow!$F41</f>
        <v/>
      </c>
      <c r="R41" s="8">
        <f>$P41-$Q41</f>
        <v/>
      </c>
      <c r="S41" s="8">
        <f>Assumptions!$B$21*MAX(0,$R41)</f>
        <v/>
      </c>
      <c r="T41" s="8">
        <f>$R41-$S41</f>
        <v/>
      </c>
      <c r="U41" s="8">
        <f>Cash_Flow!$I41</f>
        <v/>
      </c>
      <c r="V41" s="8">
        <f>$T41-$U41</f>
        <v/>
      </c>
      <c r="W41" s="8" t="n"/>
      <c r="X41" s="8" t="n"/>
      <c r="Y41" s="8" t="n"/>
      <c r="Z41" s="8" t="n"/>
      <c r="AA41" s="8" t="n"/>
      <c r="AB41" s="8" t="n"/>
    </row>
    <row r="42">
      <c r="A42" s="7" t="n">
        <v>4</v>
      </c>
      <c r="B42" s="7" t="n">
        <v>40</v>
      </c>
      <c r="C42" s="6">
        <f>Fleet_Schedule!$G42</f>
        <v/>
      </c>
      <c r="D42" s="8">
        <f>$C42*Assumptions!$B$5</f>
        <v/>
      </c>
      <c r="E42" s="8">
        <f>$C42*Assumptions!$B$8</f>
        <v/>
      </c>
      <c r="F42" s="8">
        <f>$C42*Assumptions!$B$9</f>
        <v/>
      </c>
      <c r="G42" s="8">
        <f>$C42*Assumptions!$B$10</f>
        <v/>
      </c>
      <c r="H42" s="8">
        <f>$C42*Assumptions!$B$11</f>
        <v/>
      </c>
      <c r="I42" s="8">
        <f>$C42*Assumptions!$B$12</f>
        <v/>
      </c>
      <c r="J42" s="8">
        <f>$C42*Assumptions!$B$13</f>
        <v/>
      </c>
      <c r="K42" s="8">
        <f>$C42*Assumptions!$B$14</f>
        <v/>
      </c>
      <c r="L42" s="8">
        <f>SUM(E42:K42)</f>
        <v/>
      </c>
      <c r="M42" s="8">
        <f>D42-L42</f>
        <v/>
      </c>
      <c r="N42" s="8">
        <f>$C42*Assumptions!$B$17</f>
        <v/>
      </c>
      <c r="O42" s="8">
        <f>SUM(N42)</f>
        <v/>
      </c>
      <c r="P42" s="8">
        <f>M42-O42</f>
        <v/>
      </c>
      <c r="Q42" s="8">
        <f>Cash_Flow!$F42</f>
        <v/>
      </c>
      <c r="R42" s="8">
        <f>$P42-$Q42</f>
        <v/>
      </c>
      <c r="S42" s="8">
        <f>Assumptions!$B$21*MAX(0,$R42)</f>
        <v/>
      </c>
      <c r="T42" s="8">
        <f>$R42-$S42</f>
        <v/>
      </c>
      <c r="U42" s="8">
        <f>Cash_Flow!$I42</f>
        <v/>
      </c>
      <c r="V42" s="8">
        <f>$T42-$U42</f>
        <v/>
      </c>
      <c r="W42" s="8" t="n"/>
      <c r="X42" s="8" t="n"/>
      <c r="Y42" s="8" t="n"/>
      <c r="Z42" s="8" t="n"/>
      <c r="AA42" s="8" t="n"/>
      <c r="AB42" s="8" t="n"/>
    </row>
    <row r="43">
      <c r="A43" s="7" t="n">
        <v>4</v>
      </c>
      <c r="B43" s="7" t="n">
        <v>41</v>
      </c>
      <c r="C43" s="6">
        <f>Fleet_Schedule!$G43</f>
        <v/>
      </c>
      <c r="D43" s="8">
        <f>$C43*Assumptions!$B$5</f>
        <v/>
      </c>
      <c r="E43" s="8">
        <f>$C43*Assumptions!$B$8</f>
        <v/>
      </c>
      <c r="F43" s="8">
        <f>$C43*Assumptions!$B$9</f>
        <v/>
      </c>
      <c r="G43" s="8">
        <f>$C43*Assumptions!$B$10</f>
        <v/>
      </c>
      <c r="H43" s="8">
        <f>$C43*Assumptions!$B$11</f>
        <v/>
      </c>
      <c r="I43" s="8">
        <f>$C43*Assumptions!$B$12</f>
        <v/>
      </c>
      <c r="J43" s="8">
        <f>$C43*Assumptions!$B$13</f>
        <v/>
      </c>
      <c r="K43" s="8">
        <f>$C43*Assumptions!$B$14</f>
        <v/>
      </c>
      <c r="L43" s="8">
        <f>SUM(E43:K43)</f>
        <v/>
      </c>
      <c r="M43" s="8">
        <f>D43-L43</f>
        <v/>
      </c>
      <c r="N43" s="8">
        <f>$C43*Assumptions!$B$17</f>
        <v/>
      </c>
      <c r="O43" s="8">
        <f>SUM(N43)</f>
        <v/>
      </c>
      <c r="P43" s="8">
        <f>M43-O43</f>
        <v/>
      </c>
      <c r="Q43" s="8">
        <f>Cash_Flow!$F43</f>
        <v/>
      </c>
      <c r="R43" s="8">
        <f>$P43-$Q43</f>
        <v/>
      </c>
      <c r="S43" s="8">
        <f>Assumptions!$B$21*MAX(0,$R43)</f>
        <v/>
      </c>
      <c r="T43" s="8">
        <f>$R43-$S43</f>
        <v/>
      </c>
      <c r="U43" s="8">
        <f>Cash_Flow!$I43</f>
        <v/>
      </c>
      <c r="V43" s="8">
        <f>$T43-$U43</f>
        <v/>
      </c>
      <c r="W43" s="8" t="n"/>
      <c r="X43" s="8" t="n"/>
      <c r="Y43" s="8" t="n"/>
      <c r="Z43" s="8" t="n"/>
      <c r="AA43" s="8" t="n"/>
      <c r="AB43" s="8" t="n"/>
    </row>
    <row r="44">
      <c r="A44" s="7" t="n">
        <v>4</v>
      </c>
      <c r="B44" s="7" t="n">
        <v>42</v>
      </c>
      <c r="C44" s="6">
        <f>Fleet_Schedule!$G44</f>
        <v/>
      </c>
      <c r="D44" s="8">
        <f>$C44*Assumptions!$B$5</f>
        <v/>
      </c>
      <c r="E44" s="8">
        <f>$C44*Assumptions!$B$8</f>
        <v/>
      </c>
      <c r="F44" s="8">
        <f>$C44*Assumptions!$B$9</f>
        <v/>
      </c>
      <c r="G44" s="8">
        <f>$C44*Assumptions!$B$10</f>
        <v/>
      </c>
      <c r="H44" s="8">
        <f>$C44*Assumptions!$B$11</f>
        <v/>
      </c>
      <c r="I44" s="8">
        <f>$C44*Assumptions!$B$12</f>
        <v/>
      </c>
      <c r="J44" s="8">
        <f>$C44*Assumptions!$B$13</f>
        <v/>
      </c>
      <c r="K44" s="8">
        <f>$C44*Assumptions!$B$14</f>
        <v/>
      </c>
      <c r="L44" s="8">
        <f>SUM(E44:K44)</f>
        <v/>
      </c>
      <c r="M44" s="8">
        <f>D44-L44</f>
        <v/>
      </c>
      <c r="N44" s="8">
        <f>$C44*Assumptions!$B$17</f>
        <v/>
      </c>
      <c r="O44" s="8">
        <f>SUM(N44)</f>
        <v/>
      </c>
      <c r="P44" s="8">
        <f>M44-O44</f>
        <v/>
      </c>
      <c r="Q44" s="8">
        <f>Cash_Flow!$F44</f>
        <v/>
      </c>
      <c r="R44" s="8">
        <f>$P44-$Q44</f>
        <v/>
      </c>
      <c r="S44" s="8">
        <f>Assumptions!$B$21*MAX(0,$R44)</f>
        <v/>
      </c>
      <c r="T44" s="8">
        <f>$R44-$S44</f>
        <v/>
      </c>
      <c r="U44" s="8">
        <f>Cash_Flow!$I44</f>
        <v/>
      </c>
      <c r="V44" s="8">
        <f>$T44-$U44</f>
        <v/>
      </c>
      <c r="W44" s="8" t="n"/>
      <c r="X44" s="8" t="n"/>
      <c r="Y44" s="8" t="n"/>
      <c r="Z44" s="8" t="n"/>
      <c r="AA44" s="8" t="n"/>
      <c r="AB44" s="8" t="n"/>
    </row>
    <row r="45">
      <c r="A45" s="7" t="n">
        <v>4</v>
      </c>
      <c r="B45" s="7" t="n">
        <v>43</v>
      </c>
      <c r="C45" s="6">
        <f>Fleet_Schedule!$G45</f>
        <v/>
      </c>
      <c r="D45" s="8">
        <f>$C45*Assumptions!$B$5</f>
        <v/>
      </c>
      <c r="E45" s="8">
        <f>$C45*Assumptions!$B$8</f>
        <v/>
      </c>
      <c r="F45" s="8">
        <f>$C45*Assumptions!$B$9</f>
        <v/>
      </c>
      <c r="G45" s="8">
        <f>$C45*Assumptions!$B$10</f>
        <v/>
      </c>
      <c r="H45" s="8">
        <f>$C45*Assumptions!$B$11</f>
        <v/>
      </c>
      <c r="I45" s="8">
        <f>$C45*Assumptions!$B$12</f>
        <v/>
      </c>
      <c r="J45" s="8">
        <f>$C45*Assumptions!$B$13</f>
        <v/>
      </c>
      <c r="K45" s="8">
        <f>$C45*Assumptions!$B$14</f>
        <v/>
      </c>
      <c r="L45" s="8">
        <f>SUM(E45:K45)</f>
        <v/>
      </c>
      <c r="M45" s="8">
        <f>D45-L45</f>
        <v/>
      </c>
      <c r="N45" s="8">
        <f>$C45*Assumptions!$B$17</f>
        <v/>
      </c>
      <c r="O45" s="8">
        <f>SUM(N45)</f>
        <v/>
      </c>
      <c r="P45" s="8">
        <f>M45-O45</f>
        <v/>
      </c>
      <c r="Q45" s="8">
        <f>Cash_Flow!$F45</f>
        <v/>
      </c>
      <c r="R45" s="8">
        <f>$P45-$Q45</f>
        <v/>
      </c>
      <c r="S45" s="8">
        <f>Assumptions!$B$21*MAX(0,$R45)</f>
        <v/>
      </c>
      <c r="T45" s="8">
        <f>$R45-$S45</f>
        <v/>
      </c>
      <c r="U45" s="8">
        <f>Cash_Flow!$I45</f>
        <v/>
      </c>
      <c r="V45" s="8">
        <f>$T45-$U45</f>
        <v/>
      </c>
      <c r="W45" s="8" t="n"/>
      <c r="X45" s="8" t="n"/>
      <c r="Y45" s="8" t="n"/>
      <c r="Z45" s="8" t="n"/>
      <c r="AA45" s="8" t="n"/>
      <c r="AB45" s="8" t="n"/>
    </row>
    <row r="46">
      <c r="A46" s="7" t="n">
        <v>4</v>
      </c>
      <c r="B46" s="7" t="n">
        <v>44</v>
      </c>
      <c r="C46" s="6">
        <f>Fleet_Schedule!$G46</f>
        <v/>
      </c>
      <c r="D46" s="8">
        <f>$C46*Assumptions!$B$5</f>
        <v/>
      </c>
      <c r="E46" s="8">
        <f>$C46*Assumptions!$B$8</f>
        <v/>
      </c>
      <c r="F46" s="8">
        <f>$C46*Assumptions!$B$9</f>
        <v/>
      </c>
      <c r="G46" s="8">
        <f>$C46*Assumptions!$B$10</f>
        <v/>
      </c>
      <c r="H46" s="8">
        <f>$C46*Assumptions!$B$11</f>
        <v/>
      </c>
      <c r="I46" s="8">
        <f>$C46*Assumptions!$B$12</f>
        <v/>
      </c>
      <c r="J46" s="8">
        <f>$C46*Assumptions!$B$13</f>
        <v/>
      </c>
      <c r="K46" s="8">
        <f>$C46*Assumptions!$B$14</f>
        <v/>
      </c>
      <c r="L46" s="8">
        <f>SUM(E46:K46)</f>
        <v/>
      </c>
      <c r="M46" s="8">
        <f>D46-L46</f>
        <v/>
      </c>
      <c r="N46" s="8">
        <f>$C46*Assumptions!$B$17</f>
        <v/>
      </c>
      <c r="O46" s="8">
        <f>SUM(N46)</f>
        <v/>
      </c>
      <c r="P46" s="8">
        <f>M46-O46</f>
        <v/>
      </c>
      <c r="Q46" s="8">
        <f>Cash_Flow!$F46</f>
        <v/>
      </c>
      <c r="R46" s="8">
        <f>$P46-$Q46</f>
        <v/>
      </c>
      <c r="S46" s="8">
        <f>Assumptions!$B$21*MAX(0,$R46)</f>
        <v/>
      </c>
      <c r="T46" s="8">
        <f>$R46-$S46</f>
        <v/>
      </c>
      <c r="U46" s="8">
        <f>Cash_Flow!$I46</f>
        <v/>
      </c>
      <c r="V46" s="8">
        <f>$T46-$U46</f>
        <v/>
      </c>
      <c r="W46" s="8" t="n"/>
      <c r="X46" s="8" t="n"/>
      <c r="Y46" s="8" t="n"/>
      <c r="Z46" s="8" t="n"/>
      <c r="AA46" s="8" t="n"/>
      <c r="AB46" s="8" t="n"/>
    </row>
    <row r="47">
      <c r="A47" s="7" t="n">
        <v>4</v>
      </c>
      <c r="B47" s="7" t="n">
        <v>45</v>
      </c>
      <c r="C47" s="6">
        <f>Fleet_Schedule!$G47</f>
        <v/>
      </c>
      <c r="D47" s="8">
        <f>$C47*Assumptions!$B$5</f>
        <v/>
      </c>
      <c r="E47" s="8">
        <f>$C47*Assumptions!$B$8</f>
        <v/>
      </c>
      <c r="F47" s="8">
        <f>$C47*Assumptions!$B$9</f>
        <v/>
      </c>
      <c r="G47" s="8">
        <f>$C47*Assumptions!$B$10</f>
        <v/>
      </c>
      <c r="H47" s="8">
        <f>$C47*Assumptions!$B$11</f>
        <v/>
      </c>
      <c r="I47" s="8">
        <f>$C47*Assumptions!$B$12</f>
        <v/>
      </c>
      <c r="J47" s="8">
        <f>$C47*Assumptions!$B$13</f>
        <v/>
      </c>
      <c r="K47" s="8">
        <f>$C47*Assumptions!$B$14</f>
        <v/>
      </c>
      <c r="L47" s="8">
        <f>SUM(E47:K47)</f>
        <v/>
      </c>
      <c r="M47" s="8">
        <f>D47-L47</f>
        <v/>
      </c>
      <c r="N47" s="8">
        <f>$C47*Assumptions!$B$17</f>
        <v/>
      </c>
      <c r="O47" s="8">
        <f>SUM(N47)</f>
        <v/>
      </c>
      <c r="P47" s="8">
        <f>M47-O47</f>
        <v/>
      </c>
      <c r="Q47" s="8">
        <f>Cash_Flow!$F47</f>
        <v/>
      </c>
      <c r="R47" s="8">
        <f>$P47-$Q47</f>
        <v/>
      </c>
      <c r="S47" s="8">
        <f>Assumptions!$B$21*MAX(0,$R47)</f>
        <v/>
      </c>
      <c r="T47" s="8">
        <f>$R47-$S47</f>
        <v/>
      </c>
      <c r="U47" s="8">
        <f>Cash_Flow!$I47</f>
        <v/>
      </c>
      <c r="V47" s="8">
        <f>$T47-$U47</f>
        <v/>
      </c>
      <c r="W47" s="8" t="n"/>
      <c r="X47" s="8" t="n"/>
      <c r="Y47" s="8" t="n"/>
      <c r="Z47" s="8" t="n"/>
      <c r="AA47" s="8" t="n"/>
      <c r="AB47" s="8" t="n"/>
    </row>
    <row r="48">
      <c r="A48" s="7" t="n">
        <v>4</v>
      </c>
      <c r="B48" s="7" t="n">
        <v>46</v>
      </c>
      <c r="C48" s="6">
        <f>Fleet_Schedule!$G48</f>
        <v/>
      </c>
      <c r="D48" s="8">
        <f>$C48*Assumptions!$B$5</f>
        <v/>
      </c>
      <c r="E48" s="8">
        <f>$C48*Assumptions!$B$8</f>
        <v/>
      </c>
      <c r="F48" s="8">
        <f>$C48*Assumptions!$B$9</f>
        <v/>
      </c>
      <c r="G48" s="8">
        <f>$C48*Assumptions!$B$10</f>
        <v/>
      </c>
      <c r="H48" s="8">
        <f>$C48*Assumptions!$B$11</f>
        <v/>
      </c>
      <c r="I48" s="8">
        <f>$C48*Assumptions!$B$12</f>
        <v/>
      </c>
      <c r="J48" s="8">
        <f>$C48*Assumptions!$B$13</f>
        <v/>
      </c>
      <c r="K48" s="8">
        <f>$C48*Assumptions!$B$14</f>
        <v/>
      </c>
      <c r="L48" s="8">
        <f>SUM(E48:K48)</f>
        <v/>
      </c>
      <c r="M48" s="8">
        <f>D48-L48</f>
        <v/>
      </c>
      <c r="N48" s="8">
        <f>$C48*Assumptions!$B$17</f>
        <v/>
      </c>
      <c r="O48" s="8">
        <f>SUM(N48)</f>
        <v/>
      </c>
      <c r="P48" s="8">
        <f>M48-O48</f>
        <v/>
      </c>
      <c r="Q48" s="8">
        <f>Cash_Flow!$F48</f>
        <v/>
      </c>
      <c r="R48" s="8">
        <f>$P48-$Q48</f>
        <v/>
      </c>
      <c r="S48" s="8">
        <f>Assumptions!$B$21*MAX(0,$R48)</f>
        <v/>
      </c>
      <c r="T48" s="8">
        <f>$R48-$S48</f>
        <v/>
      </c>
      <c r="U48" s="8">
        <f>Cash_Flow!$I48</f>
        <v/>
      </c>
      <c r="V48" s="8">
        <f>$T48-$U48</f>
        <v/>
      </c>
      <c r="W48" s="8" t="n"/>
      <c r="X48" s="8" t="n"/>
      <c r="Y48" s="8" t="n"/>
      <c r="Z48" s="8" t="n"/>
      <c r="AA48" s="8" t="n"/>
      <c r="AB48" s="8" t="n"/>
    </row>
    <row r="49">
      <c r="A49" s="7" t="n">
        <v>4</v>
      </c>
      <c r="B49" s="7" t="n">
        <v>47</v>
      </c>
      <c r="C49" s="6">
        <f>Fleet_Schedule!$G49</f>
        <v/>
      </c>
      <c r="D49" s="8">
        <f>$C49*Assumptions!$B$5</f>
        <v/>
      </c>
      <c r="E49" s="8">
        <f>$C49*Assumptions!$B$8</f>
        <v/>
      </c>
      <c r="F49" s="8">
        <f>$C49*Assumptions!$B$9</f>
        <v/>
      </c>
      <c r="G49" s="8">
        <f>$C49*Assumptions!$B$10</f>
        <v/>
      </c>
      <c r="H49" s="8">
        <f>$C49*Assumptions!$B$11</f>
        <v/>
      </c>
      <c r="I49" s="8">
        <f>$C49*Assumptions!$B$12</f>
        <v/>
      </c>
      <c r="J49" s="8">
        <f>$C49*Assumptions!$B$13</f>
        <v/>
      </c>
      <c r="K49" s="8">
        <f>$C49*Assumptions!$B$14</f>
        <v/>
      </c>
      <c r="L49" s="8">
        <f>SUM(E49:K49)</f>
        <v/>
      </c>
      <c r="M49" s="8">
        <f>D49-L49</f>
        <v/>
      </c>
      <c r="N49" s="8">
        <f>$C49*Assumptions!$B$17</f>
        <v/>
      </c>
      <c r="O49" s="8">
        <f>SUM(N49)</f>
        <v/>
      </c>
      <c r="P49" s="8">
        <f>M49-O49</f>
        <v/>
      </c>
      <c r="Q49" s="8">
        <f>Cash_Flow!$F49</f>
        <v/>
      </c>
      <c r="R49" s="8">
        <f>$P49-$Q49</f>
        <v/>
      </c>
      <c r="S49" s="8">
        <f>Assumptions!$B$21*MAX(0,$R49)</f>
        <v/>
      </c>
      <c r="T49" s="8">
        <f>$R49-$S49</f>
        <v/>
      </c>
      <c r="U49" s="8">
        <f>Cash_Flow!$I49</f>
        <v/>
      </c>
      <c r="V49" s="8">
        <f>$T49-$U49</f>
        <v/>
      </c>
      <c r="W49" s="8" t="n"/>
      <c r="X49" s="8" t="n"/>
      <c r="Y49" s="8" t="n"/>
      <c r="Z49" s="8" t="n"/>
      <c r="AA49" s="8" t="n"/>
      <c r="AB49" s="8" t="n"/>
    </row>
    <row r="50">
      <c r="A50" s="7" t="n">
        <v>4</v>
      </c>
      <c r="B50" s="7" t="n">
        <v>48</v>
      </c>
      <c r="C50" s="6">
        <f>Fleet_Schedule!$G50</f>
        <v/>
      </c>
      <c r="D50" s="8">
        <f>$C50*Assumptions!$B$5</f>
        <v/>
      </c>
      <c r="E50" s="8">
        <f>$C50*Assumptions!$B$8</f>
        <v/>
      </c>
      <c r="F50" s="8">
        <f>$C50*Assumptions!$B$9</f>
        <v/>
      </c>
      <c r="G50" s="8">
        <f>$C50*Assumptions!$B$10</f>
        <v/>
      </c>
      <c r="H50" s="8">
        <f>$C50*Assumptions!$B$11</f>
        <v/>
      </c>
      <c r="I50" s="8">
        <f>$C50*Assumptions!$B$12</f>
        <v/>
      </c>
      <c r="J50" s="8">
        <f>$C50*Assumptions!$B$13</f>
        <v/>
      </c>
      <c r="K50" s="8">
        <f>$C50*Assumptions!$B$14</f>
        <v/>
      </c>
      <c r="L50" s="8">
        <f>SUM(E50:K50)</f>
        <v/>
      </c>
      <c r="M50" s="8">
        <f>D50-L50</f>
        <v/>
      </c>
      <c r="N50" s="8">
        <f>$C50*Assumptions!$B$17</f>
        <v/>
      </c>
      <c r="O50" s="8">
        <f>SUM(N50)</f>
        <v/>
      </c>
      <c r="P50" s="8">
        <f>M50-O50</f>
        <v/>
      </c>
      <c r="Q50" s="8">
        <f>Cash_Flow!$F50</f>
        <v/>
      </c>
      <c r="R50" s="8">
        <f>$P50-$Q50</f>
        <v/>
      </c>
      <c r="S50" s="8">
        <f>Assumptions!$B$21*MAX(0,$R50)</f>
        <v/>
      </c>
      <c r="T50" s="8">
        <f>$R50-$S50</f>
        <v/>
      </c>
      <c r="U50" s="8">
        <f>Cash_Flow!$I50</f>
        <v/>
      </c>
      <c r="V50" s="8">
        <f>$T50-$U50</f>
        <v/>
      </c>
      <c r="W50" s="8" t="n"/>
      <c r="X50" s="8" t="n"/>
      <c r="Y50" s="8" t="n"/>
      <c r="Z50" s="8" t="n"/>
      <c r="AA50" s="8" t="n"/>
      <c r="AB50" s="8" t="n"/>
    </row>
    <row r="51">
      <c r="A51" s="7" t="n">
        <v>5</v>
      </c>
      <c r="B51" s="7" t="n">
        <v>49</v>
      </c>
      <c r="C51" s="6">
        <f>Fleet_Schedule!$G51</f>
        <v/>
      </c>
      <c r="D51" s="8">
        <f>$C51*Assumptions!$B$5</f>
        <v/>
      </c>
      <c r="E51" s="8">
        <f>$C51*Assumptions!$B$8</f>
        <v/>
      </c>
      <c r="F51" s="8">
        <f>$C51*Assumptions!$B$9</f>
        <v/>
      </c>
      <c r="G51" s="8">
        <f>$C51*Assumptions!$B$10</f>
        <v/>
      </c>
      <c r="H51" s="8">
        <f>$C51*Assumptions!$B$11</f>
        <v/>
      </c>
      <c r="I51" s="8">
        <f>$C51*Assumptions!$B$12</f>
        <v/>
      </c>
      <c r="J51" s="8">
        <f>$C51*Assumptions!$B$13</f>
        <v/>
      </c>
      <c r="K51" s="8">
        <f>$C51*Assumptions!$B$14</f>
        <v/>
      </c>
      <c r="L51" s="8">
        <f>SUM(E51:K51)</f>
        <v/>
      </c>
      <c r="M51" s="8">
        <f>D51-L51</f>
        <v/>
      </c>
      <c r="N51" s="8">
        <f>$C51*Assumptions!$B$17</f>
        <v/>
      </c>
      <c r="O51" s="8">
        <f>SUM(N51)</f>
        <v/>
      </c>
      <c r="P51" s="8">
        <f>M51-O51</f>
        <v/>
      </c>
      <c r="Q51" s="8">
        <f>Cash_Flow!$F51</f>
        <v/>
      </c>
      <c r="R51" s="8">
        <f>$P51-$Q51</f>
        <v/>
      </c>
      <c r="S51" s="8">
        <f>Assumptions!$B$21*MAX(0,$R51)</f>
        <v/>
      </c>
      <c r="T51" s="8">
        <f>$R51-$S51</f>
        <v/>
      </c>
      <c r="U51" s="8">
        <f>Cash_Flow!$I51</f>
        <v/>
      </c>
      <c r="V51" s="8">
        <f>$T51-$U51</f>
        <v/>
      </c>
      <c r="W51" s="8" t="n"/>
      <c r="X51" s="8" t="n"/>
      <c r="Y51" s="8" t="n"/>
      <c r="Z51" s="8" t="n"/>
      <c r="AA51" s="8" t="n"/>
      <c r="AB51" s="8" t="n"/>
    </row>
    <row r="52">
      <c r="A52" s="7" t="n">
        <v>5</v>
      </c>
      <c r="B52" s="7" t="n">
        <v>50</v>
      </c>
      <c r="C52" s="6">
        <f>Fleet_Schedule!$G52</f>
        <v/>
      </c>
      <c r="D52" s="8">
        <f>$C52*Assumptions!$B$5</f>
        <v/>
      </c>
      <c r="E52" s="8">
        <f>$C52*Assumptions!$B$8</f>
        <v/>
      </c>
      <c r="F52" s="8">
        <f>$C52*Assumptions!$B$9</f>
        <v/>
      </c>
      <c r="G52" s="8">
        <f>$C52*Assumptions!$B$10</f>
        <v/>
      </c>
      <c r="H52" s="8">
        <f>$C52*Assumptions!$B$11</f>
        <v/>
      </c>
      <c r="I52" s="8">
        <f>$C52*Assumptions!$B$12</f>
        <v/>
      </c>
      <c r="J52" s="8">
        <f>$C52*Assumptions!$B$13</f>
        <v/>
      </c>
      <c r="K52" s="8">
        <f>$C52*Assumptions!$B$14</f>
        <v/>
      </c>
      <c r="L52" s="8">
        <f>SUM(E52:K52)</f>
        <v/>
      </c>
      <c r="M52" s="8">
        <f>D52-L52</f>
        <v/>
      </c>
      <c r="N52" s="8">
        <f>$C52*Assumptions!$B$17</f>
        <v/>
      </c>
      <c r="O52" s="8">
        <f>SUM(N52)</f>
        <v/>
      </c>
      <c r="P52" s="8">
        <f>M52-O52</f>
        <v/>
      </c>
      <c r="Q52" s="8">
        <f>Cash_Flow!$F52</f>
        <v/>
      </c>
      <c r="R52" s="8">
        <f>$P52-$Q52</f>
        <v/>
      </c>
      <c r="S52" s="8">
        <f>Assumptions!$B$21*MAX(0,$R52)</f>
        <v/>
      </c>
      <c r="T52" s="8">
        <f>$R52-$S52</f>
        <v/>
      </c>
      <c r="U52" s="8">
        <f>Cash_Flow!$I52</f>
        <v/>
      </c>
      <c r="V52" s="8">
        <f>$T52-$U52</f>
        <v/>
      </c>
      <c r="W52" s="8" t="n"/>
      <c r="X52" s="8" t="n"/>
      <c r="Y52" s="8" t="n"/>
      <c r="Z52" s="8" t="n"/>
      <c r="AA52" s="8" t="n"/>
      <c r="AB52" s="8" t="n"/>
    </row>
    <row r="53">
      <c r="A53" s="7" t="n">
        <v>5</v>
      </c>
      <c r="B53" s="7" t="n">
        <v>51</v>
      </c>
      <c r="C53" s="6">
        <f>Fleet_Schedule!$G53</f>
        <v/>
      </c>
      <c r="D53" s="8">
        <f>$C53*Assumptions!$B$5</f>
        <v/>
      </c>
      <c r="E53" s="8">
        <f>$C53*Assumptions!$B$8</f>
        <v/>
      </c>
      <c r="F53" s="8">
        <f>$C53*Assumptions!$B$9</f>
        <v/>
      </c>
      <c r="G53" s="8">
        <f>$C53*Assumptions!$B$10</f>
        <v/>
      </c>
      <c r="H53" s="8">
        <f>$C53*Assumptions!$B$11</f>
        <v/>
      </c>
      <c r="I53" s="8">
        <f>$C53*Assumptions!$B$12</f>
        <v/>
      </c>
      <c r="J53" s="8">
        <f>$C53*Assumptions!$B$13</f>
        <v/>
      </c>
      <c r="K53" s="8">
        <f>$C53*Assumptions!$B$14</f>
        <v/>
      </c>
      <c r="L53" s="8">
        <f>SUM(E53:K53)</f>
        <v/>
      </c>
      <c r="M53" s="8">
        <f>D53-L53</f>
        <v/>
      </c>
      <c r="N53" s="8">
        <f>$C53*Assumptions!$B$17</f>
        <v/>
      </c>
      <c r="O53" s="8">
        <f>SUM(N53)</f>
        <v/>
      </c>
      <c r="P53" s="8">
        <f>M53-O53</f>
        <v/>
      </c>
      <c r="Q53" s="8">
        <f>Cash_Flow!$F53</f>
        <v/>
      </c>
      <c r="R53" s="8">
        <f>$P53-$Q53</f>
        <v/>
      </c>
      <c r="S53" s="8">
        <f>Assumptions!$B$21*MAX(0,$R53)</f>
        <v/>
      </c>
      <c r="T53" s="8">
        <f>$R53-$S53</f>
        <v/>
      </c>
      <c r="U53" s="8">
        <f>Cash_Flow!$I53</f>
        <v/>
      </c>
      <c r="V53" s="8">
        <f>$T53-$U53</f>
        <v/>
      </c>
      <c r="W53" s="8" t="n"/>
      <c r="X53" s="8" t="n"/>
      <c r="Y53" s="8" t="n"/>
      <c r="Z53" s="8" t="n"/>
      <c r="AA53" s="8" t="n"/>
      <c r="AB53" s="8" t="n"/>
    </row>
    <row r="54">
      <c r="A54" s="7" t="n">
        <v>5</v>
      </c>
      <c r="B54" s="7" t="n">
        <v>52</v>
      </c>
      <c r="C54" s="6">
        <f>Fleet_Schedule!$G54</f>
        <v/>
      </c>
      <c r="D54" s="8">
        <f>$C54*Assumptions!$B$5</f>
        <v/>
      </c>
      <c r="E54" s="8">
        <f>$C54*Assumptions!$B$8</f>
        <v/>
      </c>
      <c r="F54" s="8">
        <f>$C54*Assumptions!$B$9</f>
        <v/>
      </c>
      <c r="G54" s="8">
        <f>$C54*Assumptions!$B$10</f>
        <v/>
      </c>
      <c r="H54" s="8">
        <f>$C54*Assumptions!$B$11</f>
        <v/>
      </c>
      <c r="I54" s="8">
        <f>$C54*Assumptions!$B$12</f>
        <v/>
      </c>
      <c r="J54" s="8">
        <f>$C54*Assumptions!$B$13</f>
        <v/>
      </c>
      <c r="K54" s="8">
        <f>$C54*Assumptions!$B$14</f>
        <v/>
      </c>
      <c r="L54" s="8">
        <f>SUM(E54:K54)</f>
        <v/>
      </c>
      <c r="M54" s="8">
        <f>D54-L54</f>
        <v/>
      </c>
      <c r="N54" s="8">
        <f>$C54*Assumptions!$B$17</f>
        <v/>
      </c>
      <c r="O54" s="8">
        <f>SUM(N54)</f>
        <v/>
      </c>
      <c r="P54" s="8">
        <f>M54-O54</f>
        <v/>
      </c>
      <c r="Q54" s="8">
        <f>Cash_Flow!$F54</f>
        <v/>
      </c>
      <c r="R54" s="8">
        <f>$P54-$Q54</f>
        <v/>
      </c>
      <c r="S54" s="8">
        <f>Assumptions!$B$21*MAX(0,$R54)</f>
        <v/>
      </c>
      <c r="T54" s="8">
        <f>$R54-$S54</f>
        <v/>
      </c>
      <c r="U54" s="8">
        <f>Cash_Flow!$I54</f>
        <v/>
      </c>
      <c r="V54" s="8">
        <f>$T54-$U54</f>
        <v/>
      </c>
      <c r="W54" s="8" t="n"/>
      <c r="X54" s="8" t="n"/>
      <c r="Y54" s="8" t="n"/>
      <c r="Z54" s="8" t="n"/>
      <c r="AA54" s="8" t="n"/>
      <c r="AB54" s="8" t="n"/>
    </row>
    <row r="55">
      <c r="A55" s="7" t="n">
        <v>5</v>
      </c>
      <c r="B55" s="7" t="n">
        <v>53</v>
      </c>
      <c r="C55" s="6">
        <f>Fleet_Schedule!$G55</f>
        <v/>
      </c>
      <c r="D55" s="8">
        <f>$C55*Assumptions!$B$5</f>
        <v/>
      </c>
      <c r="E55" s="8">
        <f>$C55*Assumptions!$B$8</f>
        <v/>
      </c>
      <c r="F55" s="8">
        <f>$C55*Assumptions!$B$9</f>
        <v/>
      </c>
      <c r="G55" s="8">
        <f>$C55*Assumptions!$B$10</f>
        <v/>
      </c>
      <c r="H55" s="8">
        <f>$C55*Assumptions!$B$11</f>
        <v/>
      </c>
      <c r="I55" s="8">
        <f>$C55*Assumptions!$B$12</f>
        <v/>
      </c>
      <c r="J55" s="8">
        <f>$C55*Assumptions!$B$13</f>
        <v/>
      </c>
      <c r="K55" s="8">
        <f>$C55*Assumptions!$B$14</f>
        <v/>
      </c>
      <c r="L55" s="8">
        <f>SUM(E55:K55)</f>
        <v/>
      </c>
      <c r="M55" s="8">
        <f>D55-L55</f>
        <v/>
      </c>
      <c r="N55" s="8">
        <f>$C55*Assumptions!$B$17</f>
        <v/>
      </c>
      <c r="O55" s="8">
        <f>SUM(N55)</f>
        <v/>
      </c>
      <c r="P55" s="8">
        <f>M55-O55</f>
        <v/>
      </c>
      <c r="Q55" s="8">
        <f>Cash_Flow!$F55</f>
        <v/>
      </c>
      <c r="R55" s="8">
        <f>$P55-$Q55</f>
        <v/>
      </c>
      <c r="S55" s="8">
        <f>Assumptions!$B$21*MAX(0,$R55)</f>
        <v/>
      </c>
      <c r="T55" s="8">
        <f>$R55-$S55</f>
        <v/>
      </c>
      <c r="U55" s="8">
        <f>Cash_Flow!$I55</f>
        <v/>
      </c>
      <c r="V55" s="8">
        <f>$T55-$U55</f>
        <v/>
      </c>
      <c r="W55" s="8" t="n"/>
      <c r="X55" s="8" t="n"/>
      <c r="Y55" s="8" t="n"/>
      <c r="Z55" s="8" t="n"/>
      <c r="AA55" s="8" t="n"/>
      <c r="AB55" s="8" t="n"/>
    </row>
    <row r="56">
      <c r="A56" s="7" t="n">
        <v>5</v>
      </c>
      <c r="B56" s="7" t="n">
        <v>54</v>
      </c>
      <c r="C56" s="6">
        <f>Fleet_Schedule!$G56</f>
        <v/>
      </c>
      <c r="D56" s="8">
        <f>$C56*Assumptions!$B$5</f>
        <v/>
      </c>
      <c r="E56" s="8">
        <f>$C56*Assumptions!$B$8</f>
        <v/>
      </c>
      <c r="F56" s="8">
        <f>$C56*Assumptions!$B$9</f>
        <v/>
      </c>
      <c r="G56" s="8">
        <f>$C56*Assumptions!$B$10</f>
        <v/>
      </c>
      <c r="H56" s="8">
        <f>$C56*Assumptions!$B$11</f>
        <v/>
      </c>
      <c r="I56" s="8">
        <f>$C56*Assumptions!$B$12</f>
        <v/>
      </c>
      <c r="J56" s="8">
        <f>$C56*Assumptions!$B$13</f>
        <v/>
      </c>
      <c r="K56" s="8">
        <f>$C56*Assumptions!$B$14</f>
        <v/>
      </c>
      <c r="L56" s="8">
        <f>SUM(E56:K56)</f>
        <v/>
      </c>
      <c r="M56" s="8">
        <f>D56-L56</f>
        <v/>
      </c>
      <c r="N56" s="8">
        <f>$C56*Assumptions!$B$17</f>
        <v/>
      </c>
      <c r="O56" s="8">
        <f>SUM(N56)</f>
        <v/>
      </c>
      <c r="P56" s="8">
        <f>M56-O56</f>
        <v/>
      </c>
      <c r="Q56" s="8">
        <f>Cash_Flow!$F56</f>
        <v/>
      </c>
      <c r="R56" s="8">
        <f>$P56-$Q56</f>
        <v/>
      </c>
      <c r="S56" s="8">
        <f>Assumptions!$B$21*MAX(0,$R56)</f>
        <v/>
      </c>
      <c r="T56" s="8">
        <f>$R56-$S56</f>
        <v/>
      </c>
      <c r="U56" s="8">
        <f>Cash_Flow!$I56</f>
        <v/>
      </c>
      <c r="V56" s="8">
        <f>$T56-$U56</f>
        <v/>
      </c>
      <c r="W56" s="8" t="n"/>
      <c r="X56" s="8" t="n"/>
      <c r="Y56" s="8" t="n"/>
      <c r="Z56" s="8" t="n"/>
      <c r="AA56" s="8" t="n"/>
      <c r="AB56" s="8" t="n"/>
    </row>
    <row r="57">
      <c r="A57" s="7" t="n">
        <v>5</v>
      </c>
      <c r="B57" s="7" t="n">
        <v>55</v>
      </c>
      <c r="C57" s="6">
        <f>Fleet_Schedule!$G57</f>
        <v/>
      </c>
      <c r="D57" s="8">
        <f>$C57*Assumptions!$B$5</f>
        <v/>
      </c>
      <c r="E57" s="8">
        <f>$C57*Assumptions!$B$8</f>
        <v/>
      </c>
      <c r="F57" s="8">
        <f>$C57*Assumptions!$B$9</f>
        <v/>
      </c>
      <c r="G57" s="8">
        <f>$C57*Assumptions!$B$10</f>
        <v/>
      </c>
      <c r="H57" s="8">
        <f>$C57*Assumptions!$B$11</f>
        <v/>
      </c>
      <c r="I57" s="8">
        <f>$C57*Assumptions!$B$12</f>
        <v/>
      </c>
      <c r="J57" s="8">
        <f>$C57*Assumptions!$B$13</f>
        <v/>
      </c>
      <c r="K57" s="8">
        <f>$C57*Assumptions!$B$14</f>
        <v/>
      </c>
      <c r="L57" s="8">
        <f>SUM(E57:K57)</f>
        <v/>
      </c>
      <c r="M57" s="8">
        <f>D57-L57</f>
        <v/>
      </c>
      <c r="N57" s="8">
        <f>$C57*Assumptions!$B$17</f>
        <v/>
      </c>
      <c r="O57" s="8">
        <f>SUM(N57)</f>
        <v/>
      </c>
      <c r="P57" s="8">
        <f>M57-O57</f>
        <v/>
      </c>
      <c r="Q57" s="8">
        <f>Cash_Flow!$F57</f>
        <v/>
      </c>
      <c r="R57" s="8">
        <f>$P57-$Q57</f>
        <v/>
      </c>
      <c r="S57" s="8">
        <f>Assumptions!$B$21*MAX(0,$R57)</f>
        <v/>
      </c>
      <c r="T57" s="8">
        <f>$R57-$S57</f>
        <v/>
      </c>
      <c r="U57" s="8">
        <f>Cash_Flow!$I57</f>
        <v/>
      </c>
      <c r="V57" s="8">
        <f>$T57-$U57</f>
        <v/>
      </c>
      <c r="W57" s="8" t="n"/>
      <c r="X57" s="8" t="n"/>
      <c r="Y57" s="8" t="n"/>
      <c r="Z57" s="8" t="n"/>
      <c r="AA57" s="8" t="n"/>
      <c r="AB57" s="8" t="n"/>
    </row>
    <row r="58">
      <c r="A58" s="7" t="n">
        <v>5</v>
      </c>
      <c r="B58" s="7" t="n">
        <v>56</v>
      </c>
      <c r="C58" s="6">
        <f>Fleet_Schedule!$G58</f>
        <v/>
      </c>
      <c r="D58" s="8">
        <f>$C58*Assumptions!$B$5</f>
        <v/>
      </c>
      <c r="E58" s="8">
        <f>$C58*Assumptions!$B$8</f>
        <v/>
      </c>
      <c r="F58" s="8">
        <f>$C58*Assumptions!$B$9</f>
        <v/>
      </c>
      <c r="G58" s="8">
        <f>$C58*Assumptions!$B$10</f>
        <v/>
      </c>
      <c r="H58" s="8">
        <f>$C58*Assumptions!$B$11</f>
        <v/>
      </c>
      <c r="I58" s="8">
        <f>$C58*Assumptions!$B$12</f>
        <v/>
      </c>
      <c r="J58" s="8">
        <f>$C58*Assumptions!$B$13</f>
        <v/>
      </c>
      <c r="K58" s="8">
        <f>$C58*Assumptions!$B$14</f>
        <v/>
      </c>
      <c r="L58" s="8">
        <f>SUM(E58:K58)</f>
        <v/>
      </c>
      <c r="M58" s="8">
        <f>D58-L58</f>
        <v/>
      </c>
      <c r="N58" s="8">
        <f>$C58*Assumptions!$B$17</f>
        <v/>
      </c>
      <c r="O58" s="8">
        <f>SUM(N58)</f>
        <v/>
      </c>
      <c r="P58" s="8">
        <f>M58-O58</f>
        <v/>
      </c>
      <c r="Q58" s="8">
        <f>Cash_Flow!$F58</f>
        <v/>
      </c>
      <c r="R58" s="8">
        <f>$P58-$Q58</f>
        <v/>
      </c>
      <c r="S58" s="8">
        <f>Assumptions!$B$21*MAX(0,$R58)</f>
        <v/>
      </c>
      <c r="T58" s="8">
        <f>$R58-$S58</f>
        <v/>
      </c>
      <c r="U58" s="8">
        <f>Cash_Flow!$I58</f>
        <v/>
      </c>
      <c r="V58" s="8">
        <f>$T58-$U58</f>
        <v/>
      </c>
      <c r="W58" s="8" t="n"/>
      <c r="X58" s="8" t="n"/>
      <c r="Y58" s="8" t="n"/>
      <c r="Z58" s="8" t="n"/>
      <c r="AA58" s="8" t="n"/>
      <c r="AB58" s="8" t="n"/>
    </row>
    <row r="59">
      <c r="A59" s="7" t="n">
        <v>5</v>
      </c>
      <c r="B59" s="7" t="n">
        <v>57</v>
      </c>
      <c r="C59" s="6">
        <f>Fleet_Schedule!$G59</f>
        <v/>
      </c>
      <c r="D59" s="8">
        <f>$C59*Assumptions!$B$5</f>
        <v/>
      </c>
      <c r="E59" s="8">
        <f>$C59*Assumptions!$B$8</f>
        <v/>
      </c>
      <c r="F59" s="8">
        <f>$C59*Assumptions!$B$9</f>
        <v/>
      </c>
      <c r="G59" s="8">
        <f>$C59*Assumptions!$B$10</f>
        <v/>
      </c>
      <c r="H59" s="8">
        <f>$C59*Assumptions!$B$11</f>
        <v/>
      </c>
      <c r="I59" s="8">
        <f>$C59*Assumptions!$B$12</f>
        <v/>
      </c>
      <c r="J59" s="8">
        <f>$C59*Assumptions!$B$13</f>
        <v/>
      </c>
      <c r="K59" s="8">
        <f>$C59*Assumptions!$B$14</f>
        <v/>
      </c>
      <c r="L59" s="8">
        <f>SUM(E59:K59)</f>
        <v/>
      </c>
      <c r="M59" s="8">
        <f>D59-L59</f>
        <v/>
      </c>
      <c r="N59" s="8">
        <f>$C59*Assumptions!$B$17</f>
        <v/>
      </c>
      <c r="O59" s="8">
        <f>SUM(N59)</f>
        <v/>
      </c>
      <c r="P59" s="8">
        <f>M59-O59</f>
        <v/>
      </c>
      <c r="Q59" s="8">
        <f>Cash_Flow!$F59</f>
        <v/>
      </c>
      <c r="R59" s="8">
        <f>$P59-$Q59</f>
        <v/>
      </c>
      <c r="S59" s="8">
        <f>Assumptions!$B$21*MAX(0,$R59)</f>
        <v/>
      </c>
      <c r="T59" s="8">
        <f>$R59-$S59</f>
        <v/>
      </c>
      <c r="U59" s="8">
        <f>Cash_Flow!$I59</f>
        <v/>
      </c>
      <c r="V59" s="8">
        <f>$T59-$U59</f>
        <v/>
      </c>
      <c r="W59" s="8" t="n"/>
      <c r="X59" s="8" t="n"/>
      <c r="Y59" s="8" t="n"/>
      <c r="Z59" s="8" t="n"/>
      <c r="AA59" s="8" t="n"/>
      <c r="AB59" s="8" t="n"/>
    </row>
    <row r="60">
      <c r="A60" s="7" t="n">
        <v>5</v>
      </c>
      <c r="B60" s="7" t="n">
        <v>58</v>
      </c>
      <c r="C60" s="6">
        <f>Fleet_Schedule!$G60</f>
        <v/>
      </c>
      <c r="D60" s="8">
        <f>$C60*Assumptions!$B$5</f>
        <v/>
      </c>
      <c r="E60" s="8">
        <f>$C60*Assumptions!$B$8</f>
        <v/>
      </c>
      <c r="F60" s="8">
        <f>$C60*Assumptions!$B$9</f>
        <v/>
      </c>
      <c r="G60" s="8">
        <f>$C60*Assumptions!$B$10</f>
        <v/>
      </c>
      <c r="H60" s="8">
        <f>$C60*Assumptions!$B$11</f>
        <v/>
      </c>
      <c r="I60" s="8">
        <f>$C60*Assumptions!$B$12</f>
        <v/>
      </c>
      <c r="J60" s="8">
        <f>$C60*Assumptions!$B$13</f>
        <v/>
      </c>
      <c r="K60" s="8">
        <f>$C60*Assumptions!$B$14</f>
        <v/>
      </c>
      <c r="L60" s="8">
        <f>SUM(E60:K60)</f>
        <v/>
      </c>
      <c r="M60" s="8">
        <f>D60-L60</f>
        <v/>
      </c>
      <c r="N60" s="8">
        <f>$C60*Assumptions!$B$17</f>
        <v/>
      </c>
      <c r="O60" s="8">
        <f>SUM(N60)</f>
        <v/>
      </c>
      <c r="P60" s="8">
        <f>M60-O60</f>
        <v/>
      </c>
      <c r="Q60" s="8">
        <f>Cash_Flow!$F60</f>
        <v/>
      </c>
      <c r="R60" s="8">
        <f>$P60-$Q60</f>
        <v/>
      </c>
      <c r="S60" s="8">
        <f>Assumptions!$B$21*MAX(0,$R60)</f>
        <v/>
      </c>
      <c r="T60" s="8">
        <f>$R60-$S60</f>
        <v/>
      </c>
      <c r="U60" s="8">
        <f>Cash_Flow!$I60</f>
        <v/>
      </c>
      <c r="V60" s="8">
        <f>$T60-$U60</f>
        <v/>
      </c>
      <c r="W60" s="8" t="n"/>
      <c r="X60" s="8" t="n"/>
      <c r="Y60" s="8" t="n"/>
      <c r="Z60" s="8" t="n"/>
      <c r="AA60" s="8" t="n"/>
      <c r="AB60" s="8" t="n"/>
    </row>
    <row r="61">
      <c r="A61" s="7" t="n">
        <v>5</v>
      </c>
      <c r="B61" s="7" t="n">
        <v>59</v>
      </c>
      <c r="C61" s="6">
        <f>Fleet_Schedule!$G61</f>
        <v/>
      </c>
      <c r="D61" s="8">
        <f>$C61*Assumptions!$B$5</f>
        <v/>
      </c>
      <c r="E61" s="8">
        <f>$C61*Assumptions!$B$8</f>
        <v/>
      </c>
      <c r="F61" s="8">
        <f>$C61*Assumptions!$B$9</f>
        <v/>
      </c>
      <c r="G61" s="8">
        <f>$C61*Assumptions!$B$10</f>
        <v/>
      </c>
      <c r="H61" s="8">
        <f>$C61*Assumptions!$B$11</f>
        <v/>
      </c>
      <c r="I61" s="8">
        <f>$C61*Assumptions!$B$12</f>
        <v/>
      </c>
      <c r="J61" s="8">
        <f>$C61*Assumptions!$B$13</f>
        <v/>
      </c>
      <c r="K61" s="8">
        <f>$C61*Assumptions!$B$14</f>
        <v/>
      </c>
      <c r="L61" s="8">
        <f>SUM(E61:K61)</f>
        <v/>
      </c>
      <c r="M61" s="8">
        <f>D61-L61</f>
        <v/>
      </c>
      <c r="N61" s="8">
        <f>$C61*Assumptions!$B$17</f>
        <v/>
      </c>
      <c r="O61" s="8">
        <f>SUM(N61)</f>
        <v/>
      </c>
      <c r="P61" s="8">
        <f>M61-O61</f>
        <v/>
      </c>
      <c r="Q61" s="8">
        <f>Cash_Flow!$F61</f>
        <v/>
      </c>
      <c r="R61" s="8">
        <f>$P61-$Q61</f>
        <v/>
      </c>
      <c r="S61" s="8">
        <f>Assumptions!$B$21*MAX(0,$R61)</f>
        <v/>
      </c>
      <c r="T61" s="8">
        <f>$R61-$S61</f>
        <v/>
      </c>
      <c r="U61" s="8">
        <f>Cash_Flow!$I61</f>
        <v/>
      </c>
      <c r="V61" s="8">
        <f>$T61-$U61</f>
        <v/>
      </c>
      <c r="W61" s="8" t="n"/>
      <c r="X61" s="8" t="n"/>
      <c r="Y61" s="8" t="n"/>
      <c r="Z61" s="8" t="n"/>
      <c r="AA61" s="8" t="n"/>
      <c r="AB61" s="8" t="n"/>
    </row>
    <row r="62">
      <c r="A62" s="7" t="n">
        <v>5</v>
      </c>
      <c r="B62" s="7" t="n">
        <v>60</v>
      </c>
      <c r="C62" s="6">
        <f>Fleet_Schedule!$G62</f>
        <v/>
      </c>
      <c r="D62" s="8">
        <f>$C62*Assumptions!$B$5</f>
        <v/>
      </c>
      <c r="E62" s="8">
        <f>$C62*Assumptions!$B$8</f>
        <v/>
      </c>
      <c r="F62" s="8">
        <f>$C62*Assumptions!$B$9</f>
        <v/>
      </c>
      <c r="G62" s="8">
        <f>$C62*Assumptions!$B$10</f>
        <v/>
      </c>
      <c r="H62" s="8">
        <f>$C62*Assumptions!$B$11</f>
        <v/>
      </c>
      <c r="I62" s="8">
        <f>$C62*Assumptions!$B$12</f>
        <v/>
      </c>
      <c r="J62" s="8">
        <f>$C62*Assumptions!$B$13</f>
        <v/>
      </c>
      <c r="K62" s="8">
        <f>$C62*Assumptions!$B$14</f>
        <v/>
      </c>
      <c r="L62" s="8">
        <f>SUM(E62:K62)</f>
        <v/>
      </c>
      <c r="M62" s="8">
        <f>D62-L62</f>
        <v/>
      </c>
      <c r="N62" s="8">
        <f>$C62*Assumptions!$B$17</f>
        <v/>
      </c>
      <c r="O62" s="8">
        <f>SUM(N62)</f>
        <v/>
      </c>
      <c r="P62" s="8">
        <f>M62-O62</f>
        <v/>
      </c>
      <c r="Q62" s="8">
        <f>Cash_Flow!$F62</f>
        <v/>
      </c>
      <c r="R62" s="8">
        <f>$P62-$Q62</f>
        <v/>
      </c>
      <c r="S62" s="8">
        <f>Assumptions!$B$21*MAX(0,$R62)</f>
        <v/>
      </c>
      <c r="T62" s="8">
        <f>$R62-$S62</f>
        <v/>
      </c>
      <c r="U62" s="8">
        <f>Cash_Flow!$I62</f>
        <v/>
      </c>
      <c r="V62" s="8">
        <f>$T62-$U62</f>
        <v/>
      </c>
      <c r="W62" s="8" t="n"/>
      <c r="X62" s="8" t="n"/>
      <c r="Y62" s="8" t="n"/>
      <c r="Z62" s="8" t="n"/>
      <c r="AA62" s="8" t="n"/>
      <c r="AB62" s="8" t="n"/>
    </row>
  </sheetData>
  <mergeCells count="1">
    <mergeCell ref="A1:C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2"/>
  <sheetViews>
    <sheetView showGridLines="0" zoomScale="130" zoomScaleNormal="130" workbookViewId="0">
      <pane xSplit="2" ySplit="2" topLeftCell="R3" activePane="bottomRight" state="frozen"/>
      <selection pane="topRight" activeCell="B1" sqref="B1"/>
      <selection pane="bottomLeft" activeCell="A3" sqref="A3"/>
      <selection pane="bottomRight" activeCell="U3" sqref="U3"/>
    </sheetView>
  </sheetViews>
  <sheetFormatPr baseColWidth="8" defaultColWidth="8.7109375" defaultRowHeight="15" customHeight="1"/>
  <cols>
    <col width="10" customWidth="1" style="25" min="2" max="2"/>
    <col width="20.28515625" bestFit="1" customWidth="1" style="25" min="3" max="3"/>
    <col width="18.42578125" customWidth="1" style="25" min="4" max="4"/>
    <col width="21.42578125" customWidth="1" style="25" min="5" max="5"/>
    <col width="16" customWidth="1" style="25" min="6" max="6"/>
    <col width="21.7109375" customWidth="1" style="25" min="7" max="7"/>
    <col width="16" customWidth="1" style="25" min="8" max="8"/>
    <col width="18.140625" customWidth="1" style="25" min="9" max="11"/>
    <col width="16" customWidth="1" style="25" min="12" max="12"/>
    <col width="18.42578125" customWidth="1" style="25" min="13" max="20"/>
    <col width="23.5703125" customWidth="1" style="25" min="21" max="22"/>
    <col width="20.42578125" customWidth="1" style="25" min="23" max="23"/>
    <col width="12.5703125" bestFit="1" customWidth="1" style="25" min="24" max="24"/>
  </cols>
  <sheetData>
    <row r="1" ht="17.25" customHeight="1" s="25">
      <c r="B1" s="24" t="inlineStr">
        <is>
          <t xml:space="preserve">Monthly Balance Sheet Snapshot </t>
        </is>
      </c>
      <c r="I1" s="24" t="n"/>
      <c r="J1" s="24" t="n"/>
      <c r="K1" s="24" t="n"/>
      <c r="L1" s="24" t="n"/>
    </row>
    <row r="2" ht="58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Total Owner/Investor Capital Invested</t>
        </is>
      </c>
      <c r="D2" s="2" t="inlineStr">
        <is>
          <t>Net Owner/Investor Capital Outstanding</t>
        </is>
      </c>
      <c r="E2" s="2" t="inlineStr">
        <is>
          <t>Loan Closing Balance</t>
        </is>
      </c>
      <c r="F2" s="2" t="inlineStr">
        <is>
          <t>Cars in Operation (count)</t>
        </is>
      </c>
      <c r="G2" s="2" t="inlineStr">
        <is>
          <t>Total Cars Operation (Cummulative)</t>
        </is>
      </c>
      <c r="H2" s="2" t="inlineStr">
        <is>
          <t>Vehicles In Use - Cost</t>
        </is>
      </c>
      <c r="I2" s="2" t="inlineStr">
        <is>
          <t>Total Cars Cost (Cummulative)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Gross Revenue (Cummulative)</t>
        </is>
      </c>
      <c r="M2" s="16" t="inlineStr">
        <is>
          <t>Operating Expenses (Cummulative)</t>
        </is>
      </c>
      <c r="N2" s="13" t="inlineStr">
        <is>
          <t>Operating Profit (Cummulative)</t>
        </is>
      </c>
      <c r="O2" s="13" t="inlineStr">
        <is>
          <t>Loan Repayment (Cummulative)</t>
        </is>
      </c>
      <c r="P2" s="13" t="inlineStr">
        <is>
          <t>Income Tax</t>
        </is>
      </c>
      <c r="Q2" s="13" t="inlineStr">
        <is>
          <t>Income Tax (Cummulative)</t>
        </is>
      </c>
      <c r="R2" s="13" t="inlineStr">
        <is>
          <t>Net Profit (Cummulative)</t>
        </is>
      </c>
      <c r="S2" s="13" t="inlineStr">
        <is>
          <t>Investor Payout/Profit Distribution</t>
        </is>
      </c>
      <c r="T2" s="13" t="inlineStr">
        <is>
          <t xml:space="preserve">Net Profit </t>
        </is>
      </c>
      <c r="U2" s="13" t="inlineStr">
        <is>
          <t>Investor Payout/Profit Distribution (Cummulative)</t>
        </is>
      </c>
      <c r="V2" s="13" t="inlineStr">
        <is>
          <t xml:space="preserve">Retained Profits Closing </t>
        </is>
      </c>
      <c r="W2" s="13" t="inlineStr">
        <is>
          <t>Retained Profits (Cummulative)</t>
        </is>
      </c>
    </row>
    <row r="3">
      <c r="A3" s="7" t="n">
        <v>1</v>
      </c>
      <c r="B3" s="7" t="n">
        <v>1</v>
      </c>
      <c r="C3" s="8">
        <f>IF($A3&gt;1,0,Assumptions!$B$22+IF($B3&gt;4,Assumptions!$B$27,0))</f>
        <v/>
      </c>
      <c r="D3" s="8">
        <f>IF($U3&gt;(Assumptions!$B$22 + Assumptions!$B$23),0,IF($B3&gt;4,(Assumptions!$B$22+Assumptions!$B$27)-$U3,Assumptions!$B$22-$U3))</f>
        <v/>
      </c>
      <c r="E3" s="8">
        <f>Cash_Flow!$P3</f>
        <v/>
      </c>
      <c r="F3" s="6">
        <f>Fleet_Schedule!$G3</f>
        <v/>
      </c>
      <c r="G3" s="6">
        <f>Fleet_Schedule!$I3</f>
        <v/>
      </c>
      <c r="H3" s="8">
        <f>$F3*Assumptions!$B$4</f>
        <v/>
      </c>
      <c r="I3" s="8">
        <f>$G3*Assumptions!$B$4</f>
        <v/>
      </c>
      <c r="J3" s="14">
        <f>Cash_Flow!$J3</f>
        <v/>
      </c>
      <c r="K3" s="14">
        <f>Cash_Flow!$K3</f>
        <v/>
      </c>
      <c r="L3" s="14">
        <f>$F3*Assumptions!$B$5</f>
        <v/>
      </c>
      <c r="M3" s="15">
        <f>Cash_Flow!$E3</f>
        <v/>
      </c>
      <c r="N3" s="15">
        <f>Income_Statement!$P3</f>
        <v/>
      </c>
      <c r="O3" s="15">
        <f>(Cash_Flow!$F3+Cash_Flow!$G3)</f>
        <v/>
      </c>
      <c r="P3" s="15">
        <f>Income_Statement!$S3</f>
        <v/>
      </c>
      <c r="Q3" s="15">
        <f>Income_Statement!$S3</f>
        <v/>
      </c>
      <c r="R3" s="15">
        <f>Income_Statement!$T3</f>
        <v/>
      </c>
      <c r="S3" s="15">
        <f>Income_Statement!$U3</f>
        <v/>
      </c>
      <c r="T3" s="15">
        <f>Income_Statement!$T3</f>
        <v/>
      </c>
      <c r="U3" s="15">
        <f>Income_Statement!$U3</f>
        <v/>
      </c>
      <c r="V3" s="15">
        <f>Cash_Flow!$N3</f>
        <v/>
      </c>
      <c r="W3" s="15">
        <f>Cash_Flow!$N3</f>
        <v/>
      </c>
      <c r="X3" s="12" t="n"/>
    </row>
    <row r="4">
      <c r="A4" s="7" t="n">
        <v>1</v>
      </c>
      <c r="B4" s="7" t="n">
        <v>2</v>
      </c>
      <c r="C4" s="8">
        <f>IF($A4&gt;1,0,Assumptions!$B$22+IF($B4&gt;4,Assumptions!$B$27,0))</f>
        <v/>
      </c>
      <c r="D4" s="8">
        <f>IF($U4&gt;(Assumptions!$B$22 + Assumptions!$B$23),0,IF($B4&gt;4,(Assumptions!$B$22+Assumptions!$B$27)-$U4,Assumptions!$B$22-$U4))</f>
        <v/>
      </c>
      <c r="E4" s="8">
        <f>Cash_Flow!$P4</f>
        <v/>
      </c>
      <c r="F4" s="6">
        <f>Fleet_Schedule!$G4</f>
        <v/>
      </c>
      <c r="G4" s="6">
        <f>Fleet_Schedule!$I4</f>
        <v/>
      </c>
      <c r="H4" s="8">
        <f>$F4*Assumptions!$B$4</f>
        <v/>
      </c>
      <c r="I4" s="8">
        <f>$G4*Assumptions!$B$4</f>
        <v/>
      </c>
      <c r="J4" s="14">
        <f>Cash_Flow!$J4</f>
        <v/>
      </c>
      <c r="K4" s="14">
        <f>Cash_Flow!$K4</f>
        <v/>
      </c>
      <c r="L4" s="14">
        <f>L3+(F4*Assumptions!$B$5)</f>
        <v/>
      </c>
      <c r="M4" s="15">
        <f>$M3+Cash_Flow!$E4</f>
        <v/>
      </c>
      <c r="N4" s="15">
        <f>$N3+Income_Statement!$P4</f>
        <v/>
      </c>
      <c r="O4" s="15">
        <f>IF(Cash_Flow!$F4&lt;=0,0,$O3+(Cash_Flow!$F4+Cash_Flow!$G4))</f>
        <v/>
      </c>
      <c r="P4" s="15">
        <f>Income_Statement!$S4</f>
        <v/>
      </c>
      <c r="Q4" s="15">
        <f>$Q3+Income_Statement!$S4</f>
        <v/>
      </c>
      <c r="R4" s="15">
        <f>$R3+Income_Statement!$T4</f>
        <v/>
      </c>
      <c r="S4" s="15">
        <f>Income_Statement!$U4</f>
        <v/>
      </c>
      <c r="T4" s="15">
        <f>Income_Statement!$T4</f>
        <v/>
      </c>
      <c r="U4" s="15">
        <f>$U3+Income_Statement!$U4</f>
        <v/>
      </c>
      <c r="V4" s="15">
        <f>Cash_Flow!$N4</f>
        <v/>
      </c>
      <c r="W4" s="15">
        <f>($W3+Cash_Flow!$J4)-(Cash_Flow!$B4+Cash_Flow!$C4)</f>
        <v/>
      </c>
    </row>
    <row r="5">
      <c r="A5" s="7" t="n">
        <v>1</v>
      </c>
      <c r="B5" s="7" t="n">
        <v>3</v>
      </c>
      <c r="C5" s="8">
        <f>IF($A5&gt;1,0,Assumptions!$B$22+IF($B5&gt;4,Assumptions!$B$27,0))</f>
        <v/>
      </c>
      <c r="D5" s="8">
        <f>IF($U5&gt;(Assumptions!$B$22 + Assumptions!$B$23),0,IF($B5&gt;4,(Assumptions!$B$22+Assumptions!$B$27)-$U5,Assumptions!$B$22-$U5))</f>
        <v/>
      </c>
      <c r="E5" s="8">
        <f>Cash_Flow!$P5</f>
        <v/>
      </c>
      <c r="F5" s="6">
        <f>Fleet_Schedule!$G5</f>
        <v/>
      </c>
      <c r="G5" s="6">
        <f>Fleet_Schedule!$I5</f>
        <v/>
      </c>
      <c r="H5" s="8">
        <f>$F5*Assumptions!$B$4</f>
        <v/>
      </c>
      <c r="I5" s="8">
        <f>$G5*Assumptions!$B$4</f>
        <v/>
      </c>
      <c r="J5" s="14">
        <f>Cash_Flow!$J5</f>
        <v/>
      </c>
      <c r="K5" s="14">
        <f>Cash_Flow!$K5</f>
        <v/>
      </c>
      <c r="L5" s="14">
        <f>L4+(F5*Assumptions!$B$5)</f>
        <v/>
      </c>
      <c r="M5" s="15">
        <f>$M4+Cash_Flow!$E5</f>
        <v/>
      </c>
      <c r="N5" s="15">
        <f>$N4+Income_Statement!$P5</f>
        <v/>
      </c>
      <c r="O5" s="15">
        <f>IF(Cash_Flow!$F5&lt;=0,0,$O4+(Cash_Flow!$F5+Cash_Flow!$G5))</f>
        <v/>
      </c>
      <c r="P5" s="15">
        <f>Income_Statement!$S5</f>
        <v/>
      </c>
      <c r="Q5" s="15">
        <f>$Q4+Income_Statement!$S5</f>
        <v/>
      </c>
      <c r="R5" s="15">
        <f>$R4+Income_Statement!$T5</f>
        <v/>
      </c>
      <c r="S5" s="15">
        <f>Income_Statement!$U5</f>
        <v/>
      </c>
      <c r="T5" s="15">
        <f>Income_Statement!$T5</f>
        <v/>
      </c>
      <c r="U5" s="15">
        <f>$U4+Income_Statement!$U5</f>
        <v/>
      </c>
      <c r="V5" s="15">
        <f>Cash_Flow!$N5</f>
        <v/>
      </c>
      <c r="W5" s="15">
        <f>($W4+Cash_Flow!$J5)-(Cash_Flow!$B5+Cash_Flow!$C5)</f>
        <v/>
      </c>
    </row>
    <row r="6">
      <c r="A6" s="7" t="n">
        <v>1</v>
      </c>
      <c r="B6" s="7" t="n">
        <v>4</v>
      </c>
      <c r="C6" s="8">
        <f>IF($A6&gt;1,0,Assumptions!$B$22+IF($B6&gt;4,Assumptions!$B$27,0))</f>
        <v/>
      </c>
      <c r="D6" s="8">
        <f>IF($U6&gt;(Assumptions!$B$22 + Assumptions!$B$23),0,IF($B6&gt;4,(Assumptions!$B$22+Assumptions!$B$27)-$U6,Assumptions!$B$22-$U6))</f>
        <v/>
      </c>
      <c r="E6" s="8">
        <f>Cash_Flow!$P6</f>
        <v/>
      </c>
      <c r="F6" s="6">
        <f>Fleet_Schedule!$G6</f>
        <v/>
      </c>
      <c r="G6" s="6">
        <f>Fleet_Schedule!$I6</f>
        <v/>
      </c>
      <c r="H6" s="8">
        <f>$F6*Assumptions!$B$4</f>
        <v/>
      </c>
      <c r="I6" s="8">
        <f>$G6*Assumptions!$B$4</f>
        <v/>
      </c>
      <c r="J6" s="14">
        <f>Cash_Flow!$J6</f>
        <v/>
      </c>
      <c r="K6" s="14">
        <f>Cash_Flow!$K6</f>
        <v/>
      </c>
      <c r="L6" s="14">
        <f>L5+(F6*Assumptions!$B$5)</f>
        <v/>
      </c>
      <c r="M6" s="15">
        <f>$M5+Cash_Flow!$E6</f>
        <v/>
      </c>
      <c r="N6" s="15">
        <f>$N5+Income_Statement!$P6</f>
        <v/>
      </c>
      <c r="O6" s="15">
        <f>IF(Cash_Flow!$F6&lt;=0,0,$O5+(Cash_Flow!$F6+Cash_Flow!$G6))</f>
        <v/>
      </c>
      <c r="P6" s="15">
        <f>Income_Statement!$S6</f>
        <v/>
      </c>
      <c r="Q6" s="15">
        <f>$Q5+Income_Statement!$S6</f>
        <v/>
      </c>
      <c r="R6" s="15">
        <f>$R5+Income_Statement!$T6</f>
        <v/>
      </c>
      <c r="S6" s="15">
        <f>Income_Statement!$U6</f>
        <v/>
      </c>
      <c r="T6" s="15">
        <f>Income_Statement!$T6</f>
        <v/>
      </c>
      <c r="U6" s="15">
        <f>$U5+Income_Statement!$U6</f>
        <v/>
      </c>
      <c r="V6" s="15">
        <f>Cash_Flow!$N6</f>
        <v/>
      </c>
      <c r="W6" s="15">
        <f>($W5+Cash_Flow!$J6)-(Cash_Flow!$B6+Cash_Flow!$C6)</f>
        <v/>
      </c>
    </row>
    <row r="7">
      <c r="A7" s="7" t="n">
        <v>1</v>
      </c>
      <c r="B7" s="7" t="n">
        <v>5</v>
      </c>
      <c r="C7" s="8">
        <f>IF($A7&gt;1,0,Assumptions!$B$22+IF($B7&gt;4,Assumptions!$B$27,0))</f>
        <v/>
      </c>
      <c r="D7" s="8">
        <f>IF($U7&gt;(Assumptions!$B$22 + Assumptions!$B$23),0,IF($B7&gt;4,(Assumptions!$B$22+Assumptions!$B$27)-$U7,Assumptions!$B$22-$U7))</f>
        <v/>
      </c>
      <c r="E7" s="8">
        <f>Cash_Flow!$P7</f>
        <v/>
      </c>
      <c r="F7" s="6">
        <f>Fleet_Schedule!$G7</f>
        <v/>
      </c>
      <c r="G7" s="6">
        <f>Fleet_Schedule!$I7</f>
        <v/>
      </c>
      <c r="H7" s="8">
        <f>$F7*Assumptions!$B$4</f>
        <v/>
      </c>
      <c r="I7" s="8">
        <f>$G7*Assumptions!$B$4</f>
        <v/>
      </c>
      <c r="J7" s="14">
        <f>Cash_Flow!$J7</f>
        <v/>
      </c>
      <c r="K7" s="14">
        <f>Cash_Flow!$K7</f>
        <v/>
      </c>
      <c r="L7" s="14">
        <f>L6+(F7*Assumptions!$B$5)</f>
        <v/>
      </c>
      <c r="M7" s="15">
        <f>$M6+Cash_Flow!$E7</f>
        <v/>
      </c>
      <c r="N7" s="15">
        <f>$N6+Income_Statement!$P7</f>
        <v/>
      </c>
      <c r="O7" s="15">
        <f>IF(Cash_Flow!$F7&lt;=0,0,$O6+(Cash_Flow!$F7+Cash_Flow!$G7))</f>
        <v/>
      </c>
      <c r="P7" s="15">
        <f>Income_Statement!$S7</f>
        <v/>
      </c>
      <c r="Q7" s="15">
        <f>$Q6+Income_Statement!$S7</f>
        <v/>
      </c>
      <c r="R7" s="15">
        <f>$R6+Income_Statement!$T7</f>
        <v/>
      </c>
      <c r="S7" s="15">
        <f>Income_Statement!$U7</f>
        <v/>
      </c>
      <c r="T7" s="15">
        <f>Income_Statement!$T7</f>
        <v/>
      </c>
      <c r="U7" s="15">
        <f>$U6+Income_Statement!$U7</f>
        <v/>
      </c>
      <c r="V7" s="15">
        <f>Cash_Flow!$N7</f>
        <v/>
      </c>
      <c r="W7" s="15">
        <f>($W6+Cash_Flow!$J7)-(Cash_Flow!$B7+Cash_Flow!$C7)</f>
        <v/>
      </c>
    </row>
    <row r="8">
      <c r="A8" s="7" t="n">
        <v>1</v>
      </c>
      <c r="B8" s="7" t="n">
        <v>6</v>
      </c>
      <c r="C8" s="8">
        <f>IF($A8&gt;1,0,Assumptions!$B$22+IF($B8&gt;4,Assumptions!$B$27,0))</f>
        <v/>
      </c>
      <c r="D8" s="8">
        <f>IF($U8&gt;(Assumptions!$B$22 + Assumptions!$B$23),0,IF($B8&gt;4,(Assumptions!$B$22+Assumptions!$B$27)-$U8,Assumptions!$B$22-$U8))</f>
        <v/>
      </c>
      <c r="E8" s="8">
        <f>Cash_Flow!$P8</f>
        <v/>
      </c>
      <c r="F8" s="6">
        <f>Fleet_Schedule!$G8</f>
        <v/>
      </c>
      <c r="G8" s="6">
        <f>Fleet_Schedule!$I8</f>
        <v/>
      </c>
      <c r="H8" s="8">
        <f>$F8*Assumptions!$B$4</f>
        <v/>
      </c>
      <c r="I8" s="8">
        <f>$G8*Assumptions!$B$4</f>
        <v/>
      </c>
      <c r="J8" s="14">
        <f>Cash_Flow!$J8</f>
        <v/>
      </c>
      <c r="K8" s="14">
        <f>Cash_Flow!$K8</f>
        <v/>
      </c>
      <c r="L8" s="14">
        <f>L7+(F8*Assumptions!$B$5)</f>
        <v/>
      </c>
      <c r="M8" s="15">
        <f>$M7+Cash_Flow!$E8</f>
        <v/>
      </c>
      <c r="N8" s="15">
        <f>$N7+Income_Statement!$P8</f>
        <v/>
      </c>
      <c r="O8" s="15">
        <f>IF(Cash_Flow!$F8&lt;=0,0,$O7+(Cash_Flow!$F8+Cash_Flow!$G8))</f>
        <v/>
      </c>
      <c r="P8" s="15">
        <f>Income_Statement!$S8</f>
        <v/>
      </c>
      <c r="Q8" s="15">
        <f>$Q7+Income_Statement!$S8</f>
        <v/>
      </c>
      <c r="R8" s="15">
        <f>$R7+Income_Statement!$T8</f>
        <v/>
      </c>
      <c r="S8" s="15">
        <f>Income_Statement!$U8</f>
        <v/>
      </c>
      <c r="T8" s="15">
        <f>Income_Statement!$T8</f>
        <v/>
      </c>
      <c r="U8" s="15">
        <f>$U7+Income_Statement!$U8</f>
        <v/>
      </c>
      <c r="V8" s="15">
        <f>Cash_Flow!$N8</f>
        <v/>
      </c>
      <c r="W8" s="15">
        <f>($W7+Cash_Flow!$J8)-(Cash_Flow!$B8+Cash_Flow!$C8)</f>
        <v/>
      </c>
    </row>
    <row r="9">
      <c r="A9" s="7" t="n">
        <v>1</v>
      </c>
      <c r="B9" s="7" t="n">
        <v>7</v>
      </c>
      <c r="C9" s="8">
        <f>IF($A9&gt;1,0,Assumptions!$B$22+IF($B9&gt;4,Assumptions!$B$27,0))</f>
        <v/>
      </c>
      <c r="D9" s="8">
        <f>IF($U9&gt;(Assumptions!$B$22 + Assumptions!$B$23),0,IF($B9&gt;4,(Assumptions!$B$22+Assumptions!$B$27)-$U9,Assumptions!$B$22-$U9))</f>
        <v/>
      </c>
      <c r="E9" s="8">
        <f>Cash_Flow!$P9</f>
        <v/>
      </c>
      <c r="F9" s="6">
        <f>Fleet_Schedule!$G9</f>
        <v/>
      </c>
      <c r="G9" s="6">
        <f>Fleet_Schedule!$I9</f>
        <v/>
      </c>
      <c r="H9" s="8">
        <f>$F9*Assumptions!$B$4</f>
        <v/>
      </c>
      <c r="I9" s="8">
        <f>$G9*Assumptions!$B$4</f>
        <v/>
      </c>
      <c r="J9" s="14">
        <f>Cash_Flow!$J9</f>
        <v/>
      </c>
      <c r="K9" s="14">
        <f>Cash_Flow!$K9</f>
        <v/>
      </c>
      <c r="L9" s="14">
        <f>L8+(F9*Assumptions!$B$5)</f>
        <v/>
      </c>
      <c r="M9" s="15">
        <f>$M8+Cash_Flow!$E9</f>
        <v/>
      </c>
      <c r="N9" s="15">
        <f>$N8+Income_Statement!$P9</f>
        <v/>
      </c>
      <c r="O9" s="15">
        <f>IF(Cash_Flow!$F9&lt;=0,0,$O8+(Cash_Flow!$F9+Cash_Flow!$G9))</f>
        <v/>
      </c>
      <c r="P9" s="15">
        <f>Income_Statement!$S9</f>
        <v/>
      </c>
      <c r="Q9" s="15">
        <f>$Q8+Income_Statement!$S9</f>
        <v/>
      </c>
      <c r="R9" s="15">
        <f>$R8+Income_Statement!$T9</f>
        <v/>
      </c>
      <c r="S9" s="15">
        <f>Income_Statement!$U9</f>
        <v/>
      </c>
      <c r="T9" s="15">
        <f>Income_Statement!$T9</f>
        <v/>
      </c>
      <c r="U9" s="15">
        <f>$U8+Income_Statement!$U9</f>
        <v/>
      </c>
      <c r="V9" s="15">
        <f>Cash_Flow!$N9</f>
        <v/>
      </c>
      <c r="W9" s="15">
        <f>($W8+Cash_Flow!$J9)-(Cash_Flow!$B9+Cash_Flow!$C9)</f>
        <v/>
      </c>
    </row>
    <row r="10">
      <c r="A10" s="7" t="n">
        <v>1</v>
      </c>
      <c r="B10" s="7" t="n">
        <v>8</v>
      </c>
      <c r="C10" s="8">
        <f>IF($A10&gt;1,0,Assumptions!$B$22+IF($B10&gt;4,Assumptions!$B$27,0))</f>
        <v/>
      </c>
      <c r="D10" s="8">
        <f>IF($U10&gt;(Assumptions!$B$22 + Assumptions!$B$23),0,IF($B10&gt;4,(Assumptions!$B$22+Assumptions!$B$27)-$U10,Assumptions!$B$22-$U10))</f>
        <v/>
      </c>
      <c r="E10" s="8">
        <f>Cash_Flow!$P10</f>
        <v/>
      </c>
      <c r="F10" s="6">
        <f>Fleet_Schedule!$G10</f>
        <v/>
      </c>
      <c r="G10" s="6">
        <f>Fleet_Schedule!$I10</f>
        <v/>
      </c>
      <c r="H10" s="8">
        <f>$F10*Assumptions!$B$4</f>
        <v/>
      </c>
      <c r="I10" s="8">
        <f>$G10*Assumptions!$B$4</f>
        <v/>
      </c>
      <c r="J10" s="14">
        <f>Cash_Flow!$J10</f>
        <v/>
      </c>
      <c r="K10" s="14">
        <f>Cash_Flow!$K10</f>
        <v/>
      </c>
      <c r="L10" s="14">
        <f>L9+(F10*Assumptions!$B$5)</f>
        <v/>
      </c>
      <c r="M10" s="15">
        <f>$M9+Cash_Flow!$E10</f>
        <v/>
      </c>
      <c r="N10" s="15">
        <f>$N9+Income_Statement!$P10</f>
        <v/>
      </c>
      <c r="O10" s="15">
        <f>IF(Cash_Flow!$F10&lt;=0,0,$O9+(Cash_Flow!$F10+Cash_Flow!$G10))</f>
        <v/>
      </c>
      <c r="P10" s="15">
        <f>Income_Statement!$S10</f>
        <v/>
      </c>
      <c r="Q10" s="15">
        <f>$Q9+Income_Statement!$S10</f>
        <v/>
      </c>
      <c r="R10" s="15">
        <f>$R9+Income_Statement!$T10</f>
        <v/>
      </c>
      <c r="S10" s="15">
        <f>Income_Statement!$U10</f>
        <v/>
      </c>
      <c r="T10" s="15">
        <f>Income_Statement!$T10</f>
        <v/>
      </c>
      <c r="U10" s="15">
        <f>$U9+Income_Statement!$U10</f>
        <v/>
      </c>
      <c r="V10" s="15">
        <f>Cash_Flow!$N10</f>
        <v/>
      </c>
      <c r="W10" s="15">
        <f>($W9+Cash_Flow!$J10)-(Cash_Flow!$B10+Cash_Flow!$C10)</f>
        <v/>
      </c>
    </row>
    <row r="11">
      <c r="A11" s="7" t="n">
        <v>1</v>
      </c>
      <c r="B11" s="7" t="n">
        <v>9</v>
      </c>
      <c r="C11" s="8">
        <f>IF($A11&gt;1,0,Assumptions!$B$22+IF($B11&gt;4,Assumptions!$B$27,0))</f>
        <v/>
      </c>
      <c r="D11" s="8">
        <f>IF($U11&gt;(Assumptions!$B$22 + Assumptions!$B$23),0,IF($B11&gt;4,(Assumptions!$B$22+Assumptions!$B$27)-$U11,Assumptions!$B$22-$U11))</f>
        <v/>
      </c>
      <c r="E11" s="8">
        <f>Cash_Flow!$P11</f>
        <v/>
      </c>
      <c r="F11" s="6">
        <f>Fleet_Schedule!$G11</f>
        <v/>
      </c>
      <c r="G11" s="6">
        <f>Fleet_Schedule!$I11</f>
        <v/>
      </c>
      <c r="H11" s="8">
        <f>$F11*Assumptions!$B$4</f>
        <v/>
      </c>
      <c r="I11" s="8">
        <f>$G11*Assumptions!$B$4</f>
        <v/>
      </c>
      <c r="J11" s="14">
        <f>Cash_Flow!$J11</f>
        <v/>
      </c>
      <c r="K11" s="14">
        <f>Cash_Flow!$K11</f>
        <v/>
      </c>
      <c r="L11" s="14">
        <f>L10+(F11*Assumptions!$B$5)</f>
        <v/>
      </c>
      <c r="M11" s="15">
        <f>$M10+Cash_Flow!$E11</f>
        <v/>
      </c>
      <c r="N11" s="15">
        <f>$N10+Income_Statement!$P11</f>
        <v/>
      </c>
      <c r="O11" s="15">
        <f>IF(Cash_Flow!$F11&lt;=0,0,$O10+(Cash_Flow!$F11+Cash_Flow!$G11))</f>
        <v/>
      </c>
      <c r="P11" s="15">
        <f>Income_Statement!$S11</f>
        <v/>
      </c>
      <c r="Q11" s="15">
        <f>$Q10+Income_Statement!$S11</f>
        <v/>
      </c>
      <c r="R11" s="15">
        <f>$R10+Income_Statement!$T11</f>
        <v/>
      </c>
      <c r="S11" s="15">
        <f>Income_Statement!$U11</f>
        <v/>
      </c>
      <c r="T11" s="15">
        <f>Income_Statement!$T11</f>
        <v/>
      </c>
      <c r="U11" s="15">
        <f>$U10+Income_Statement!$U11</f>
        <v/>
      </c>
      <c r="V11" s="15">
        <f>Cash_Flow!$N11</f>
        <v/>
      </c>
      <c r="W11" s="15">
        <f>($W10+Cash_Flow!$J11)-(Cash_Flow!$B11+Cash_Flow!$C11)</f>
        <v/>
      </c>
    </row>
    <row r="12">
      <c r="A12" s="7" t="n">
        <v>1</v>
      </c>
      <c r="B12" s="7" t="n">
        <v>10</v>
      </c>
      <c r="C12" s="8">
        <f>IF($A12&gt;1,0,Assumptions!$B$22+IF($B12&gt;4,Assumptions!$B$27,0))</f>
        <v/>
      </c>
      <c r="D12" s="8">
        <f>IF($U12&gt;(Assumptions!$B$22 + Assumptions!$B$23),0,IF($B12&gt;4,(Assumptions!$B$22+Assumptions!$B$27)-$U12,Assumptions!$B$22-$U12))</f>
        <v/>
      </c>
      <c r="E12" s="8">
        <f>Cash_Flow!$P12</f>
        <v/>
      </c>
      <c r="F12" s="6">
        <f>Fleet_Schedule!$G12</f>
        <v/>
      </c>
      <c r="G12" s="6">
        <f>Fleet_Schedule!$I12</f>
        <v/>
      </c>
      <c r="H12" s="8">
        <f>$F12*Assumptions!$B$4</f>
        <v/>
      </c>
      <c r="I12" s="8">
        <f>$G12*Assumptions!$B$4</f>
        <v/>
      </c>
      <c r="J12" s="14">
        <f>Cash_Flow!$J12</f>
        <v/>
      </c>
      <c r="K12" s="14">
        <f>Cash_Flow!$K12</f>
        <v/>
      </c>
      <c r="L12" s="14">
        <f>L11+(F12*Assumptions!$B$5)</f>
        <v/>
      </c>
      <c r="M12" s="15">
        <f>$M11+Cash_Flow!$E12</f>
        <v/>
      </c>
      <c r="N12" s="15">
        <f>$N11+Income_Statement!$P12</f>
        <v/>
      </c>
      <c r="O12" s="15">
        <f>IF(Cash_Flow!$F12&lt;=0,0,$O11+(Cash_Flow!$F12+Cash_Flow!$G12))</f>
        <v/>
      </c>
      <c r="P12" s="15">
        <f>Income_Statement!$S12</f>
        <v/>
      </c>
      <c r="Q12" s="15">
        <f>$Q11+Income_Statement!$S12</f>
        <v/>
      </c>
      <c r="R12" s="15">
        <f>$R11+Income_Statement!$T12</f>
        <v/>
      </c>
      <c r="S12" s="15">
        <f>Income_Statement!$U12</f>
        <v/>
      </c>
      <c r="T12" s="15">
        <f>Income_Statement!$T12</f>
        <v/>
      </c>
      <c r="U12" s="15">
        <f>$U11+Income_Statement!$U12</f>
        <v/>
      </c>
      <c r="V12" s="15">
        <f>Cash_Flow!$N12</f>
        <v/>
      </c>
      <c r="W12" s="15">
        <f>($W11+Cash_Flow!$J12)-(Cash_Flow!$B12+Cash_Flow!$C12)</f>
        <v/>
      </c>
    </row>
    <row r="13">
      <c r="A13" s="7" t="n">
        <v>1</v>
      </c>
      <c r="B13" s="7" t="n">
        <v>11</v>
      </c>
      <c r="C13" s="8">
        <f>IF($A13&gt;1,0,Assumptions!$B$22+IF($B13&gt;4,Assumptions!$B$27,0))</f>
        <v/>
      </c>
      <c r="D13" s="8">
        <f>IF($U13&gt;(Assumptions!$B$22 + Assumptions!$B$23),0,IF($B13&gt;4,(Assumptions!$B$22+Assumptions!$B$27)-$U13,Assumptions!$B$22-$U13))</f>
        <v/>
      </c>
      <c r="E13" s="8">
        <f>Cash_Flow!$P13</f>
        <v/>
      </c>
      <c r="F13" s="6">
        <f>Fleet_Schedule!$G13</f>
        <v/>
      </c>
      <c r="G13" s="6">
        <f>Fleet_Schedule!$I13</f>
        <v/>
      </c>
      <c r="H13" s="8">
        <f>$F13*Assumptions!$B$4</f>
        <v/>
      </c>
      <c r="I13" s="8">
        <f>$G13*Assumptions!$B$4</f>
        <v/>
      </c>
      <c r="J13" s="14">
        <f>Cash_Flow!$J13</f>
        <v/>
      </c>
      <c r="K13" s="14">
        <f>Cash_Flow!$K13</f>
        <v/>
      </c>
      <c r="L13" s="14">
        <f>L12+(F13*Assumptions!$B$5)</f>
        <v/>
      </c>
      <c r="M13" s="15">
        <f>$M12+Cash_Flow!$E13</f>
        <v/>
      </c>
      <c r="N13" s="15">
        <f>$N12+Income_Statement!$P13</f>
        <v/>
      </c>
      <c r="O13" s="15">
        <f>IF(Cash_Flow!$F13&lt;=0,0,$O12+(Cash_Flow!$F13+Cash_Flow!$G13))</f>
        <v/>
      </c>
      <c r="P13" s="15">
        <f>Income_Statement!$S13</f>
        <v/>
      </c>
      <c r="Q13" s="15">
        <f>$Q12+Income_Statement!$S13</f>
        <v/>
      </c>
      <c r="R13" s="15">
        <f>$R12+Income_Statement!$T13</f>
        <v/>
      </c>
      <c r="S13" s="15">
        <f>Income_Statement!$U13</f>
        <v/>
      </c>
      <c r="T13" s="15">
        <f>Income_Statement!$T13</f>
        <v/>
      </c>
      <c r="U13" s="15">
        <f>$U12+Income_Statement!$U13</f>
        <v/>
      </c>
      <c r="V13" s="15">
        <f>Cash_Flow!$N13</f>
        <v/>
      </c>
      <c r="W13" s="15">
        <f>($W12+Cash_Flow!$J13)-(Cash_Flow!$B13+Cash_Flow!$C13)</f>
        <v/>
      </c>
    </row>
    <row r="14">
      <c r="A14" s="7" t="n">
        <v>1</v>
      </c>
      <c r="B14" s="7" t="n">
        <v>12</v>
      </c>
      <c r="C14" s="8">
        <f>IF($A14&gt;1,0,Assumptions!$B$22+IF($B14&gt;4,Assumptions!$B$27,0))</f>
        <v/>
      </c>
      <c r="D14" s="8">
        <f>IF($U14&gt;(Assumptions!$B$22 + Assumptions!$B$23),0,IF($B14&gt;4,(Assumptions!$B$22+Assumptions!$B$27)-$U14,Assumptions!$B$22-$U14))</f>
        <v/>
      </c>
      <c r="E14" s="8">
        <f>Cash_Flow!$P14</f>
        <v/>
      </c>
      <c r="F14" s="6">
        <f>Fleet_Schedule!$G14</f>
        <v/>
      </c>
      <c r="G14" s="6">
        <f>Fleet_Schedule!$I14</f>
        <v/>
      </c>
      <c r="H14" s="8">
        <f>$F14*Assumptions!$B$4</f>
        <v/>
      </c>
      <c r="I14" s="8">
        <f>$G14*Assumptions!$B$4</f>
        <v/>
      </c>
      <c r="J14" s="14">
        <f>Cash_Flow!$J14</f>
        <v/>
      </c>
      <c r="K14" s="14">
        <f>Cash_Flow!$K14</f>
        <v/>
      </c>
      <c r="L14" s="14">
        <f>L13+(F14*Assumptions!$B$5)</f>
        <v/>
      </c>
      <c r="M14" s="15">
        <f>$M13+Cash_Flow!$E14</f>
        <v/>
      </c>
      <c r="N14" s="15">
        <f>$N13+Income_Statement!$P14</f>
        <v/>
      </c>
      <c r="O14" s="15">
        <f>IF(Cash_Flow!$F14&lt;=0,0,$O13+(Cash_Flow!$F14+Cash_Flow!$G14))</f>
        <v/>
      </c>
      <c r="P14" s="15">
        <f>Income_Statement!$S14</f>
        <v/>
      </c>
      <c r="Q14" s="15">
        <f>$Q13+Income_Statement!$S14</f>
        <v/>
      </c>
      <c r="R14" s="15">
        <f>$R13+Income_Statement!$T14</f>
        <v/>
      </c>
      <c r="S14" s="15">
        <f>Income_Statement!$U14</f>
        <v/>
      </c>
      <c r="T14" s="15">
        <f>Income_Statement!$T14</f>
        <v/>
      </c>
      <c r="U14" s="15">
        <f>$U13+Income_Statement!$U14</f>
        <v/>
      </c>
      <c r="V14" s="15">
        <f>Cash_Flow!$N14</f>
        <v/>
      </c>
      <c r="W14" s="15">
        <f>($W13+Cash_Flow!$J14)-(Cash_Flow!$B14+Cash_Flow!$C14)</f>
        <v/>
      </c>
    </row>
    <row r="15">
      <c r="A15" s="7" t="n">
        <v>2</v>
      </c>
      <c r="B15" s="7" t="n">
        <v>13</v>
      </c>
      <c r="C15" s="8">
        <f>IF($A15&gt;1,0,Assumptions!$B$22+IF($B15&gt;4,Assumptions!$B$27,0))</f>
        <v/>
      </c>
      <c r="D15" s="8">
        <f>IF($U15&gt;(Assumptions!$B$22 + Assumptions!$B$23),0,IF($B15&gt;4,(Assumptions!$B$22+Assumptions!$B$27)-$U15,Assumptions!$B$22-$U15))</f>
        <v/>
      </c>
      <c r="E15" s="8">
        <f>Cash_Flow!$P15</f>
        <v/>
      </c>
      <c r="F15" s="6">
        <f>Fleet_Schedule!$G15</f>
        <v/>
      </c>
      <c r="G15" s="6">
        <f>Fleet_Schedule!$I15</f>
        <v/>
      </c>
      <c r="H15" s="8">
        <f>$F15*Assumptions!$B$4</f>
        <v/>
      </c>
      <c r="I15" s="8">
        <f>$G15*Assumptions!$B$4</f>
        <v/>
      </c>
      <c r="J15" s="14">
        <f>Cash_Flow!$J15</f>
        <v/>
      </c>
      <c r="K15" s="14">
        <f>Cash_Flow!$K15</f>
        <v/>
      </c>
      <c r="L15" s="14">
        <f>L14+(F15*Assumptions!$B$5)</f>
        <v/>
      </c>
      <c r="M15" s="15">
        <f>$M14+Cash_Flow!$E15</f>
        <v/>
      </c>
      <c r="N15" s="15">
        <f>$N14+Income_Statement!$P15</f>
        <v/>
      </c>
      <c r="O15" s="15">
        <f>IF(Cash_Flow!$F15&lt;=0,0,$O14+(Cash_Flow!$F15+Cash_Flow!$G15))</f>
        <v/>
      </c>
      <c r="P15" s="15">
        <f>Income_Statement!$S15</f>
        <v/>
      </c>
      <c r="Q15" s="15">
        <f>$Q14+Income_Statement!$S15</f>
        <v/>
      </c>
      <c r="R15" s="15">
        <f>$R14+Income_Statement!$T15</f>
        <v/>
      </c>
      <c r="S15" s="15">
        <f>Income_Statement!$U15</f>
        <v/>
      </c>
      <c r="T15" s="15">
        <f>Income_Statement!$T15</f>
        <v/>
      </c>
      <c r="U15" s="15">
        <f>$U14+Income_Statement!$U15</f>
        <v/>
      </c>
      <c r="V15" s="15">
        <f>Cash_Flow!$N15</f>
        <v/>
      </c>
      <c r="W15" s="15">
        <f>($W14+Cash_Flow!$J15)-(Cash_Flow!$B15+Cash_Flow!$C15)</f>
        <v/>
      </c>
    </row>
    <row r="16">
      <c r="A16" s="7" t="n">
        <v>2</v>
      </c>
      <c r="B16" s="7" t="n">
        <v>14</v>
      </c>
      <c r="C16" s="8">
        <f>IF($A16&gt;1,0,Assumptions!$B$22+IF($B16&gt;4,Assumptions!$B$27,0))</f>
        <v/>
      </c>
      <c r="D16" s="8">
        <f>IF($U16&gt;(Assumptions!$B$22 + Assumptions!$B$23),0,IF($B16&gt;4,(Assumptions!$B$22+Assumptions!$B$27)-$U16,Assumptions!$B$22-$U16))</f>
        <v/>
      </c>
      <c r="E16" s="8">
        <f>Cash_Flow!$P16</f>
        <v/>
      </c>
      <c r="F16" s="6">
        <f>Fleet_Schedule!$G16</f>
        <v/>
      </c>
      <c r="G16" s="6">
        <f>Fleet_Schedule!$I16</f>
        <v/>
      </c>
      <c r="H16" s="8">
        <f>$F16*Assumptions!$B$4</f>
        <v/>
      </c>
      <c r="I16" s="8">
        <f>$G16*Assumptions!$B$4</f>
        <v/>
      </c>
      <c r="J16" s="14">
        <f>Cash_Flow!$J16</f>
        <v/>
      </c>
      <c r="K16" s="14">
        <f>Cash_Flow!$K16</f>
        <v/>
      </c>
      <c r="L16" s="14">
        <f>L15+(F16*Assumptions!$B$5)</f>
        <v/>
      </c>
      <c r="M16" s="15">
        <f>$M15+Cash_Flow!$E16</f>
        <v/>
      </c>
      <c r="N16" s="15">
        <f>$N15+Income_Statement!$P16</f>
        <v/>
      </c>
      <c r="O16" s="15">
        <f>IF(Cash_Flow!$F16&lt;=0,0,$O15+(Cash_Flow!$F16+Cash_Flow!$G16))</f>
        <v/>
      </c>
      <c r="P16" s="15">
        <f>Income_Statement!$S16</f>
        <v/>
      </c>
      <c r="Q16" s="15">
        <f>$Q15+Income_Statement!$S16</f>
        <v/>
      </c>
      <c r="R16" s="15">
        <f>$R15+Income_Statement!$T16</f>
        <v/>
      </c>
      <c r="S16" s="15">
        <f>Income_Statement!$U16</f>
        <v/>
      </c>
      <c r="T16" s="15">
        <f>Income_Statement!$T16</f>
        <v/>
      </c>
      <c r="U16" s="15">
        <f>$U15+Income_Statement!$U16</f>
        <v/>
      </c>
      <c r="V16" s="15">
        <f>Cash_Flow!$N16</f>
        <v/>
      </c>
      <c r="W16" s="15">
        <f>($W15+Cash_Flow!$J16)-(Cash_Flow!$B16+Cash_Flow!$C16)</f>
        <v/>
      </c>
    </row>
    <row r="17">
      <c r="A17" s="7" t="n">
        <v>2</v>
      </c>
      <c r="B17" s="7" t="n">
        <v>15</v>
      </c>
      <c r="C17" s="8">
        <f>IF($A17&gt;1,0,Assumptions!$B$22+IF($B17&gt;4,Assumptions!$B$27,0))</f>
        <v/>
      </c>
      <c r="D17" s="8">
        <f>IF($U17&gt;(Assumptions!$B$22 + Assumptions!$B$23),0,IF($B17&gt;4,(Assumptions!$B$22+Assumptions!$B$27)-$U17,Assumptions!$B$22-$U17))</f>
        <v/>
      </c>
      <c r="E17" s="8">
        <f>Cash_Flow!$P17</f>
        <v/>
      </c>
      <c r="F17" s="6">
        <f>Fleet_Schedule!$G17</f>
        <v/>
      </c>
      <c r="G17" s="6">
        <f>Fleet_Schedule!$I17</f>
        <v/>
      </c>
      <c r="H17" s="8">
        <f>$F17*Assumptions!$B$4</f>
        <v/>
      </c>
      <c r="I17" s="8">
        <f>$G17*Assumptions!$B$4</f>
        <v/>
      </c>
      <c r="J17" s="14">
        <f>Cash_Flow!$J17</f>
        <v/>
      </c>
      <c r="K17" s="14">
        <f>Cash_Flow!$K17</f>
        <v/>
      </c>
      <c r="L17" s="14">
        <f>L16+(F17*Assumptions!$B$5)</f>
        <v/>
      </c>
      <c r="M17" s="15">
        <f>$M16+Cash_Flow!$E17</f>
        <v/>
      </c>
      <c r="N17" s="15">
        <f>$N16+Income_Statement!$P17</f>
        <v/>
      </c>
      <c r="O17" s="15">
        <f>IF(Cash_Flow!$F17&lt;=0,0,$O16+(Cash_Flow!$F17+Cash_Flow!$G17))</f>
        <v/>
      </c>
      <c r="P17" s="15">
        <f>Income_Statement!$S17</f>
        <v/>
      </c>
      <c r="Q17" s="15">
        <f>$Q16+Income_Statement!$S17</f>
        <v/>
      </c>
      <c r="R17" s="15">
        <f>$R16+Income_Statement!$T17</f>
        <v/>
      </c>
      <c r="S17" s="15">
        <f>Income_Statement!$U17</f>
        <v/>
      </c>
      <c r="T17" s="15">
        <f>Income_Statement!$T17</f>
        <v/>
      </c>
      <c r="U17" s="15">
        <f>$U16+Income_Statement!$U17</f>
        <v/>
      </c>
      <c r="V17" s="15">
        <f>Cash_Flow!$N17</f>
        <v/>
      </c>
      <c r="W17" s="15">
        <f>($W16+Cash_Flow!$J17)-(Cash_Flow!$B17+Cash_Flow!$C17)</f>
        <v/>
      </c>
    </row>
    <row r="18">
      <c r="A18" s="7" t="n">
        <v>2</v>
      </c>
      <c r="B18" s="7" t="n">
        <v>16</v>
      </c>
      <c r="C18" s="8">
        <f>IF($A18&gt;1,0,Assumptions!$B$22+IF($B18&gt;4,Assumptions!$B$27,0))</f>
        <v/>
      </c>
      <c r="D18" s="8">
        <f>IF($U18&gt;(Assumptions!$B$22 + Assumptions!$B$23),0,IF($B18&gt;4,(Assumptions!$B$22+Assumptions!$B$27)-$U18,Assumptions!$B$22-$U18))</f>
        <v/>
      </c>
      <c r="E18" s="8">
        <f>Cash_Flow!$P18</f>
        <v/>
      </c>
      <c r="F18" s="6">
        <f>Fleet_Schedule!$G18</f>
        <v/>
      </c>
      <c r="G18" s="6">
        <f>Fleet_Schedule!$I18</f>
        <v/>
      </c>
      <c r="H18" s="8">
        <f>$F18*Assumptions!$B$4</f>
        <v/>
      </c>
      <c r="I18" s="8">
        <f>$G18*Assumptions!$B$4</f>
        <v/>
      </c>
      <c r="J18" s="14">
        <f>Cash_Flow!$J18</f>
        <v/>
      </c>
      <c r="K18" s="14">
        <f>Cash_Flow!$K18</f>
        <v/>
      </c>
      <c r="L18" s="14">
        <f>L17+(F18*Assumptions!$B$5)</f>
        <v/>
      </c>
      <c r="M18" s="15">
        <f>$M17+Cash_Flow!$E18</f>
        <v/>
      </c>
      <c r="N18" s="15">
        <f>$N17+Income_Statement!$P18</f>
        <v/>
      </c>
      <c r="O18" s="15">
        <f>IF(Cash_Flow!$F18&lt;=0,0,$O17+(Cash_Flow!$F18+Cash_Flow!$G18))</f>
        <v/>
      </c>
      <c r="P18" s="15">
        <f>Income_Statement!$S18</f>
        <v/>
      </c>
      <c r="Q18" s="15">
        <f>$Q17+Income_Statement!$S18</f>
        <v/>
      </c>
      <c r="R18" s="15">
        <f>$R17+Income_Statement!$T18</f>
        <v/>
      </c>
      <c r="S18" s="15">
        <f>Income_Statement!$U18</f>
        <v/>
      </c>
      <c r="T18" s="15">
        <f>Income_Statement!$T18</f>
        <v/>
      </c>
      <c r="U18" s="15">
        <f>$U17+Income_Statement!$U18</f>
        <v/>
      </c>
      <c r="V18" s="15">
        <f>Cash_Flow!$N18</f>
        <v/>
      </c>
      <c r="W18" s="15">
        <f>($W17+Cash_Flow!$J18)-(Cash_Flow!$B18+Cash_Flow!$C18)</f>
        <v/>
      </c>
    </row>
    <row r="19">
      <c r="A19" s="7" t="n">
        <v>2</v>
      </c>
      <c r="B19" s="7" t="n">
        <v>17</v>
      </c>
      <c r="C19" s="8">
        <f>IF($A19&gt;1,0,Assumptions!$B$22+IF($B19&gt;4,Assumptions!$B$27,0))</f>
        <v/>
      </c>
      <c r="D19" s="8">
        <f>IF($U19&gt;(Assumptions!$B$22 + Assumptions!$B$23),0,IF($B19&gt;4,(Assumptions!$B$22+Assumptions!$B$27)-$U19,Assumptions!$B$22-$U19))</f>
        <v/>
      </c>
      <c r="E19" s="8">
        <f>Cash_Flow!$P19</f>
        <v/>
      </c>
      <c r="F19" s="6">
        <f>Fleet_Schedule!$G19</f>
        <v/>
      </c>
      <c r="G19" s="6">
        <f>Fleet_Schedule!$I19</f>
        <v/>
      </c>
      <c r="H19" s="8">
        <f>$F19*Assumptions!$B$4</f>
        <v/>
      </c>
      <c r="I19" s="8">
        <f>$G19*Assumptions!$B$4</f>
        <v/>
      </c>
      <c r="J19" s="14">
        <f>Cash_Flow!$J19</f>
        <v/>
      </c>
      <c r="K19" s="14">
        <f>Cash_Flow!$K19</f>
        <v/>
      </c>
      <c r="L19" s="14">
        <f>L18+(F19*Assumptions!$B$5)</f>
        <v/>
      </c>
      <c r="M19" s="15">
        <f>$M18+Cash_Flow!$E19</f>
        <v/>
      </c>
      <c r="N19" s="15">
        <f>$N18+Income_Statement!$P19</f>
        <v/>
      </c>
      <c r="O19" s="15">
        <f>IF(Cash_Flow!$F19&lt;=0,0,$O18+(Cash_Flow!$F19+Cash_Flow!$G19))</f>
        <v/>
      </c>
      <c r="P19" s="15">
        <f>Income_Statement!$S19</f>
        <v/>
      </c>
      <c r="Q19" s="15">
        <f>$Q18+Income_Statement!$S19</f>
        <v/>
      </c>
      <c r="R19" s="15">
        <f>$R18+Income_Statement!$T19</f>
        <v/>
      </c>
      <c r="S19" s="15">
        <f>Income_Statement!$U19</f>
        <v/>
      </c>
      <c r="T19" s="15">
        <f>Income_Statement!$T19</f>
        <v/>
      </c>
      <c r="U19" s="15">
        <f>$U18+Income_Statement!$U19</f>
        <v/>
      </c>
      <c r="V19" s="15">
        <f>Cash_Flow!$N19</f>
        <v/>
      </c>
      <c r="W19" s="15">
        <f>($W18+Cash_Flow!$J19)-(Cash_Flow!$B19+Cash_Flow!$C19)</f>
        <v/>
      </c>
    </row>
    <row r="20">
      <c r="A20" s="7" t="n">
        <v>2</v>
      </c>
      <c r="B20" s="7" t="n">
        <v>18</v>
      </c>
      <c r="C20" s="8">
        <f>IF($A20&gt;1,0,Assumptions!$B$22+IF($B20&gt;4,Assumptions!$B$27,0))</f>
        <v/>
      </c>
      <c r="D20" s="8">
        <f>IF($U20&gt;(Assumptions!$B$22 + Assumptions!$B$23),0,IF($B20&gt;4,(Assumptions!$B$22+Assumptions!$B$27)-$U20,Assumptions!$B$22-$U20))</f>
        <v/>
      </c>
      <c r="E20" s="8">
        <f>Cash_Flow!$P20</f>
        <v/>
      </c>
      <c r="F20" s="6">
        <f>Fleet_Schedule!$G20</f>
        <v/>
      </c>
      <c r="G20" s="6">
        <f>Fleet_Schedule!$I20</f>
        <v/>
      </c>
      <c r="H20" s="8">
        <f>$F20*Assumptions!$B$4</f>
        <v/>
      </c>
      <c r="I20" s="8">
        <f>$G20*Assumptions!$B$4</f>
        <v/>
      </c>
      <c r="J20" s="14">
        <f>Cash_Flow!$J20</f>
        <v/>
      </c>
      <c r="K20" s="14">
        <f>Cash_Flow!$K20</f>
        <v/>
      </c>
      <c r="L20" s="14">
        <f>L19+(F20*Assumptions!$B$5)</f>
        <v/>
      </c>
      <c r="M20" s="15">
        <f>$M19+Cash_Flow!$E20</f>
        <v/>
      </c>
      <c r="N20" s="15">
        <f>$N19+Income_Statement!$P20</f>
        <v/>
      </c>
      <c r="O20" s="15">
        <f>IF(Cash_Flow!$F20&lt;=0,0,$O19+(Cash_Flow!$F20+Cash_Flow!$G20))</f>
        <v/>
      </c>
      <c r="P20" s="15">
        <f>Income_Statement!$S20</f>
        <v/>
      </c>
      <c r="Q20" s="15">
        <f>$Q19+Income_Statement!$S20</f>
        <v/>
      </c>
      <c r="R20" s="15">
        <f>$R19+Income_Statement!$T20</f>
        <v/>
      </c>
      <c r="S20" s="15">
        <f>Income_Statement!$U20</f>
        <v/>
      </c>
      <c r="T20" s="15">
        <f>Income_Statement!$T20</f>
        <v/>
      </c>
      <c r="U20" s="15">
        <f>$U19+Income_Statement!$U20</f>
        <v/>
      </c>
      <c r="V20" s="15">
        <f>Cash_Flow!$N20</f>
        <v/>
      </c>
      <c r="W20" s="15">
        <f>($W19+Cash_Flow!$J20)-(Cash_Flow!$B20+Cash_Flow!$C20)</f>
        <v/>
      </c>
    </row>
    <row r="21">
      <c r="A21" s="7" t="n">
        <v>2</v>
      </c>
      <c r="B21" s="7" t="n">
        <v>19</v>
      </c>
      <c r="C21" s="8">
        <f>IF($A21&gt;1,0,Assumptions!$B$22+IF($B21&gt;4,Assumptions!$B$27,0))</f>
        <v/>
      </c>
      <c r="D21" s="8">
        <f>IF($U21&gt;(Assumptions!$B$22 + Assumptions!$B$23),0,IF($B21&gt;4,(Assumptions!$B$22+Assumptions!$B$27)-$U21,Assumptions!$B$22-$U21))</f>
        <v/>
      </c>
      <c r="E21" s="8">
        <f>Cash_Flow!$P21</f>
        <v/>
      </c>
      <c r="F21" s="6">
        <f>Fleet_Schedule!$G21</f>
        <v/>
      </c>
      <c r="G21" s="6">
        <f>Fleet_Schedule!$I21</f>
        <v/>
      </c>
      <c r="H21" s="8">
        <f>$F21*Assumptions!$B$4</f>
        <v/>
      </c>
      <c r="I21" s="8">
        <f>$G21*Assumptions!$B$4</f>
        <v/>
      </c>
      <c r="J21" s="14">
        <f>Cash_Flow!$J21</f>
        <v/>
      </c>
      <c r="K21" s="14">
        <f>Cash_Flow!$K21</f>
        <v/>
      </c>
      <c r="L21" s="14">
        <f>L20+(F21*Assumptions!$B$5)</f>
        <v/>
      </c>
      <c r="M21" s="15">
        <f>$M20+Cash_Flow!$E21</f>
        <v/>
      </c>
      <c r="N21" s="15">
        <f>$N20+Income_Statement!$P21</f>
        <v/>
      </c>
      <c r="O21" s="15">
        <f>IF(Cash_Flow!$F21&lt;=0,0,$O20+(Cash_Flow!$F21+Cash_Flow!$G21))</f>
        <v/>
      </c>
      <c r="P21" s="15">
        <f>Income_Statement!$S21</f>
        <v/>
      </c>
      <c r="Q21" s="15">
        <f>$Q20+Income_Statement!$S21</f>
        <v/>
      </c>
      <c r="R21" s="15">
        <f>$R20+Income_Statement!$T21</f>
        <v/>
      </c>
      <c r="S21" s="15">
        <f>Income_Statement!$U21</f>
        <v/>
      </c>
      <c r="T21" s="15">
        <f>Income_Statement!$T21</f>
        <v/>
      </c>
      <c r="U21" s="15">
        <f>$U20+Income_Statement!$U21</f>
        <v/>
      </c>
      <c r="V21" s="15">
        <f>Cash_Flow!$N21</f>
        <v/>
      </c>
      <c r="W21" s="15">
        <f>($W20+Cash_Flow!$J21)-(Cash_Flow!$B21+Cash_Flow!$C21)</f>
        <v/>
      </c>
    </row>
    <row r="22">
      <c r="A22" s="7" t="n">
        <v>2</v>
      </c>
      <c r="B22" s="7" t="n">
        <v>20</v>
      </c>
      <c r="C22" s="8">
        <f>IF($A22&gt;1,0,Assumptions!$B$22+IF($B22&gt;4,Assumptions!$B$27,0))</f>
        <v/>
      </c>
      <c r="D22" s="8">
        <f>IF($U22&gt;(Assumptions!$B$22 + Assumptions!$B$23),0,IF($B22&gt;4,(Assumptions!$B$22+Assumptions!$B$27)-$U22,Assumptions!$B$22-$U22))</f>
        <v/>
      </c>
      <c r="E22" s="8">
        <f>Cash_Flow!$P22</f>
        <v/>
      </c>
      <c r="F22" s="6">
        <f>Fleet_Schedule!$G22</f>
        <v/>
      </c>
      <c r="G22" s="6">
        <f>Fleet_Schedule!$I22</f>
        <v/>
      </c>
      <c r="H22" s="8">
        <f>$F22*Assumptions!$B$4</f>
        <v/>
      </c>
      <c r="I22" s="8">
        <f>$G22*Assumptions!$B$4</f>
        <v/>
      </c>
      <c r="J22" s="14">
        <f>Cash_Flow!$J22</f>
        <v/>
      </c>
      <c r="K22" s="14">
        <f>Cash_Flow!$K22</f>
        <v/>
      </c>
      <c r="L22" s="14">
        <f>L21+(F22*Assumptions!$B$5)</f>
        <v/>
      </c>
      <c r="M22" s="15">
        <f>$M21+Cash_Flow!$E22</f>
        <v/>
      </c>
      <c r="N22" s="15">
        <f>$N21+Income_Statement!$P22</f>
        <v/>
      </c>
      <c r="O22" s="15">
        <f>IF(Cash_Flow!$F22&lt;=0,0,$O21+(Cash_Flow!$F22+Cash_Flow!$G22))</f>
        <v/>
      </c>
      <c r="P22" s="15">
        <f>Income_Statement!$S22</f>
        <v/>
      </c>
      <c r="Q22" s="15">
        <f>$Q21+Income_Statement!$S22</f>
        <v/>
      </c>
      <c r="R22" s="15">
        <f>$R21+Income_Statement!$T22</f>
        <v/>
      </c>
      <c r="S22" s="15">
        <f>Income_Statement!$U22</f>
        <v/>
      </c>
      <c r="T22" s="15">
        <f>Income_Statement!$T22</f>
        <v/>
      </c>
      <c r="U22" s="15">
        <f>$U21+Income_Statement!$U22</f>
        <v/>
      </c>
      <c r="V22" s="15">
        <f>Cash_Flow!$N22</f>
        <v/>
      </c>
      <c r="W22" s="15">
        <f>($W21+Cash_Flow!$J22)-(Cash_Flow!$B22+Cash_Flow!$C22)</f>
        <v/>
      </c>
    </row>
    <row r="23">
      <c r="A23" s="7" t="n">
        <v>2</v>
      </c>
      <c r="B23" s="7" t="n">
        <v>21</v>
      </c>
      <c r="C23" s="8">
        <f>IF($A23&gt;1,0,Assumptions!$B$22+IF($B23&gt;4,Assumptions!$B$27,0))</f>
        <v/>
      </c>
      <c r="D23" s="8">
        <f>IF($U23&gt;(Assumptions!$B$22 + Assumptions!$B$23),0,IF($B23&gt;4,(Assumptions!$B$22+Assumptions!$B$27)-$U23,Assumptions!$B$22-$U23))</f>
        <v/>
      </c>
      <c r="E23" s="8">
        <f>Cash_Flow!$P23</f>
        <v/>
      </c>
      <c r="F23" s="6">
        <f>Fleet_Schedule!$G23</f>
        <v/>
      </c>
      <c r="G23" s="6">
        <f>Fleet_Schedule!$I23</f>
        <v/>
      </c>
      <c r="H23" s="8">
        <f>$F23*Assumptions!$B$4</f>
        <v/>
      </c>
      <c r="I23" s="8">
        <f>$G23*Assumptions!$B$4</f>
        <v/>
      </c>
      <c r="J23" s="14">
        <f>Cash_Flow!$J23</f>
        <v/>
      </c>
      <c r="K23" s="14">
        <f>Cash_Flow!$K23</f>
        <v/>
      </c>
      <c r="L23" s="14">
        <f>L22+(F23*Assumptions!$B$5)</f>
        <v/>
      </c>
      <c r="M23" s="15">
        <f>$M22+Cash_Flow!$E23</f>
        <v/>
      </c>
      <c r="N23" s="15">
        <f>$N22+Income_Statement!$P23</f>
        <v/>
      </c>
      <c r="O23" s="15">
        <f>IF(Cash_Flow!$F23&lt;=0,0,$O22+(Cash_Flow!$F23+Cash_Flow!$G23))</f>
        <v/>
      </c>
      <c r="P23" s="15">
        <f>Income_Statement!$S23</f>
        <v/>
      </c>
      <c r="Q23" s="15">
        <f>$Q22+Income_Statement!$S23</f>
        <v/>
      </c>
      <c r="R23" s="15">
        <f>$R22+Income_Statement!$T23</f>
        <v/>
      </c>
      <c r="S23" s="15">
        <f>Income_Statement!$U23</f>
        <v/>
      </c>
      <c r="T23" s="15">
        <f>Income_Statement!$T23</f>
        <v/>
      </c>
      <c r="U23" s="15">
        <f>$U22+Income_Statement!$U23</f>
        <v/>
      </c>
      <c r="V23" s="15">
        <f>Cash_Flow!$N23</f>
        <v/>
      </c>
      <c r="W23" s="15">
        <f>($W22+Cash_Flow!$J23)-(Cash_Flow!$B23+Cash_Flow!$C23)</f>
        <v/>
      </c>
    </row>
    <row r="24">
      <c r="A24" s="7" t="n">
        <v>2</v>
      </c>
      <c r="B24" s="7" t="n">
        <v>22</v>
      </c>
      <c r="C24" s="8">
        <f>IF($A24&gt;1,0,Assumptions!$B$22+IF($B24&gt;4,Assumptions!$B$27,0))</f>
        <v/>
      </c>
      <c r="D24" s="8">
        <f>IF($U24&gt;(Assumptions!$B$22 + Assumptions!$B$23),0,IF($B24&gt;4,(Assumptions!$B$22+Assumptions!$B$27)-$U24,Assumptions!$B$22-$U24))</f>
        <v/>
      </c>
      <c r="E24" s="8">
        <f>Cash_Flow!$P24</f>
        <v/>
      </c>
      <c r="F24" s="6">
        <f>Fleet_Schedule!$G24</f>
        <v/>
      </c>
      <c r="G24" s="6">
        <f>Fleet_Schedule!$I24</f>
        <v/>
      </c>
      <c r="H24" s="8">
        <f>$F24*Assumptions!$B$4</f>
        <v/>
      </c>
      <c r="I24" s="8">
        <f>$G24*Assumptions!$B$4</f>
        <v/>
      </c>
      <c r="J24" s="14">
        <f>Cash_Flow!$J24</f>
        <v/>
      </c>
      <c r="K24" s="14">
        <f>Cash_Flow!$K24</f>
        <v/>
      </c>
      <c r="L24" s="14">
        <f>L23+(F24*Assumptions!$B$5)</f>
        <v/>
      </c>
      <c r="M24" s="15">
        <f>$M23+Cash_Flow!$E24</f>
        <v/>
      </c>
      <c r="N24" s="15">
        <f>$N23+Income_Statement!$P24</f>
        <v/>
      </c>
      <c r="O24" s="15">
        <f>IF(Cash_Flow!$F24&lt;=0,0,$O23+(Cash_Flow!$F24+Cash_Flow!$G24))</f>
        <v/>
      </c>
      <c r="P24" s="15">
        <f>Income_Statement!$S24</f>
        <v/>
      </c>
      <c r="Q24" s="15">
        <f>$Q23+Income_Statement!$S24</f>
        <v/>
      </c>
      <c r="R24" s="15">
        <f>$R23+Income_Statement!$T24</f>
        <v/>
      </c>
      <c r="S24" s="15">
        <f>Income_Statement!$U24</f>
        <v/>
      </c>
      <c r="T24" s="15">
        <f>Income_Statement!$T24</f>
        <v/>
      </c>
      <c r="U24" s="15">
        <f>$U23+Income_Statement!$U24</f>
        <v/>
      </c>
      <c r="V24" s="15">
        <f>Cash_Flow!$N24</f>
        <v/>
      </c>
      <c r="W24" s="15">
        <f>($W23+Cash_Flow!$J24)-(Cash_Flow!$B24+Cash_Flow!$C24)</f>
        <v/>
      </c>
    </row>
    <row r="25">
      <c r="A25" s="7" t="n">
        <v>2</v>
      </c>
      <c r="B25" s="7" t="n">
        <v>23</v>
      </c>
      <c r="C25" s="8">
        <f>IF($A25&gt;1,0,Assumptions!$B$22+IF($B25&gt;4,Assumptions!$B$27,0))</f>
        <v/>
      </c>
      <c r="D25" s="8">
        <f>IF($U25&gt;(Assumptions!$B$22 + Assumptions!$B$23),0,IF($B25&gt;4,(Assumptions!$B$22+Assumptions!$B$27)-$U25,Assumptions!$B$22-$U25))</f>
        <v/>
      </c>
      <c r="E25" s="8">
        <f>Cash_Flow!$P25</f>
        <v/>
      </c>
      <c r="F25" s="6">
        <f>Fleet_Schedule!$G25</f>
        <v/>
      </c>
      <c r="G25" s="6">
        <f>Fleet_Schedule!$I25</f>
        <v/>
      </c>
      <c r="H25" s="8">
        <f>$F25*Assumptions!$B$4</f>
        <v/>
      </c>
      <c r="I25" s="8">
        <f>$G25*Assumptions!$B$4</f>
        <v/>
      </c>
      <c r="J25" s="14">
        <f>Cash_Flow!$J25</f>
        <v/>
      </c>
      <c r="K25" s="14">
        <f>Cash_Flow!$K25</f>
        <v/>
      </c>
      <c r="L25" s="14">
        <f>L24+(F25*Assumptions!$B$5)</f>
        <v/>
      </c>
      <c r="M25" s="15">
        <f>$M24+Cash_Flow!$E25</f>
        <v/>
      </c>
      <c r="N25" s="15">
        <f>$N24+Income_Statement!$P25</f>
        <v/>
      </c>
      <c r="O25" s="15">
        <f>IF(Cash_Flow!$F25&lt;=0,0,$O24+(Cash_Flow!$F25+Cash_Flow!$G25))</f>
        <v/>
      </c>
      <c r="P25" s="15">
        <f>Income_Statement!$S25</f>
        <v/>
      </c>
      <c r="Q25" s="15">
        <f>$Q24+Income_Statement!$S25</f>
        <v/>
      </c>
      <c r="R25" s="15">
        <f>$R24+Income_Statement!$T25</f>
        <v/>
      </c>
      <c r="S25" s="15">
        <f>Income_Statement!$U25</f>
        <v/>
      </c>
      <c r="T25" s="15">
        <f>Income_Statement!$T25</f>
        <v/>
      </c>
      <c r="U25" s="15">
        <f>$U24+Income_Statement!$U25</f>
        <v/>
      </c>
      <c r="V25" s="15">
        <f>Cash_Flow!$N25</f>
        <v/>
      </c>
      <c r="W25" s="15">
        <f>($W24+Cash_Flow!$J25)-(Cash_Flow!$B25+Cash_Flow!$C25)</f>
        <v/>
      </c>
    </row>
    <row r="26">
      <c r="A26" s="7" t="n">
        <v>2</v>
      </c>
      <c r="B26" s="7" t="n">
        <v>24</v>
      </c>
      <c r="C26" s="8">
        <f>IF($A26&gt;1,0,Assumptions!$B$22+IF($B26&gt;4,Assumptions!$B$27,0))</f>
        <v/>
      </c>
      <c r="D26" s="8">
        <f>IF($U26&gt;(Assumptions!$B$22 + Assumptions!$B$23),0,IF($B26&gt;4,(Assumptions!$B$22+Assumptions!$B$27)-$U26,Assumptions!$B$22-$U26))</f>
        <v/>
      </c>
      <c r="E26" s="8">
        <f>Cash_Flow!$P26</f>
        <v/>
      </c>
      <c r="F26" s="6">
        <f>Fleet_Schedule!$G26</f>
        <v/>
      </c>
      <c r="G26" s="6">
        <f>Fleet_Schedule!$I26</f>
        <v/>
      </c>
      <c r="H26" s="8">
        <f>$F26*Assumptions!$B$4</f>
        <v/>
      </c>
      <c r="I26" s="8">
        <f>$G26*Assumptions!$B$4</f>
        <v/>
      </c>
      <c r="J26" s="14">
        <f>Cash_Flow!$J26</f>
        <v/>
      </c>
      <c r="K26" s="14">
        <f>Cash_Flow!$K26</f>
        <v/>
      </c>
      <c r="L26" s="14">
        <f>L25+(F26*Assumptions!$B$5)</f>
        <v/>
      </c>
      <c r="M26" s="15">
        <f>$M25+Cash_Flow!$E26</f>
        <v/>
      </c>
      <c r="N26" s="15">
        <f>$N25+Income_Statement!$P26</f>
        <v/>
      </c>
      <c r="O26" s="15">
        <f>IF(Cash_Flow!$F26&lt;=0,0,$O25+(Cash_Flow!$F26+Cash_Flow!$G26))</f>
        <v/>
      </c>
      <c r="P26" s="15">
        <f>Income_Statement!$S26</f>
        <v/>
      </c>
      <c r="Q26" s="15">
        <f>$Q25+Income_Statement!$S26</f>
        <v/>
      </c>
      <c r="R26" s="15">
        <f>$R25+Income_Statement!$T26</f>
        <v/>
      </c>
      <c r="S26" s="15">
        <f>Income_Statement!$U26</f>
        <v/>
      </c>
      <c r="T26" s="15">
        <f>Income_Statement!$T26</f>
        <v/>
      </c>
      <c r="U26" s="15">
        <f>$U25+Income_Statement!$U26</f>
        <v/>
      </c>
      <c r="V26" s="15">
        <f>Cash_Flow!$N26</f>
        <v/>
      </c>
      <c r="W26" s="15">
        <f>($W25+Cash_Flow!$J26)-(Cash_Flow!$B26+Cash_Flow!$C26)</f>
        <v/>
      </c>
    </row>
    <row r="27">
      <c r="A27" s="7" t="n">
        <v>3</v>
      </c>
      <c r="B27" s="7" t="n">
        <v>25</v>
      </c>
      <c r="C27" s="8">
        <f>IF($A27&gt;1,0,Assumptions!$B$22+IF($B27&gt;4,Assumptions!$B$27,0))</f>
        <v/>
      </c>
      <c r="D27" s="8">
        <f>IF($U27&gt;(Assumptions!$B$22 + Assumptions!$B$23),0,IF($B27&gt;4,(Assumptions!$B$22+Assumptions!$B$27)-$U27,Assumptions!$B$22-$U27))</f>
        <v/>
      </c>
      <c r="E27" s="8">
        <f>Cash_Flow!$P27</f>
        <v/>
      </c>
      <c r="F27" s="6">
        <f>Fleet_Schedule!$G27</f>
        <v/>
      </c>
      <c r="G27" s="6">
        <f>Fleet_Schedule!$I27</f>
        <v/>
      </c>
      <c r="H27" s="8">
        <f>$F27*Assumptions!$B$4</f>
        <v/>
      </c>
      <c r="I27" s="8">
        <f>$G27*Assumptions!$B$4</f>
        <v/>
      </c>
      <c r="J27" s="14">
        <f>Cash_Flow!$J27</f>
        <v/>
      </c>
      <c r="K27" s="14">
        <f>Cash_Flow!$K27</f>
        <v/>
      </c>
      <c r="L27" s="14">
        <f>L26+(F27*Assumptions!$B$5)</f>
        <v/>
      </c>
      <c r="M27" s="15">
        <f>$M26+Cash_Flow!$E27</f>
        <v/>
      </c>
      <c r="N27" s="15">
        <f>$N26+Income_Statement!$P27</f>
        <v/>
      </c>
      <c r="O27" s="15">
        <f>IF(Cash_Flow!$F27&lt;=0,0,$O26+(Cash_Flow!$F27+Cash_Flow!$G27))</f>
        <v/>
      </c>
      <c r="P27" s="15">
        <f>Income_Statement!$S27</f>
        <v/>
      </c>
      <c r="Q27" s="15">
        <f>$Q26+Income_Statement!$S27</f>
        <v/>
      </c>
      <c r="R27" s="15">
        <f>$R26+Income_Statement!$T27</f>
        <v/>
      </c>
      <c r="S27" s="15">
        <f>Income_Statement!$U27</f>
        <v/>
      </c>
      <c r="T27" s="15">
        <f>Income_Statement!$T27</f>
        <v/>
      </c>
      <c r="U27" s="15">
        <f>$U26+Income_Statement!$U27</f>
        <v/>
      </c>
      <c r="V27" s="15">
        <f>Cash_Flow!$N27</f>
        <v/>
      </c>
      <c r="W27" s="15">
        <f>($W26+Cash_Flow!$J27)-(Cash_Flow!$B27+Cash_Flow!$C27)</f>
        <v/>
      </c>
    </row>
    <row r="28">
      <c r="A28" s="7" t="n">
        <v>3</v>
      </c>
      <c r="B28" s="7" t="n">
        <v>26</v>
      </c>
      <c r="C28" s="8">
        <f>IF($A28&gt;1,0,Assumptions!$B$22+IF($B28&gt;4,Assumptions!$B$27,0))</f>
        <v/>
      </c>
      <c r="D28" s="8">
        <f>IF($U28&gt;(Assumptions!$B$22 + Assumptions!$B$23),0,IF($B28&gt;4,(Assumptions!$B$22+Assumptions!$B$27)-$U28,Assumptions!$B$22-$U28))</f>
        <v/>
      </c>
      <c r="E28" s="8">
        <f>Cash_Flow!$P28</f>
        <v/>
      </c>
      <c r="F28" s="6">
        <f>Fleet_Schedule!$G28</f>
        <v/>
      </c>
      <c r="G28" s="6">
        <f>Fleet_Schedule!$I28</f>
        <v/>
      </c>
      <c r="H28" s="8">
        <f>$F28*Assumptions!$B$4</f>
        <v/>
      </c>
      <c r="I28" s="8">
        <f>$G28*Assumptions!$B$4</f>
        <v/>
      </c>
      <c r="J28" s="14">
        <f>Cash_Flow!$J28</f>
        <v/>
      </c>
      <c r="K28" s="14">
        <f>Cash_Flow!$K28</f>
        <v/>
      </c>
      <c r="L28" s="14">
        <f>L27+(F28*Assumptions!$B$5)</f>
        <v/>
      </c>
      <c r="M28" s="15">
        <f>$M27+Cash_Flow!$E28</f>
        <v/>
      </c>
      <c r="N28" s="15">
        <f>$N27+Income_Statement!$P28</f>
        <v/>
      </c>
      <c r="O28" s="15">
        <f>IF(Cash_Flow!$F28&lt;=0,0,$O27+(Cash_Flow!$F28+Cash_Flow!$G28))</f>
        <v/>
      </c>
      <c r="P28" s="15">
        <f>Income_Statement!$S28</f>
        <v/>
      </c>
      <c r="Q28" s="15">
        <f>$Q27+Income_Statement!$S28</f>
        <v/>
      </c>
      <c r="R28" s="15">
        <f>$R27+Income_Statement!$T28</f>
        <v/>
      </c>
      <c r="S28" s="15">
        <f>Income_Statement!$U28</f>
        <v/>
      </c>
      <c r="T28" s="15">
        <f>Income_Statement!$T28</f>
        <v/>
      </c>
      <c r="U28" s="15">
        <f>$U27+Income_Statement!$U28</f>
        <v/>
      </c>
      <c r="V28" s="15">
        <f>Cash_Flow!$N28</f>
        <v/>
      </c>
      <c r="W28" s="15">
        <f>($W27+Cash_Flow!$J28)-(Cash_Flow!$B28+Cash_Flow!$C28)</f>
        <v/>
      </c>
    </row>
    <row r="29">
      <c r="A29" s="7" t="n">
        <v>3</v>
      </c>
      <c r="B29" s="7" t="n">
        <v>27</v>
      </c>
      <c r="C29" s="8">
        <f>IF($A29&gt;1,0,Assumptions!$B$22+IF($B29&gt;4,Assumptions!$B$27,0))</f>
        <v/>
      </c>
      <c r="D29" s="8">
        <f>IF($U29&gt;(Assumptions!$B$22 + Assumptions!$B$23),0,IF($B29&gt;4,(Assumptions!$B$22+Assumptions!$B$27)-$U29,Assumptions!$B$22-$U29))</f>
        <v/>
      </c>
      <c r="E29" s="8">
        <f>Cash_Flow!$P29</f>
        <v/>
      </c>
      <c r="F29" s="6">
        <f>Fleet_Schedule!$G29</f>
        <v/>
      </c>
      <c r="G29" s="6">
        <f>Fleet_Schedule!$I29</f>
        <v/>
      </c>
      <c r="H29" s="8">
        <f>$F29*Assumptions!$B$4</f>
        <v/>
      </c>
      <c r="I29" s="8">
        <f>$G29*Assumptions!$B$4</f>
        <v/>
      </c>
      <c r="J29" s="14">
        <f>Cash_Flow!$J29</f>
        <v/>
      </c>
      <c r="K29" s="14">
        <f>Cash_Flow!$K29</f>
        <v/>
      </c>
      <c r="L29" s="14">
        <f>L28+(F29*Assumptions!$B$5)</f>
        <v/>
      </c>
      <c r="M29" s="15">
        <f>$M28+Cash_Flow!$E29</f>
        <v/>
      </c>
      <c r="N29" s="15">
        <f>$N28+Income_Statement!$P29</f>
        <v/>
      </c>
      <c r="O29" s="15">
        <f>IF(Cash_Flow!$F29&lt;=0,0,$O28+(Cash_Flow!$F29+Cash_Flow!$G29))</f>
        <v/>
      </c>
      <c r="P29" s="15">
        <f>Income_Statement!$S29</f>
        <v/>
      </c>
      <c r="Q29" s="15">
        <f>$Q28+Income_Statement!$S29</f>
        <v/>
      </c>
      <c r="R29" s="15">
        <f>$R28+Income_Statement!$T29</f>
        <v/>
      </c>
      <c r="S29" s="15">
        <f>Income_Statement!$U29</f>
        <v/>
      </c>
      <c r="T29" s="15">
        <f>Income_Statement!$T29</f>
        <v/>
      </c>
      <c r="U29" s="15">
        <f>$U28+Income_Statement!$U29</f>
        <v/>
      </c>
      <c r="V29" s="15">
        <f>Cash_Flow!$N29</f>
        <v/>
      </c>
      <c r="W29" s="15">
        <f>($W28+Cash_Flow!$J29)-(Cash_Flow!$B29+Cash_Flow!$C29)</f>
        <v/>
      </c>
    </row>
    <row r="30">
      <c r="A30" s="7" t="n">
        <v>3</v>
      </c>
      <c r="B30" s="7" t="n">
        <v>28</v>
      </c>
      <c r="C30" s="8">
        <f>IF($A30&gt;1,0,Assumptions!$B$22+IF($B30&gt;4,Assumptions!$B$27,0))</f>
        <v/>
      </c>
      <c r="D30" s="8">
        <f>IF($U30&gt;(Assumptions!$B$22 + Assumptions!$B$23),0,IF($B30&gt;4,(Assumptions!$B$22+Assumptions!$B$27)-$U30,Assumptions!$B$22-$U30))</f>
        <v/>
      </c>
      <c r="E30" s="8">
        <f>Cash_Flow!$P30</f>
        <v/>
      </c>
      <c r="F30" s="6">
        <f>Fleet_Schedule!$G30</f>
        <v/>
      </c>
      <c r="G30" s="6">
        <f>Fleet_Schedule!$I30</f>
        <v/>
      </c>
      <c r="H30" s="8">
        <f>$F30*Assumptions!$B$4</f>
        <v/>
      </c>
      <c r="I30" s="8">
        <f>$G30*Assumptions!$B$4</f>
        <v/>
      </c>
      <c r="J30" s="14">
        <f>Cash_Flow!$J30</f>
        <v/>
      </c>
      <c r="K30" s="14">
        <f>Cash_Flow!$K30</f>
        <v/>
      </c>
      <c r="L30" s="14">
        <f>L29+(F30*Assumptions!$B$5)</f>
        <v/>
      </c>
      <c r="M30" s="15">
        <f>$M29+Cash_Flow!$E30</f>
        <v/>
      </c>
      <c r="N30" s="15">
        <f>$N29+Income_Statement!$P30</f>
        <v/>
      </c>
      <c r="O30" s="15">
        <f>IF(Cash_Flow!$F30&lt;=0,0,$O29+(Cash_Flow!$F30+Cash_Flow!$G30))</f>
        <v/>
      </c>
      <c r="P30" s="15">
        <f>Income_Statement!$S30</f>
        <v/>
      </c>
      <c r="Q30" s="15">
        <f>$Q29+Income_Statement!$S30</f>
        <v/>
      </c>
      <c r="R30" s="15">
        <f>$R29+Income_Statement!$T30</f>
        <v/>
      </c>
      <c r="S30" s="15">
        <f>Income_Statement!$U30</f>
        <v/>
      </c>
      <c r="T30" s="15">
        <f>Income_Statement!$T30</f>
        <v/>
      </c>
      <c r="U30" s="15">
        <f>$U29+Income_Statement!$U30</f>
        <v/>
      </c>
      <c r="V30" s="15">
        <f>Cash_Flow!$N30</f>
        <v/>
      </c>
      <c r="W30" s="15">
        <f>($W29+Cash_Flow!$J30)-(Cash_Flow!$B30+Cash_Flow!$C30)</f>
        <v/>
      </c>
    </row>
    <row r="31">
      <c r="A31" s="7" t="n">
        <v>3</v>
      </c>
      <c r="B31" s="7" t="n">
        <v>29</v>
      </c>
      <c r="C31" s="8">
        <f>IF($A31&gt;1,0,Assumptions!$B$22+IF($B31&gt;4,Assumptions!$B$27,0))</f>
        <v/>
      </c>
      <c r="D31" s="8">
        <f>IF($U31&gt;(Assumptions!$B$22 + Assumptions!$B$23),0,IF($B31&gt;4,(Assumptions!$B$22+Assumptions!$B$27)-$U31,Assumptions!$B$22-$U31))</f>
        <v/>
      </c>
      <c r="E31" s="8">
        <f>Cash_Flow!$P31</f>
        <v/>
      </c>
      <c r="F31" s="6">
        <f>Fleet_Schedule!$G31</f>
        <v/>
      </c>
      <c r="G31" s="6">
        <f>Fleet_Schedule!$I31</f>
        <v/>
      </c>
      <c r="H31" s="8">
        <f>$F31*Assumptions!$B$4</f>
        <v/>
      </c>
      <c r="I31" s="8">
        <f>$G31*Assumptions!$B$4</f>
        <v/>
      </c>
      <c r="J31" s="14">
        <f>Cash_Flow!$J31</f>
        <v/>
      </c>
      <c r="K31" s="14">
        <f>Cash_Flow!$K31</f>
        <v/>
      </c>
      <c r="L31" s="14">
        <f>L30+(F31*Assumptions!$B$5)</f>
        <v/>
      </c>
      <c r="M31" s="15">
        <f>$M30+Cash_Flow!$E31</f>
        <v/>
      </c>
      <c r="N31" s="15">
        <f>$N30+Income_Statement!$P31</f>
        <v/>
      </c>
      <c r="O31" s="15">
        <f>IF(Cash_Flow!$F31&lt;=0,0,$O30+(Cash_Flow!$F31+Cash_Flow!$G31))</f>
        <v/>
      </c>
      <c r="P31" s="15">
        <f>Income_Statement!$S31</f>
        <v/>
      </c>
      <c r="Q31" s="15">
        <f>$Q30+Income_Statement!$S31</f>
        <v/>
      </c>
      <c r="R31" s="15">
        <f>$R30+Income_Statement!$T31</f>
        <v/>
      </c>
      <c r="S31" s="15">
        <f>Income_Statement!$U31</f>
        <v/>
      </c>
      <c r="T31" s="15">
        <f>Income_Statement!$T31</f>
        <v/>
      </c>
      <c r="U31" s="15">
        <f>$U30+Income_Statement!$U31</f>
        <v/>
      </c>
      <c r="V31" s="15">
        <f>Cash_Flow!$N31</f>
        <v/>
      </c>
      <c r="W31" s="15">
        <f>($W30+Cash_Flow!$J31)-(Cash_Flow!$B31+Cash_Flow!$C31)</f>
        <v/>
      </c>
    </row>
    <row r="32">
      <c r="A32" s="7" t="n">
        <v>3</v>
      </c>
      <c r="B32" s="7" t="n">
        <v>30</v>
      </c>
      <c r="C32" s="8">
        <f>IF($A32&gt;1,0,Assumptions!$B$22+IF($B32&gt;4,Assumptions!$B$27,0))</f>
        <v/>
      </c>
      <c r="D32" s="8">
        <f>IF($U32&gt;(Assumptions!$B$22 + Assumptions!$B$23),0,IF($B32&gt;4,(Assumptions!$B$22+Assumptions!$B$27)-$U32,Assumptions!$B$22-$U32))</f>
        <v/>
      </c>
      <c r="E32" s="8">
        <f>Cash_Flow!$P32</f>
        <v/>
      </c>
      <c r="F32" s="6">
        <f>Fleet_Schedule!$G32</f>
        <v/>
      </c>
      <c r="G32" s="6">
        <f>Fleet_Schedule!$I32</f>
        <v/>
      </c>
      <c r="H32" s="8">
        <f>$F32*Assumptions!$B$4</f>
        <v/>
      </c>
      <c r="I32" s="8">
        <f>$G32*Assumptions!$B$4</f>
        <v/>
      </c>
      <c r="J32" s="14">
        <f>Cash_Flow!$J32</f>
        <v/>
      </c>
      <c r="K32" s="14">
        <f>Cash_Flow!$K32</f>
        <v/>
      </c>
      <c r="L32" s="14">
        <f>L31+(F32*Assumptions!$B$5)</f>
        <v/>
      </c>
      <c r="M32" s="15">
        <f>$M31+Cash_Flow!$E32</f>
        <v/>
      </c>
      <c r="N32" s="15">
        <f>$N31+Income_Statement!$P32</f>
        <v/>
      </c>
      <c r="O32" s="15">
        <f>IF(Cash_Flow!$F32&lt;=0,0,$O31+(Cash_Flow!$F32+Cash_Flow!$G32))</f>
        <v/>
      </c>
      <c r="P32" s="15">
        <f>Income_Statement!$S32</f>
        <v/>
      </c>
      <c r="Q32" s="15">
        <f>$Q31+Income_Statement!$S32</f>
        <v/>
      </c>
      <c r="R32" s="15">
        <f>$R31+Income_Statement!$T32</f>
        <v/>
      </c>
      <c r="S32" s="15">
        <f>Income_Statement!$U32</f>
        <v/>
      </c>
      <c r="T32" s="15">
        <f>Income_Statement!$T32</f>
        <v/>
      </c>
      <c r="U32" s="15">
        <f>$U31+Income_Statement!$U32</f>
        <v/>
      </c>
      <c r="V32" s="15">
        <f>Cash_Flow!$N32</f>
        <v/>
      </c>
      <c r="W32" s="15">
        <f>($W31+Cash_Flow!$J32)-(Cash_Flow!$B32+Cash_Flow!$C32)</f>
        <v/>
      </c>
    </row>
    <row r="33">
      <c r="A33" s="7" t="n">
        <v>3</v>
      </c>
      <c r="B33" s="7" t="n">
        <v>31</v>
      </c>
      <c r="C33" s="8">
        <f>IF($A33&gt;1,0,Assumptions!$B$22+IF($B33&gt;4,Assumptions!$B$27,0))</f>
        <v/>
      </c>
      <c r="D33" s="8">
        <f>IF($U33&gt;(Assumptions!$B$22 + Assumptions!$B$23),0,IF($B33&gt;4,(Assumptions!$B$22+Assumptions!$B$27)-$U33,Assumptions!$B$22-$U33))</f>
        <v/>
      </c>
      <c r="E33" s="8">
        <f>Cash_Flow!$P33</f>
        <v/>
      </c>
      <c r="F33" s="6">
        <f>Fleet_Schedule!$G33</f>
        <v/>
      </c>
      <c r="G33" s="6">
        <f>Fleet_Schedule!$I33</f>
        <v/>
      </c>
      <c r="H33" s="8">
        <f>$F33*Assumptions!$B$4</f>
        <v/>
      </c>
      <c r="I33" s="8">
        <f>$G33*Assumptions!$B$4</f>
        <v/>
      </c>
      <c r="J33" s="14">
        <f>Cash_Flow!$J33</f>
        <v/>
      </c>
      <c r="K33" s="14">
        <f>Cash_Flow!$K33</f>
        <v/>
      </c>
      <c r="L33" s="14">
        <f>L32+(F33*Assumptions!$B$5)</f>
        <v/>
      </c>
      <c r="M33" s="15">
        <f>$M32+Cash_Flow!$E33</f>
        <v/>
      </c>
      <c r="N33" s="15">
        <f>$N32+Income_Statement!$P33</f>
        <v/>
      </c>
      <c r="O33" s="15">
        <f>IF(Cash_Flow!$F33&lt;=0,0,$O32+(Cash_Flow!$F33+Cash_Flow!$G33))</f>
        <v/>
      </c>
      <c r="P33" s="15">
        <f>Income_Statement!$S33</f>
        <v/>
      </c>
      <c r="Q33" s="15">
        <f>$Q32+Income_Statement!$S33</f>
        <v/>
      </c>
      <c r="R33" s="15">
        <f>$R32+Income_Statement!$T33</f>
        <v/>
      </c>
      <c r="S33" s="15">
        <f>Income_Statement!$U33</f>
        <v/>
      </c>
      <c r="T33" s="15">
        <f>Income_Statement!$T33</f>
        <v/>
      </c>
      <c r="U33" s="15">
        <f>$U32+Income_Statement!$U33</f>
        <v/>
      </c>
      <c r="V33" s="15">
        <f>Cash_Flow!$N33</f>
        <v/>
      </c>
      <c r="W33" s="15">
        <f>($W32+Cash_Flow!$J33)-(Cash_Flow!$B33+Cash_Flow!$C33)</f>
        <v/>
      </c>
    </row>
    <row r="34">
      <c r="A34" s="7" t="n">
        <v>3</v>
      </c>
      <c r="B34" s="7" t="n">
        <v>32</v>
      </c>
      <c r="C34" s="8">
        <f>IF($A34&gt;1,0,Assumptions!$B$22+IF($B34&gt;4,Assumptions!$B$27,0))</f>
        <v/>
      </c>
      <c r="D34" s="8">
        <f>IF($U34&gt;(Assumptions!$B$22 + Assumptions!$B$23),0,IF($B34&gt;4,(Assumptions!$B$22+Assumptions!$B$27)-$U34,Assumptions!$B$22-$U34))</f>
        <v/>
      </c>
      <c r="E34" s="8">
        <f>Cash_Flow!$P34</f>
        <v/>
      </c>
      <c r="F34" s="6">
        <f>Fleet_Schedule!$G34</f>
        <v/>
      </c>
      <c r="G34" s="6">
        <f>Fleet_Schedule!$I34</f>
        <v/>
      </c>
      <c r="H34" s="8">
        <f>$F34*Assumptions!$B$4</f>
        <v/>
      </c>
      <c r="I34" s="8">
        <f>$G34*Assumptions!$B$4</f>
        <v/>
      </c>
      <c r="J34" s="14">
        <f>Cash_Flow!$J34</f>
        <v/>
      </c>
      <c r="K34" s="14">
        <f>Cash_Flow!$K34</f>
        <v/>
      </c>
      <c r="L34" s="14">
        <f>L33+(F34*Assumptions!$B$5)</f>
        <v/>
      </c>
      <c r="M34" s="15">
        <f>$M33+Cash_Flow!$E34</f>
        <v/>
      </c>
      <c r="N34" s="15">
        <f>$N33+Income_Statement!$P34</f>
        <v/>
      </c>
      <c r="O34" s="15">
        <f>IF(Cash_Flow!$F34&lt;=0,0,$O33+(Cash_Flow!$F34+Cash_Flow!$G34))</f>
        <v/>
      </c>
      <c r="P34" s="15">
        <f>Income_Statement!$S34</f>
        <v/>
      </c>
      <c r="Q34" s="15">
        <f>$Q33+Income_Statement!$S34</f>
        <v/>
      </c>
      <c r="R34" s="15">
        <f>$R33+Income_Statement!$T34</f>
        <v/>
      </c>
      <c r="S34" s="15">
        <f>Income_Statement!$U34</f>
        <v/>
      </c>
      <c r="T34" s="15">
        <f>Income_Statement!$T34</f>
        <v/>
      </c>
      <c r="U34" s="15">
        <f>$U33+Income_Statement!$U34</f>
        <v/>
      </c>
      <c r="V34" s="15">
        <f>Cash_Flow!$N34</f>
        <v/>
      </c>
      <c r="W34" s="15">
        <f>($W33+Cash_Flow!$J34)-(Cash_Flow!$B34+Cash_Flow!$C34)</f>
        <v/>
      </c>
    </row>
    <row r="35">
      <c r="A35" s="7" t="n">
        <v>3</v>
      </c>
      <c r="B35" s="7" t="n">
        <v>33</v>
      </c>
      <c r="C35" s="8">
        <f>IF($A35&gt;1,0,Assumptions!$B$22+IF($B35&gt;4,Assumptions!$B$27,0))</f>
        <v/>
      </c>
      <c r="D35" s="8">
        <f>IF($U35&gt;(Assumptions!$B$22 + Assumptions!$B$23),0,IF($B35&gt;4,(Assumptions!$B$22+Assumptions!$B$27)-$U35,Assumptions!$B$22-$U35))</f>
        <v/>
      </c>
      <c r="E35" s="8">
        <f>Cash_Flow!$P35</f>
        <v/>
      </c>
      <c r="F35" s="6">
        <f>Fleet_Schedule!$G35</f>
        <v/>
      </c>
      <c r="G35" s="6">
        <f>Fleet_Schedule!$I35</f>
        <v/>
      </c>
      <c r="H35" s="8">
        <f>$F35*Assumptions!$B$4</f>
        <v/>
      </c>
      <c r="I35" s="8">
        <f>$G35*Assumptions!$B$4</f>
        <v/>
      </c>
      <c r="J35" s="14">
        <f>Cash_Flow!$J35</f>
        <v/>
      </c>
      <c r="K35" s="14">
        <f>Cash_Flow!$K35</f>
        <v/>
      </c>
      <c r="L35" s="14">
        <f>L34+(F35*Assumptions!$B$5)</f>
        <v/>
      </c>
      <c r="M35" s="15">
        <f>$M34+Cash_Flow!$E35</f>
        <v/>
      </c>
      <c r="N35" s="15">
        <f>$N34+Income_Statement!$P35</f>
        <v/>
      </c>
      <c r="O35" s="15">
        <f>IF(Cash_Flow!$F35&lt;=0,0,$O34+(Cash_Flow!$F35+Cash_Flow!$G35))</f>
        <v/>
      </c>
      <c r="P35" s="15">
        <f>Income_Statement!$S35</f>
        <v/>
      </c>
      <c r="Q35" s="15">
        <f>$Q34+Income_Statement!$S35</f>
        <v/>
      </c>
      <c r="R35" s="15">
        <f>$R34+Income_Statement!$T35</f>
        <v/>
      </c>
      <c r="S35" s="15">
        <f>Income_Statement!$U35</f>
        <v/>
      </c>
      <c r="T35" s="15">
        <f>Income_Statement!$T35</f>
        <v/>
      </c>
      <c r="U35" s="15">
        <f>$U34+Income_Statement!$U35</f>
        <v/>
      </c>
      <c r="V35" s="15">
        <f>Cash_Flow!$N35</f>
        <v/>
      </c>
      <c r="W35" s="15">
        <f>($W34+Cash_Flow!$J35)-(Cash_Flow!$B35+Cash_Flow!$C35)</f>
        <v/>
      </c>
    </row>
    <row r="36">
      <c r="A36" s="7" t="n">
        <v>3</v>
      </c>
      <c r="B36" s="7" t="n">
        <v>34</v>
      </c>
      <c r="C36" s="8">
        <f>IF($A36&gt;1,0,Assumptions!$B$22+IF($B36&gt;4,Assumptions!$B$27,0))</f>
        <v/>
      </c>
      <c r="D36" s="8">
        <f>IF($U36&gt;(Assumptions!$B$22 + Assumptions!$B$23),0,IF($B36&gt;4,(Assumptions!$B$22+Assumptions!$B$27)-$U36,Assumptions!$B$22-$U36))</f>
        <v/>
      </c>
      <c r="E36" s="8">
        <f>Cash_Flow!$P36</f>
        <v/>
      </c>
      <c r="F36" s="6">
        <f>Fleet_Schedule!$G36</f>
        <v/>
      </c>
      <c r="G36" s="6">
        <f>Fleet_Schedule!$I36</f>
        <v/>
      </c>
      <c r="H36" s="8">
        <f>$F36*Assumptions!$B$4</f>
        <v/>
      </c>
      <c r="I36" s="8">
        <f>$G36*Assumptions!$B$4</f>
        <v/>
      </c>
      <c r="J36" s="14">
        <f>Cash_Flow!$J36</f>
        <v/>
      </c>
      <c r="K36" s="14">
        <f>Cash_Flow!$K36</f>
        <v/>
      </c>
      <c r="L36" s="14">
        <f>L35+(F36*Assumptions!$B$5)</f>
        <v/>
      </c>
      <c r="M36" s="15">
        <f>$M35+Cash_Flow!$E36</f>
        <v/>
      </c>
      <c r="N36" s="15">
        <f>$N35+Income_Statement!$P36</f>
        <v/>
      </c>
      <c r="O36" s="15">
        <f>IF(Cash_Flow!$F36&lt;=0,0,$O35+(Cash_Flow!$F36+Cash_Flow!$G36))</f>
        <v/>
      </c>
      <c r="P36" s="15">
        <f>Income_Statement!$S36</f>
        <v/>
      </c>
      <c r="Q36" s="15">
        <f>$Q35+Income_Statement!$S36</f>
        <v/>
      </c>
      <c r="R36" s="15">
        <f>$R35+Income_Statement!$T36</f>
        <v/>
      </c>
      <c r="S36" s="15">
        <f>Income_Statement!$U36</f>
        <v/>
      </c>
      <c r="T36" s="15">
        <f>Income_Statement!$T36</f>
        <v/>
      </c>
      <c r="U36" s="15">
        <f>$U35+Income_Statement!$U36</f>
        <v/>
      </c>
      <c r="V36" s="15">
        <f>Cash_Flow!$N36</f>
        <v/>
      </c>
      <c r="W36" s="15">
        <f>($W35+Cash_Flow!$J36)-(Cash_Flow!$B36+Cash_Flow!$C36)</f>
        <v/>
      </c>
    </row>
    <row r="37">
      <c r="A37" s="7" t="n">
        <v>3</v>
      </c>
      <c r="B37" s="7" t="n">
        <v>35</v>
      </c>
      <c r="C37" s="8">
        <f>IF($A37&gt;1,0,Assumptions!$B$22+IF($B37&gt;4,Assumptions!$B$27,0))</f>
        <v/>
      </c>
      <c r="D37" s="8">
        <f>IF($U37&gt;(Assumptions!$B$22 + Assumptions!$B$23),0,IF($B37&gt;4,(Assumptions!$B$22+Assumptions!$B$27)-$U37,Assumptions!$B$22-$U37))</f>
        <v/>
      </c>
      <c r="E37" s="8">
        <f>Cash_Flow!$P37</f>
        <v/>
      </c>
      <c r="F37" s="6">
        <f>Fleet_Schedule!$G37</f>
        <v/>
      </c>
      <c r="G37" s="6">
        <f>Fleet_Schedule!$I37</f>
        <v/>
      </c>
      <c r="H37" s="8">
        <f>$F37*Assumptions!$B$4</f>
        <v/>
      </c>
      <c r="I37" s="8">
        <f>$G37*Assumptions!$B$4</f>
        <v/>
      </c>
      <c r="J37" s="14">
        <f>Cash_Flow!$J37</f>
        <v/>
      </c>
      <c r="K37" s="14">
        <f>Cash_Flow!$K37</f>
        <v/>
      </c>
      <c r="L37" s="14">
        <f>L36+(F37*Assumptions!$B$5)</f>
        <v/>
      </c>
      <c r="M37" s="15">
        <f>$M36+Cash_Flow!$E37</f>
        <v/>
      </c>
      <c r="N37" s="15">
        <f>$N36+Income_Statement!$P37</f>
        <v/>
      </c>
      <c r="O37" s="15">
        <f>IF(Cash_Flow!$F37&lt;=0,0,$O36+(Cash_Flow!$F37+Cash_Flow!$G37))</f>
        <v/>
      </c>
      <c r="P37" s="15">
        <f>Income_Statement!$S37</f>
        <v/>
      </c>
      <c r="Q37" s="15">
        <f>$Q36+Income_Statement!$S37</f>
        <v/>
      </c>
      <c r="R37" s="15">
        <f>$R36+Income_Statement!$T37</f>
        <v/>
      </c>
      <c r="S37" s="15">
        <f>Income_Statement!$U37</f>
        <v/>
      </c>
      <c r="T37" s="15">
        <f>Income_Statement!$T37</f>
        <v/>
      </c>
      <c r="U37" s="15">
        <f>$U36+Income_Statement!$U37</f>
        <v/>
      </c>
      <c r="V37" s="15">
        <f>Cash_Flow!$N37</f>
        <v/>
      </c>
      <c r="W37" s="15">
        <f>($W36+Cash_Flow!$J37)-(Cash_Flow!$B37+Cash_Flow!$C37)</f>
        <v/>
      </c>
    </row>
    <row r="38">
      <c r="A38" s="7" t="n">
        <v>3</v>
      </c>
      <c r="B38" s="7" t="n">
        <v>36</v>
      </c>
      <c r="C38" s="8">
        <f>IF($A38&gt;1,0,Assumptions!$B$22+IF($B38&gt;4,Assumptions!$B$27,0))</f>
        <v/>
      </c>
      <c r="D38" s="8">
        <f>IF($U38&gt;(Assumptions!$B$22 + Assumptions!$B$23),0,IF($B38&gt;4,(Assumptions!$B$22+Assumptions!$B$27)-$U38,Assumptions!$B$22-$U38))</f>
        <v/>
      </c>
      <c r="E38" s="8">
        <f>Cash_Flow!$P38</f>
        <v/>
      </c>
      <c r="F38" s="6">
        <f>Fleet_Schedule!$G38</f>
        <v/>
      </c>
      <c r="G38" s="6">
        <f>Fleet_Schedule!$I38</f>
        <v/>
      </c>
      <c r="H38" s="8">
        <f>$F38*Assumptions!$B$4</f>
        <v/>
      </c>
      <c r="I38" s="8">
        <f>$G38*Assumptions!$B$4</f>
        <v/>
      </c>
      <c r="J38" s="14">
        <f>Cash_Flow!$J38</f>
        <v/>
      </c>
      <c r="K38" s="14">
        <f>Cash_Flow!$K38</f>
        <v/>
      </c>
      <c r="L38" s="14">
        <f>L37+(F38*Assumptions!$B$5)</f>
        <v/>
      </c>
      <c r="M38" s="15">
        <f>$M37+Cash_Flow!$E38</f>
        <v/>
      </c>
      <c r="N38" s="15">
        <f>$N37+Income_Statement!$P38</f>
        <v/>
      </c>
      <c r="O38" s="15">
        <f>IF(Cash_Flow!$F38&lt;=0,0,$O37+(Cash_Flow!$F38+Cash_Flow!$G38))</f>
        <v/>
      </c>
      <c r="P38" s="15">
        <f>Income_Statement!$S38</f>
        <v/>
      </c>
      <c r="Q38" s="15">
        <f>$Q37+Income_Statement!$S38</f>
        <v/>
      </c>
      <c r="R38" s="15">
        <f>$R37+Income_Statement!$T38</f>
        <v/>
      </c>
      <c r="S38" s="15">
        <f>Income_Statement!$U38</f>
        <v/>
      </c>
      <c r="T38" s="15">
        <f>Income_Statement!$T38</f>
        <v/>
      </c>
      <c r="U38" s="15">
        <f>$U37+Income_Statement!$U38</f>
        <v/>
      </c>
      <c r="V38" s="15">
        <f>Cash_Flow!$N38</f>
        <v/>
      </c>
      <c r="W38" s="15">
        <f>($W37+Cash_Flow!$J38)-(Cash_Flow!$B38+Cash_Flow!$C38)</f>
        <v/>
      </c>
    </row>
    <row r="39">
      <c r="A39" s="7" t="n">
        <v>4</v>
      </c>
      <c r="B39" s="7" t="n">
        <v>37</v>
      </c>
      <c r="C39" s="8">
        <f>IF($A39&gt;1,0,Assumptions!$B$22+IF($B39&gt;4,Assumptions!$B$27,0))</f>
        <v/>
      </c>
      <c r="D39" s="8">
        <f>IF($U39&gt;(Assumptions!$B$22 + Assumptions!$B$23),0,IF($B39&gt;4,(Assumptions!$B$22+Assumptions!$B$27)-$U39,Assumptions!$B$22-$U39))</f>
        <v/>
      </c>
      <c r="E39" s="8">
        <f>Cash_Flow!$P39</f>
        <v/>
      </c>
      <c r="F39" s="6">
        <f>Fleet_Schedule!$G39</f>
        <v/>
      </c>
      <c r="G39" s="6">
        <f>Fleet_Schedule!$I39</f>
        <v/>
      </c>
      <c r="H39" s="8">
        <f>$F39*Assumptions!$B$4</f>
        <v/>
      </c>
      <c r="I39" s="8">
        <f>$G39*Assumptions!$B$4</f>
        <v/>
      </c>
      <c r="J39" s="14">
        <f>Cash_Flow!$J39</f>
        <v/>
      </c>
      <c r="K39" s="14">
        <f>Cash_Flow!$K39</f>
        <v/>
      </c>
      <c r="L39" s="14">
        <f>L38+(F39*Assumptions!$B$5)</f>
        <v/>
      </c>
      <c r="M39" s="15">
        <f>$M38+Cash_Flow!$E39</f>
        <v/>
      </c>
      <c r="N39" s="15">
        <f>$N38+Income_Statement!$P39</f>
        <v/>
      </c>
      <c r="O39" s="15">
        <f>IF(Cash_Flow!$F39&lt;=0,0,$O38+(Cash_Flow!$F39+Cash_Flow!$G39))</f>
        <v/>
      </c>
      <c r="P39" s="15">
        <f>Income_Statement!$S39</f>
        <v/>
      </c>
      <c r="Q39" s="15">
        <f>$Q38+Income_Statement!$S39</f>
        <v/>
      </c>
      <c r="R39" s="15">
        <f>$R38+Income_Statement!$T39</f>
        <v/>
      </c>
      <c r="S39" s="15">
        <f>Income_Statement!$U39</f>
        <v/>
      </c>
      <c r="T39" s="15">
        <f>Income_Statement!$T39</f>
        <v/>
      </c>
      <c r="U39" s="15">
        <f>$U38+Income_Statement!$U39</f>
        <v/>
      </c>
      <c r="V39" s="15">
        <f>Cash_Flow!$N39</f>
        <v/>
      </c>
      <c r="W39" s="15">
        <f>($W38+Cash_Flow!$J39)-(Cash_Flow!$B39+Cash_Flow!$C39)</f>
        <v/>
      </c>
    </row>
    <row r="40">
      <c r="A40" s="7" t="n">
        <v>4</v>
      </c>
      <c r="B40" s="7" t="n">
        <v>38</v>
      </c>
      <c r="C40" s="8">
        <f>IF($A40&gt;1,0,Assumptions!$B$22+IF($B40&gt;4,Assumptions!$B$27,0))</f>
        <v/>
      </c>
      <c r="D40" s="8">
        <f>IF($U40&gt;(Assumptions!$B$22 + Assumptions!$B$23),0,IF($B40&gt;4,(Assumptions!$B$22+Assumptions!$B$27)-$U40,Assumptions!$B$22-$U40))</f>
        <v/>
      </c>
      <c r="E40" s="8">
        <f>Cash_Flow!$P40</f>
        <v/>
      </c>
      <c r="F40" s="6">
        <f>Fleet_Schedule!$G40</f>
        <v/>
      </c>
      <c r="G40" s="6">
        <f>Fleet_Schedule!$I40</f>
        <v/>
      </c>
      <c r="H40" s="8">
        <f>$F40*Assumptions!$B$4</f>
        <v/>
      </c>
      <c r="I40" s="8">
        <f>$G40*Assumptions!$B$4</f>
        <v/>
      </c>
      <c r="J40" s="14">
        <f>Cash_Flow!$J40</f>
        <v/>
      </c>
      <c r="K40" s="14">
        <f>Cash_Flow!$K40</f>
        <v/>
      </c>
      <c r="L40" s="14">
        <f>L39+(F40*Assumptions!$B$5)</f>
        <v/>
      </c>
      <c r="M40" s="15">
        <f>$M39+Cash_Flow!$E40</f>
        <v/>
      </c>
      <c r="N40" s="15">
        <f>$N39+Income_Statement!$P40</f>
        <v/>
      </c>
      <c r="O40" s="15">
        <f>IF(Cash_Flow!$F40&lt;=0,0,$O39+(Cash_Flow!$F40+Cash_Flow!$G40))</f>
        <v/>
      </c>
      <c r="P40" s="15">
        <f>Income_Statement!$S40</f>
        <v/>
      </c>
      <c r="Q40" s="15">
        <f>$Q39+Income_Statement!$S40</f>
        <v/>
      </c>
      <c r="R40" s="15">
        <f>$R39+Income_Statement!$T40</f>
        <v/>
      </c>
      <c r="S40" s="15">
        <f>Income_Statement!$U40</f>
        <v/>
      </c>
      <c r="T40" s="15">
        <f>Income_Statement!$T40</f>
        <v/>
      </c>
      <c r="U40" s="15">
        <f>$U39+Income_Statement!$U40</f>
        <v/>
      </c>
      <c r="V40" s="15">
        <f>Cash_Flow!$N40</f>
        <v/>
      </c>
      <c r="W40" s="15">
        <f>($W39+Cash_Flow!$J40)-(Cash_Flow!$B40+Cash_Flow!$C40)</f>
        <v/>
      </c>
    </row>
    <row r="41">
      <c r="A41" s="7" t="n">
        <v>4</v>
      </c>
      <c r="B41" s="7" t="n">
        <v>39</v>
      </c>
      <c r="C41" s="8">
        <f>IF($A41&gt;1,0,Assumptions!$B$22+IF($B41&gt;4,Assumptions!$B$27,0))</f>
        <v/>
      </c>
      <c r="D41" s="8">
        <f>IF($U41&gt;(Assumptions!$B$22 + Assumptions!$B$23),0,IF($B41&gt;4,(Assumptions!$B$22+Assumptions!$B$27)-$U41,Assumptions!$B$22-$U41))</f>
        <v/>
      </c>
      <c r="E41" s="8">
        <f>Cash_Flow!$P41</f>
        <v/>
      </c>
      <c r="F41" s="6">
        <f>Fleet_Schedule!$G41</f>
        <v/>
      </c>
      <c r="G41" s="6">
        <f>Fleet_Schedule!$I41</f>
        <v/>
      </c>
      <c r="H41" s="8">
        <f>$F41*Assumptions!$B$4</f>
        <v/>
      </c>
      <c r="I41" s="8">
        <f>$G41*Assumptions!$B$4</f>
        <v/>
      </c>
      <c r="J41" s="14">
        <f>Cash_Flow!$J41</f>
        <v/>
      </c>
      <c r="K41" s="14">
        <f>Cash_Flow!$K41</f>
        <v/>
      </c>
      <c r="L41" s="14">
        <f>L40+(F41*Assumptions!$B$5)</f>
        <v/>
      </c>
      <c r="M41" s="15">
        <f>$M40+Cash_Flow!$E41</f>
        <v/>
      </c>
      <c r="N41" s="15">
        <f>$N40+Income_Statement!$P41</f>
        <v/>
      </c>
      <c r="O41" s="15">
        <f>IF(Cash_Flow!$F41&lt;=0,0,$O40+(Cash_Flow!$F41+Cash_Flow!$G41))</f>
        <v/>
      </c>
      <c r="P41" s="15">
        <f>Income_Statement!$S41</f>
        <v/>
      </c>
      <c r="Q41" s="15">
        <f>$Q40+Income_Statement!$S41</f>
        <v/>
      </c>
      <c r="R41" s="15">
        <f>$R40+Income_Statement!$T41</f>
        <v/>
      </c>
      <c r="S41" s="15">
        <f>Income_Statement!$U41</f>
        <v/>
      </c>
      <c r="T41" s="15">
        <f>Income_Statement!$T41</f>
        <v/>
      </c>
      <c r="U41" s="15">
        <f>$U40+Income_Statement!$U41</f>
        <v/>
      </c>
      <c r="V41" s="15">
        <f>Cash_Flow!$N41</f>
        <v/>
      </c>
      <c r="W41" s="15">
        <f>($W40+Cash_Flow!$J41)-(Cash_Flow!$B41+Cash_Flow!$C41)</f>
        <v/>
      </c>
    </row>
    <row r="42">
      <c r="A42" s="7" t="n">
        <v>4</v>
      </c>
      <c r="B42" s="7" t="n">
        <v>40</v>
      </c>
      <c r="C42" s="8">
        <f>IF($A42&gt;1,0,Assumptions!$B$22+IF($B42&gt;4,Assumptions!$B$27,0))</f>
        <v/>
      </c>
      <c r="D42" s="8">
        <f>IF($U42&gt;(Assumptions!$B$22 + Assumptions!$B$23),0,IF($B42&gt;4,(Assumptions!$B$22+Assumptions!$B$27)-$U42,Assumptions!$B$22-$U42))</f>
        <v/>
      </c>
      <c r="E42" s="8">
        <f>Cash_Flow!$P42</f>
        <v/>
      </c>
      <c r="F42" s="6">
        <f>Fleet_Schedule!$G42</f>
        <v/>
      </c>
      <c r="G42" s="6">
        <f>Fleet_Schedule!$I42</f>
        <v/>
      </c>
      <c r="H42" s="8">
        <f>$F42*Assumptions!$B$4</f>
        <v/>
      </c>
      <c r="I42" s="8">
        <f>$G42*Assumptions!$B$4</f>
        <v/>
      </c>
      <c r="J42" s="14">
        <f>Cash_Flow!$J42</f>
        <v/>
      </c>
      <c r="K42" s="14">
        <f>Cash_Flow!$K42</f>
        <v/>
      </c>
      <c r="L42" s="14">
        <f>L41+(F42*Assumptions!$B$5)</f>
        <v/>
      </c>
      <c r="M42" s="15">
        <f>$M41+Cash_Flow!$E42</f>
        <v/>
      </c>
      <c r="N42" s="15">
        <f>$N41+Income_Statement!$P42</f>
        <v/>
      </c>
      <c r="O42" s="15">
        <f>IF(Cash_Flow!$F42&lt;=0,0,$O41+(Cash_Flow!$F42+Cash_Flow!$G42))</f>
        <v/>
      </c>
      <c r="P42" s="15">
        <f>Income_Statement!$S42</f>
        <v/>
      </c>
      <c r="Q42" s="15">
        <f>$Q41+Income_Statement!$S42</f>
        <v/>
      </c>
      <c r="R42" s="15">
        <f>$R41+Income_Statement!$T42</f>
        <v/>
      </c>
      <c r="S42" s="15">
        <f>Income_Statement!$U42</f>
        <v/>
      </c>
      <c r="T42" s="15">
        <f>Income_Statement!$T42</f>
        <v/>
      </c>
      <c r="U42" s="15">
        <f>$U41+Income_Statement!$U42</f>
        <v/>
      </c>
      <c r="V42" s="15">
        <f>Cash_Flow!$N42</f>
        <v/>
      </c>
      <c r="W42" s="15">
        <f>($W41+Cash_Flow!$J42)-(Cash_Flow!$B42+Cash_Flow!$C42)</f>
        <v/>
      </c>
    </row>
    <row r="43">
      <c r="A43" s="7" t="n">
        <v>4</v>
      </c>
      <c r="B43" s="7" t="n">
        <v>41</v>
      </c>
      <c r="C43" s="8">
        <f>IF($A43&gt;1,0,Assumptions!$B$22+IF($B43&gt;4,Assumptions!$B$27,0))</f>
        <v/>
      </c>
      <c r="D43" s="8">
        <f>IF($U43&gt;(Assumptions!$B$22 + Assumptions!$B$23),0,IF($B43&gt;4,(Assumptions!$B$22+Assumptions!$B$27)-$U43,Assumptions!$B$22-$U43))</f>
        <v/>
      </c>
      <c r="E43" s="8">
        <f>Cash_Flow!$P43</f>
        <v/>
      </c>
      <c r="F43" s="6">
        <f>Fleet_Schedule!$G43</f>
        <v/>
      </c>
      <c r="G43" s="6">
        <f>Fleet_Schedule!$I43</f>
        <v/>
      </c>
      <c r="H43" s="8">
        <f>$F43*Assumptions!$B$4</f>
        <v/>
      </c>
      <c r="I43" s="8">
        <f>$G43*Assumptions!$B$4</f>
        <v/>
      </c>
      <c r="J43" s="14">
        <f>Cash_Flow!$J43</f>
        <v/>
      </c>
      <c r="K43" s="14">
        <f>Cash_Flow!$K43</f>
        <v/>
      </c>
      <c r="L43" s="14">
        <f>L42+(F43*Assumptions!$B$5)</f>
        <v/>
      </c>
      <c r="M43" s="15">
        <f>$M42+Cash_Flow!$E43</f>
        <v/>
      </c>
      <c r="N43" s="15">
        <f>$N42+Income_Statement!$P43</f>
        <v/>
      </c>
      <c r="O43" s="15">
        <f>IF(Cash_Flow!$F43&lt;=0,0,$O42+(Cash_Flow!$F43+Cash_Flow!$G43))</f>
        <v/>
      </c>
      <c r="P43" s="15">
        <f>Income_Statement!$S43</f>
        <v/>
      </c>
      <c r="Q43" s="15">
        <f>$Q42+Income_Statement!$S43</f>
        <v/>
      </c>
      <c r="R43" s="15">
        <f>$R42+Income_Statement!$T43</f>
        <v/>
      </c>
      <c r="S43" s="15">
        <f>Income_Statement!$U43</f>
        <v/>
      </c>
      <c r="T43" s="15">
        <f>Income_Statement!$T43</f>
        <v/>
      </c>
      <c r="U43" s="15">
        <f>$U42+Income_Statement!$U43</f>
        <v/>
      </c>
      <c r="V43" s="15">
        <f>Cash_Flow!$N43</f>
        <v/>
      </c>
      <c r="W43" s="15">
        <f>($W42+Cash_Flow!$J43)-(Cash_Flow!$B43+Cash_Flow!$C43)</f>
        <v/>
      </c>
    </row>
    <row r="44">
      <c r="A44" s="7" t="n">
        <v>4</v>
      </c>
      <c r="B44" s="7" t="n">
        <v>42</v>
      </c>
      <c r="C44" s="8">
        <f>IF($A44&gt;1,0,Assumptions!$B$22+IF($B44&gt;4,Assumptions!$B$27,0))</f>
        <v/>
      </c>
      <c r="D44" s="8">
        <f>IF($U44&gt;(Assumptions!$B$22 + Assumptions!$B$23),0,IF($B44&gt;4,(Assumptions!$B$22+Assumptions!$B$27)-$U44,Assumptions!$B$22-$U44))</f>
        <v/>
      </c>
      <c r="E44" s="8">
        <f>Cash_Flow!$P44</f>
        <v/>
      </c>
      <c r="F44" s="6">
        <f>Fleet_Schedule!$G44</f>
        <v/>
      </c>
      <c r="G44" s="6">
        <f>Fleet_Schedule!$I44</f>
        <v/>
      </c>
      <c r="H44" s="8">
        <f>$F44*Assumptions!$B$4</f>
        <v/>
      </c>
      <c r="I44" s="8">
        <f>$G44*Assumptions!$B$4</f>
        <v/>
      </c>
      <c r="J44" s="14">
        <f>Cash_Flow!$J44</f>
        <v/>
      </c>
      <c r="K44" s="14">
        <f>Cash_Flow!$K44</f>
        <v/>
      </c>
      <c r="L44" s="14">
        <f>L43+(F44*Assumptions!$B$5)</f>
        <v/>
      </c>
      <c r="M44" s="15">
        <f>$M43+Cash_Flow!$E44</f>
        <v/>
      </c>
      <c r="N44" s="15">
        <f>$N43+Income_Statement!$P44</f>
        <v/>
      </c>
      <c r="O44" s="15">
        <f>IF(Cash_Flow!$F44&lt;=0,0,$O43+(Cash_Flow!$F44+Cash_Flow!$G44))</f>
        <v/>
      </c>
      <c r="P44" s="15">
        <f>Income_Statement!$S44</f>
        <v/>
      </c>
      <c r="Q44" s="15">
        <f>$Q43+Income_Statement!$S44</f>
        <v/>
      </c>
      <c r="R44" s="15">
        <f>$R43+Income_Statement!$T44</f>
        <v/>
      </c>
      <c r="S44" s="15">
        <f>Income_Statement!$U44</f>
        <v/>
      </c>
      <c r="T44" s="15">
        <f>Income_Statement!$T44</f>
        <v/>
      </c>
      <c r="U44" s="15">
        <f>$U43+Income_Statement!$U44</f>
        <v/>
      </c>
      <c r="V44" s="15">
        <f>Cash_Flow!$N44</f>
        <v/>
      </c>
      <c r="W44" s="15">
        <f>($W43+Cash_Flow!$J44)-(Cash_Flow!$B44+Cash_Flow!$C44)</f>
        <v/>
      </c>
    </row>
    <row r="45">
      <c r="A45" s="7" t="n">
        <v>4</v>
      </c>
      <c r="B45" s="7" t="n">
        <v>43</v>
      </c>
      <c r="C45" s="8">
        <f>IF($A45&gt;1,0,Assumptions!$B$22+IF($B45&gt;4,Assumptions!$B$27,0))</f>
        <v/>
      </c>
      <c r="D45" s="8">
        <f>IF($U45&gt;(Assumptions!$B$22 + Assumptions!$B$23),0,IF($B45&gt;4,(Assumptions!$B$22+Assumptions!$B$27)-$U45,Assumptions!$B$22-$U45))</f>
        <v/>
      </c>
      <c r="E45" s="8">
        <f>Cash_Flow!$P45</f>
        <v/>
      </c>
      <c r="F45" s="6">
        <f>Fleet_Schedule!$G45</f>
        <v/>
      </c>
      <c r="G45" s="6">
        <f>Fleet_Schedule!$I45</f>
        <v/>
      </c>
      <c r="H45" s="8">
        <f>$F45*Assumptions!$B$4</f>
        <v/>
      </c>
      <c r="I45" s="8">
        <f>$G45*Assumptions!$B$4</f>
        <v/>
      </c>
      <c r="J45" s="14">
        <f>Cash_Flow!$J45</f>
        <v/>
      </c>
      <c r="K45" s="14">
        <f>Cash_Flow!$K45</f>
        <v/>
      </c>
      <c r="L45" s="14">
        <f>L44+(F45*Assumptions!$B$5)</f>
        <v/>
      </c>
      <c r="M45" s="15">
        <f>$M44+Cash_Flow!$E45</f>
        <v/>
      </c>
      <c r="N45" s="15">
        <f>$N44+Income_Statement!$P45</f>
        <v/>
      </c>
      <c r="O45" s="15">
        <f>IF(Cash_Flow!$F45&lt;=0,0,$O44+(Cash_Flow!$F45+Cash_Flow!$G45))</f>
        <v/>
      </c>
      <c r="P45" s="15">
        <f>Income_Statement!$S45</f>
        <v/>
      </c>
      <c r="Q45" s="15">
        <f>$Q44+Income_Statement!$S45</f>
        <v/>
      </c>
      <c r="R45" s="15">
        <f>$R44+Income_Statement!$T45</f>
        <v/>
      </c>
      <c r="S45" s="15">
        <f>Income_Statement!$U45</f>
        <v/>
      </c>
      <c r="T45" s="15">
        <f>Income_Statement!$T45</f>
        <v/>
      </c>
      <c r="U45" s="15">
        <f>$U44+Income_Statement!$U45</f>
        <v/>
      </c>
      <c r="V45" s="15">
        <f>Cash_Flow!$N45</f>
        <v/>
      </c>
      <c r="W45" s="15">
        <f>($W44+Cash_Flow!$J45)-(Cash_Flow!$B45+Cash_Flow!$C45)</f>
        <v/>
      </c>
    </row>
    <row r="46">
      <c r="A46" s="7" t="n">
        <v>4</v>
      </c>
      <c r="B46" s="7" t="n">
        <v>44</v>
      </c>
      <c r="C46" s="8">
        <f>IF($A46&gt;1,0,Assumptions!$B$22+IF($B46&gt;4,Assumptions!$B$27,0))</f>
        <v/>
      </c>
      <c r="D46" s="8">
        <f>IF($U46&gt;(Assumptions!$B$22 + Assumptions!$B$23),0,IF($B46&gt;4,(Assumptions!$B$22+Assumptions!$B$27)-$U46,Assumptions!$B$22-$U46))</f>
        <v/>
      </c>
      <c r="E46" s="8">
        <f>Cash_Flow!$P46</f>
        <v/>
      </c>
      <c r="F46" s="6">
        <f>Fleet_Schedule!$G46</f>
        <v/>
      </c>
      <c r="G46" s="6">
        <f>Fleet_Schedule!$I46</f>
        <v/>
      </c>
      <c r="H46" s="8">
        <f>$F46*Assumptions!$B$4</f>
        <v/>
      </c>
      <c r="I46" s="8">
        <f>$G46*Assumptions!$B$4</f>
        <v/>
      </c>
      <c r="J46" s="14">
        <f>Cash_Flow!$J46</f>
        <v/>
      </c>
      <c r="K46" s="14">
        <f>Cash_Flow!$K46</f>
        <v/>
      </c>
      <c r="L46" s="14">
        <f>L45+(F46*Assumptions!$B$5)</f>
        <v/>
      </c>
      <c r="M46" s="15">
        <f>$M45+Cash_Flow!$E46</f>
        <v/>
      </c>
      <c r="N46" s="15">
        <f>$N45+Income_Statement!$P46</f>
        <v/>
      </c>
      <c r="O46" s="15">
        <f>IF(Cash_Flow!$F46&lt;=0,0,$O45+(Cash_Flow!$F46+Cash_Flow!$G46))</f>
        <v/>
      </c>
      <c r="P46" s="15">
        <f>Income_Statement!$S46</f>
        <v/>
      </c>
      <c r="Q46" s="15">
        <f>$Q45+Income_Statement!$S46</f>
        <v/>
      </c>
      <c r="R46" s="15">
        <f>$R45+Income_Statement!$T46</f>
        <v/>
      </c>
      <c r="S46" s="15">
        <f>Income_Statement!$U46</f>
        <v/>
      </c>
      <c r="T46" s="15">
        <f>Income_Statement!$T46</f>
        <v/>
      </c>
      <c r="U46" s="15">
        <f>$U45+Income_Statement!$U46</f>
        <v/>
      </c>
      <c r="V46" s="15">
        <f>Cash_Flow!$N46</f>
        <v/>
      </c>
      <c r="W46" s="15">
        <f>($W45+Cash_Flow!$J46)-(Cash_Flow!$B46+Cash_Flow!$C46)</f>
        <v/>
      </c>
    </row>
    <row r="47">
      <c r="A47" s="7" t="n">
        <v>4</v>
      </c>
      <c r="B47" s="7" t="n">
        <v>45</v>
      </c>
      <c r="C47" s="8">
        <f>IF($A47&gt;1,0,Assumptions!$B$22+IF($B47&gt;4,Assumptions!$B$27,0))</f>
        <v/>
      </c>
      <c r="D47" s="8">
        <f>IF($U47&gt;(Assumptions!$B$22 + Assumptions!$B$23),0,IF($B47&gt;4,(Assumptions!$B$22+Assumptions!$B$27)-$U47,Assumptions!$B$22-$U47))</f>
        <v/>
      </c>
      <c r="E47" s="8">
        <f>Cash_Flow!$P47</f>
        <v/>
      </c>
      <c r="F47" s="6">
        <f>Fleet_Schedule!$G47</f>
        <v/>
      </c>
      <c r="G47" s="6">
        <f>Fleet_Schedule!$I47</f>
        <v/>
      </c>
      <c r="H47" s="8">
        <f>$F47*Assumptions!$B$4</f>
        <v/>
      </c>
      <c r="I47" s="8">
        <f>$G47*Assumptions!$B$4</f>
        <v/>
      </c>
      <c r="J47" s="14">
        <f>Cash_Flow!$J47</f>
        <v/>
      </c>
      <c r="K47" s="14">
        <f>Cash_Flow!$K47</f>
        <v/>
      </c>
      <c r="L47" s="14">
        <f>L46+(F47*Assumptions!$B$5)</f>
        <v/>
      </c>
      <c r="M47" s="15">
        <f>$M46+Cash_Flow!$E47</f>
        <v/>
      </c>
      <c r="N47" s="15">
        <f>$N46+Income_Statement!$P47</f>
        <v/>
      </c>
      <c r="O47" s="15">
        <f>IF(Cash_Flow!$F47&lt;=0,0,$O46+(Cash_Flow!$F47+Cash_Flow!$G47))</f>
        <v/>
      </c>
      <c r="P47" s="15">
        <f>Income_Statement!$S47</f>
        <v/>
      </c>
      <c r="Q47" s="15">
        <f>$Q46+Income_Statement!$S47</f>
        <v/>
      </c>
      <c r="R47" s="15">
        <f>$R46+Income_Statement!$T47</f>
        <v/>
      </c>
      <c r="S47" s="15">
        <f>Income_Statement!$U47</f>
        <v/>
      </c>
      <c r="T47" s="15">
        <f>Income_Statement!$T47</f>
        <v/>
      </c>
      <c r="U47" s="15">
        <f>$U46+Income_Statement!$U47</f>
        <v/>
      </c>
      <c r="V47" s="15">
        <f>Cash_Flow!$N47</f>
        <v/>
      </c>
      <c r="W47" s="15">
        <f>($W46+Cash_Flow!$J47)-(Cash_Flow!$B47+Cash_Flow!$C47)</f>
        <v/>
      </c>
    </row>
    <row r="48">
      <c r="A48" s="7" t="n">
        <v>4</v>
      </c>
      <c r="B48" s="7" t="n">
        <v>46</v>
      </c>
      <c r="C48" s="8">
        <f>IF($A48&gt;1,0,Assumptions!$B$22+IF($B48&gt;4,Assumptions!$B$27,0))</f>
        <v/>
      </c>
      <c r="D48" s="8">
        <f>IF($U48&gt;(Assumptions!$B$22 + Assumptions!$B$23),0,IF($B48&gt;4,(Assumptions!$B$22+Assumptions!$B$27)-$U48,Assumptions!$B$22-$U48))</f>
        <v/>
      </c>
      <c r="E48" s="8">
        <f>Cash_Flow!$P48</f>
        <v/>
      </c>
      <c r="F48" s="6">
        <f>Fleet_Schedule!$G48</f>
        <v/>
      </c>
      <c r="G48" s="6">
        <f>Fleet_Schedule!$I48</f>
        <v/>
      </c>
      <c r="H48" s="8">
        <f>$F48*Assumptions!$B$4</f>
        <v/>
      </c>
      <c r="I48" s="8">
        <f>$G48*Assumptions!$B$4</f>
        <v/>
      </c>
      <c r="J48" s="14">
        <f>Cash_Flow!$J48</f>
        <v/>
      </c>
      <c r="K48" s="14">
        <f>Cash_Flow!$K48</f>
        <v/>
      </c>
      <c r="L48" s="14">
        <f>L47+(F48*Assumptions!$B$5)</f>
        <v/>
      </c>
      <c r="M48" s="15">
        <f>$M47+Cash_Flow!$E48</f>
        <v/>
      </c>
      <c r="N48" s="15">
        <f>$N47+Income_Statement!$P48</f>
        <v/>
      </c>
      <c r="O48" s="15">
        <f>IF(Cash_Flow!$F48&lt;=0,0,$O47+(Cash_Flow!$F48+Cash_Flow!$G48))</f>
        <v/>
      </c>
      <c r="P48" s="15">
        <f>Income_Statement!$S48</f>
        <v/>
      </c>
      <c r="Q48" s="15">
        <f>$Q47+Income_Statement!$S48</f>
        <v/>
      </c>
      <c r="R48" s="15">
        <f>$R47+Income_Statement!$T48</f>
        <v/>
      </c>
      <c r="S48" s="15">
        <f>Income_Statement!$U48</f>
        <v/>
      </c>
      <c r="T48" s="15">
        <f>Income_Statement!$T48</f>
        <v/>
      </c>
      <c r="U48" s="15">
        <f>$U47+Income_Statement!$U48</f>
        <v/>
      </c>
      <c r="V48" s="15">
        <f>Cash_Flow!$N48</f>
        <v/>
      </c>
      <c r="W48" s="15">
        <f>($W47+Cash_Flow!$J48)-(Cash_Flow!$B48+Cash_Flow!$C48)</f>
        <v/>
      </c>
    </row>
    <row r="49">
      <c r="A49" s="7" t="n">
        <v>4</v>
      </c>
      <c r="B49" s="7" t="n">
        <v>47</v>
      </c>
      <c r="C49" s="8">
        <f>IF($A49&gt;1,0,Assumptions!$B$22+IF($B49&gt;4,Assumptions!$B$27,0))</f>
        <v/>
      </c>
      <c r="D49" s="8">
        <f>IF($U49&gt;(Assumptions!$B$22 + Assumptions!$B$23),0,IF($B49&gt;4,(Assumptions!$B$22+Assumptions!$B$27)-$U49,Assumptions!$B$22-$U49))</f>
        <v/>
      </c>
      <c r="E49" s="8">
        <f>Cash_Flow!$P49</f>
        <v/>
      </c>
      <c r="F49" s="6">
        <f>Fleet_Schedule!$G49</f>
        <v/>
      </c>
      <c r="G49" s="6">
        <f>Fleet_Schedule!$I49</f>
        <v/>
      </c>
      <c r="H49" s="8">
        <f>$F49*Assumptions!$B$4</f>
        <v/>
      </c>
      <c r="I49" s="8">
        <f>$G49*Assumptions!$B$4</f>
        <v/>
      </c>
      <c r="J49" s="14">
        <f>Cash_Flow!$J49</f>
        <v/>
      </c>
      <c r="K49" s="14">
        <f>Cash_Flow!$K49</f>
        <v/>
      </c>
      <c r="L49" s="14">
        <f>L48+(F49*Assumptions!$B$5)</f>
        <v/>
      </c>
      <c r="M49" s="15">
        <f>$M48+Cash_Flow!$E49</f>
        <v/>
      </c>
      <c r="N49" s="15">
        <f>$N48+Income_Statement!$P49</f>
        <v/>
      </c>
      <c r="O49" s="15">
        <f>IF(Cash_Flow!$F49&lt;=0,0,$O48+(Cash_Flow!$F49+Cash_Flow!$G49))</f>
        <v/>
      </c>
      <c r="P49" s="15">
        <f>Income_Statement!$S49</f>
        <v/>
      </c>
      <c r="Q49" s="15">
        <f>$Q48+Income_Statement!$S49</f>
        <v/>
      </c>
      <c r="R49" s="15">
        <f>$R48+Income_Statement!$T49</f>
        <v/>
      </c>
      <c r="S49" s="15">
        <f>Income_Statement!$U49</f>
        <v/>
      </c>
      <c r="T49" s="15">
        <f>Income_Statement!$T49</f>
        <v/>
      </c>
      <c r="U49" s="15">
        <f>$U48+Income_Statement!$U49</f>
        <v/>
      </c>
      <c r="V49" s="15">
        <f>Cash_Flow!$N49</f>
        <v/>
      </c>
      <c r="W49" s="15">
        <f>($W48+Cash_Flow!$J49)-(Cash_Flow!$B49+Cash_Flow!$C49)</f>
        <v/>
      </c>
    </row>
    <row r="50">
      <c r="A50" s="7" t="n">
        <v>4</v>
      </c>
      <c r="B50" s="7" t="n">
        <v>48</v>
      </c>
      <c r="C50" s="8">
        <f>IF($A50&gt;1,0,Assumptions!$B$22+IF($B50&gt;4,Assumptions!$B$27,0))</f>
        <v/>
      </c>
      <c r="D50" s="8">
        <f>IF($U50&gt;(Assumptions!$B$22 + Assumptions!$B$23),0,IF($B50&gt;4,(Assumptions!$B$22+Assumptions!$B$27)-$U50,Assumptions!$B$22-$U50))</f>
        <v/>
      </c>
      <c r="E50" s="8">
        <f>Cash_Flow!$P50</f>
        <v/>
      </c>
      <c r="F50" s="6">
        <f>Fleet_Schedule!$G50</f>
        <v/>
      </c>
      <c r="G50" s="6">
        <f>Fleet_Schedule!$I50</f>
        <v/>
      </c>
      <c r="H50" s="8">
        <f>$F50*Assumptions!$B$4</f>
        <v/>
      </c>
      <c r="I50" s="8">
        <f>$G50*Assumptions!$B$4</f>
        <v/>
      </c>
      <c r="J50" s="14">
        <f>Cash_Flow!$J50</f>
        <v/>
      </c>
      <c r="K50" s="14">
        <f>Cash_Flow!$K50</f>
        <v/>
      </c>
      <c r="L50" s="14">
        <f>L49+(F50*Assumptions!$B$5)</f>
        <v/>
      </c>
      <c r="M50" s="15">
        <f>$M49+Cash_Flow!$E50</f>
        <v/>
      </c>
      <c r="N50" s="15">
        <f>$N49+Income_Statement!$P50</f>
        <v/>
      </c>
      <c r="O50" s="15">
        <f>IF(Cash_Flow!$F50&lt;=0,0,$O49+(Cash_Flow!$F50+Cash_Flow!$G50))</f>
        <v/>
      </c>
      <c r="P50" s="15">
        <f>Income_Statement!$S50</f>
        <v/>
      </c>
      <c r="Q50" s="15">
        <f>$Q49+Income_Statement!$S50</f>
        <v/>
      </c>
      <c r="R50" s="15">
        <f>$R49+Income_Statement!$T50</f>
        <v/>
      </c>
      <c r="S50" s="15">
        <f>Income_Statement!$U50</f>
        <v/>
      </c>
      <c r="T50" s="15">
        <f>Income_Statement!$T50</f>
        <v/>
      </c>
      <c r="U50" s="15">
        <f>$U49+Income_Statement!$U50</f>
        <v/>
      </c>
      <c r="V50" s="15">
        <f>Cash_Flow!$N50</f>
        <v/>
      </c>
      <c r="W50" s="15">
        <f>($W49+Cash_Flow!$J50)-(Cash_Flow!$B50+Cash_Flow!$C50)</f>
        <v/>
      </c>
    </row>
    <row r="51">
      <c r="A51" s="7" t="n">
        <v>5</v>
      </c>
      <c r="B51" s="7" t="n">
        <v>49</v>
      </c>
      <c r="C51" s="8">
        <f>IF($A51&gt;1,0,Assumptions!$B$22+IF($B51&gt;4,Assumptions!$B$27,0))</f>
        <v/>
      </c>
      <c r="D51" s="8">
        <f>IF($U51&gt;(Assumptions!$B$22 + Assumptions!$B$23),0,IF($B51&gt;4,(Assumptions!$B$22+Assumptions!$B$27)-$U51,Assumptions!$B$22-$U51))</f>
        <v/>
      </c>
      <c r="E51" s="8">
        <f>Cash_Flow!$P51</f>
        <v/>
      </c>
      <c r="F51" s="6">
        <f>Fleet_Schedule!$G51</f>
        <v/>
      </c>
      <c r="G51" s="6">
        <f>Fleet_Schedule!$I51</f>
        <v/>
      </c>
      <c r="H51" s="8">
        <f>$F51*Assumptions!$B$4</f>
        <v/>
      </c>
      <c r="I51" s="8">
        <f>$G51*Assumptions!$B$4</f>
        <v/>
      </c>
      <c r="J51" s="14">
        <f>Cash_Flow!$J51</f>
        <v/>
      </c>
      <c r="K51" s="14">
        <f>Cash_Flow!$K51</f>
        <v/>
      </c>
      <c r="L51" s="14">
        <f>L50+(F51*Assumptions!$B$5)</f>
        <v/>
      </c>
      <c r="M51" s="15">
        <f>$M50+Cash_Flow!$E51</f>
        <v/>
      </c>
      <c r="N51" s="15">
        <f>$N50+Income_Statement!$P51</f>
        <v/>
      </c>
      <c r="O51" s="15">
        <f>IF(Cash_Flow!$F51&lt;=0,0,$O50+(Cash_Flow!$F51+Cash_Flow!$G51))</f>
        <v/>
      </c>
      <c r="P51" s="15">
        <f>Income_Statement!$S51</f>
        <v/>
      </c>
      <c r="Q51" s="15">
        <f>$Q50+Income_Statement!$S51</f>
        <v/>
      </c>
      <c r="R51" s="15">
        <f>$R50+Income_Statement!$T51</f>
        <v/>
      </c>
      <c r="S51" s="15">
        <f>Income_Statement!$U51</f>
        <v/>
      </c>
      <c r="T51" s="15">
        <f>Income_Statement!$T51</f>
        <v/>
      </c>
      <c r="U51" s="15">
        <f>$U50+Income_Statement!$U51</f>
        <v/>
      </c>
      <c r="V51" s="15">
        <f>Cash_Flow!$N51</f>
        <v/>
      </c>
      <c r="W51" s="15">
        <f>($W50+Cash_Flow!$J51)-(Cash_Flow!$B51+Cash_Flow!$C51)</f>
        <v/>
      </c>
    </row>
    <row r="52">
      <c r="A52" s="7" t="n">
        <v>5</v>
      </c>
      <c r="B52" s="7" t="n">
        <v>50</v>
      </c>
      <c r="C52" s="8">
        <f>IF($A52&gt;1,0,Assumptions!$B$22+IF($B52&gt;4,Assumptions!$B$27,0))</f>
        <v/>
      </c>
      <c r="D52" s="8">
        <f>IF($U52&gt;(Assumptions!$B$22 + Assumptions!$B$23),0,IF($B52&gt;4,(Assumptions!$B$22+Assumptions!$B$27)-$U52,Assumptions!$B$22-$U52))</f>
        <v/>
      </c>
      <c r="E52" s="8">
        <f>Cash_Flow!$P52</f>
        <v/>
      </c>
      <c r="F52" s="6">
        <f>Fleet_Schedule!$G52</f>
        <v/>
      </c>
      <c r="G52" s="6">
        <f>Fleet_Schedule!$I52</f>
        <v/>
      </c>
      <c r="H52" s="8">
        <f>$F52*Assumptions!$B$4</f>
        <v/>
      </c>
      <c r="I52" s="8">
        <f>$G52*Assumptions!$B$4</f>
        <v/>
      </c>
      <c r="J52" s="14">
        <f>Cash_Flow!$J52</f>
        <v/>
      </c>
      <c r="K52" s="14">
        <f>Cash_Flow!$K52</f>
        <v/>
      </c>
      <c r="L52" s="14">
        <f>L51+(F52*Assumptions!$B$5)</f>
        <v/>
      </c>
      <c r="M52" s="15">
        <f>$M51+Cash_Flow!$E52</f>
        <v/>
      </c>
      <c r="N52" s="15">
        <f>$N51+Income_Statement!$P52</f>
        <v/>
      </c>
      <c r="O52" s="15">
        <f>IF(Cash_Flow!$F52&lt;=0,0,$O51+(Cash_Flow!$F52+Cash_Flow!$G52))</f>
        <v/>
      </c>
      <c r="P52" s="15">
        <f>Income_Statement!$S52</f>
        <v/>
      </c>
      <c r="Q52" s="15">
        <f>$Q51+Income_Statement!$S52</f>
        <v/>
      </c>
      <c r="R52" s="15">
        <f>$R51+Income_Statement!$T52</f>
        <v/>
      </c>
      <c r="S52" s="15">
        <f>Income_Statement!$U52</f>
        <v/>
      </c>
      <c r="T52" s="15">
        <f>Income_Statement!$T52</f>
        <v/>
      </c>
      <c r="U52" s="15">
        <f>$U51+Income_Statement!$U52</f>
        <v/>
      </c>
      <c r="V52" s="15">
        <f>Cash_Flow!$N52</f>
        <v/>
      </c>
      <c r="W52" s="15">
        <f>($W51+Cash_Flow!$J52)-(Cash_Flow!$B52+Cash_Flow!$C52)</f>
        <v/>
      </c>
    </row>
    <row r="53">
      <c r="A53" s="7" t="n">
        <v>5</v>
      </c>
      <c r="B53" s="7" t="n">
        <v>51</v>
      </c>
      <c r="C53" s="8">
        <f>IF($A53&gt;1,0,Assumptions!$B$22+IF($B53&gt;4,Assumptions!$B$27,0))</f>
        <v/>
      </c>
      <c r="D53" s="8">
        <f>IF($U53&gt;(Assumptions!$B$22 + Assumptions!$B$23),0,IF($B53&gt;4,(Assumptions!$B$22+Assumptions!$B$27)-$U53,Assumptions!$B$22-$U53))</f>
        <v/>
      </c>
      <c r="E53" s="8">
        <f>Cash_Flow!$P53</f>
        <v/>
      </c>
      <c r="F53" s="6">
        <f>Fleet_Schedule!$G53</f>
        <v/>
      </c>
      <c r="G53" s="6">
        <f>Fleet_Schedule!$I53</f>
        <v/>
      </c>
      <c r="H53" s="8">
        <f>$F53*Assumptions!$B$4</f>
        <v/>
      </c>
      <c r="I53" s="8">
        <f>$G53*Assumptions!$B$4</f>
        <v/>
      </c>
      <c r="J53" s="14">
        <f>Cash_Flow!$J53</f>
        <v/>
      </c>
      <c r="K53" s="14">
        <f>Cash_Flow!$K53</f>
        <v/>
      </c>
      <c r="L53" s="14">
        <f>L52+(F53*Assumptions!$B$5)</f>
        <v/>
      </c>
      <c r="M53" s="15">
        <f>$M52+Cash_Flow!$E53</f>
        <v/>
      </c>
      <c r="N53" s="15">
        <f>$N52+Income_Statement!$P53</f>
        <v/>
      </c>
      <c r="O53" s="15">
        <f>IF(Cash_Flow!$F53&lt;=0,0,$O52+(Cash_Flow!$F53+Cash_Flow!$G53))</f>
        <v/>
      </c>
      <c r="P53" s="15">
        <f>Income_Statement!$S53</f>
        <v/>
      </c>
      <c r="Q53" s="15">
        <f>$Q52+Income_Statement!$S53</f>
        <v/>
      </c>
      <c r="R53" s="15">
        <f>$R52+Income_Statement!$T53</f>
        <v/>
      </c>
      <c r="S53" s="15">
        <f>Income_Statement!$U53</f>
        <v/>
      </c>
      <c r="T53" s="15">
        <f>Income_Statement!$T53</f>
        <v/>
      </c>
      <c r="U53" s="15">
        <f>$U52+Income_Statement!$U53</f>
        <v/>
      </c>
      <c r="V53" s="15">
        <f>Cash_Flow!$N53</f>
        <v/>
      </c>
      <c r="W53" s="15">
        <f>($W52+Cash_Flow!$J53)-(Cash_Flow!$B53+Cash_Flow!$C53)</f>
        <v/>
      </c>
    </row>
    <row r="54">
      <c r="A54" s="7" t="n">
        <v>5</v>
      </c>
      <c r="B54" s="7" t="n">
        <v>52</v>
      </c>
      <c r="C54" s="8">
        <f>IF($A54&gt;1,0,Assumptions!$B$22+IF($B54&gt;4,Assumptions!$B$27,0))</f>
        <v/>
      </c>
      <c r="D54" s="8">
        <f>IF($U54&gt;(Assumptions!$B$22 + Assumptions!$B$23),0,IF($B54&gt;4,(Assumptions!$B$22+Assumptions!$B$27)-$U54,Assumptions!$B$22-$U54))</f>
        <v/>
      </c>
      <c r="E54" s="8">
        <f>Cash_Flow!$P54</f>
        <v/>
      </c>
      <c r="F54" s="6">
        <f>Fleet_Schedule!$G54</f>
        <v/>
      </c>
      <c r="G54" s="6">
        <f>Fleet_Schedule!$I54</f>
        <v/>
      </c>
      <c r="H54" s="8">
        <f>$F54*Assumptions!$B$4</f>
        <v/>
      </c>
      <c r="I54" s="8">
        <f>$G54*Assumptions!$B$4</f>
        <v/>
      </c>
      <c r="J54" s="14">
        <f>Cash_Flow!$J54</f>
        <v/>
      </c>
      <c r="K54" s="14">
        <f>Cash_Flow!$K54</f>
        <v/>
      </c>
      <c r="L54" s="14">
        <f>L53+(F54*Assumptions!$B$5)</f>
        <v/>
      </c>
      <c r="M54" s="15">
        <f>$M53+Cash_Flow!$E54</f>
        <v/>
      </c>
      <c r="N54" s="15">
        <f>$N53+Income_Statement!$P54</f>
        <v/>
      </c>
      <c r="O54" s="15">
        <f>IF(Cash_Flow!$F54&lt;=0,0,$O53+(Cash_Flow!$F54+Cash_Flow!$G54))</f>
        <v/>
      </c>
      <c r="P54" s="15">
        <f>Income_Statement!$S54</f>
        <v/>
      </c>
      <c r="Q54" s="15">
        <f>$Q53+Income_Statement!$S54</f>
        <v/>
      </c>
      <c r="R54" s="15">
        <f>$R53+Income_Statement!$T54</f>
        <v/>
      </c>
      <c r="S54" s="15">
        <f>Income_Statement!$U54</f>
        <v/>
      </c>
      <c r="T54" s="15">
        <f>Income_Statement!$T54</f>
        <v/>
      </c>
      <c r="U54" s="15">
        <f>$U53+Income_Statement!$U54</f>
        <v/>
      </c>
      <c r="V54" s="15">
        <f>Cash_Flow!$N54</f>
        <v/>
      </c>
      <c r="W54" s="15">
        <f>($W53+Cash_Flow!$J54)-(Cash_Flow!$B54+Cash_Flow!$C54)</f>
        <v/>
      </c>
    </row>
    <row r="55">
      <c r="A55" s="7" t="n">
        <v>5</v>
      </c>
      <c r="B55" s="7" t="n">
        <v>53</v>
      </c>
      <c r="C55" s="8">
        <f>IF($A55&gt;1,0,Assumptions!$B$22+IF($B55&gt;4,Assumptions!$B$27,0))</f>
        <v/>
      </c>
      <c r="D55" s="8">
        <f>IF($U55&gt;(Assumptions!$B$22 + Assumptions!$B$23),0,IF($B55&gt;4,(Assumptions!$B$22+Assumptions!$B$27)-$U55,Assumptions!$B$22-$U55))</f>
        <v/>
      </c>
      <c r="E55" s="8">
        <f>Cash_Flow!$P55</f>
        <v/>
      </c>
      <c r="F55" s="6">
        <f>Fleet_Schedule!$G55</f>
        <v/>
      </c>
      <c r="G55" s="6">
        <f>Fleet_Schedule!$I55</f>
        <v/>
      </c>
      <c r="H55" s="8">
        <f>$F55*Assumptions!$B$4</f>
        <v/>
      </c>
      <c r="I55" s="8">
        <f>$G55*Assumptions!$B$4</f>
        <v/>
      </c>
      <c r="J55" s="14">
        <f>Cash_Flow!$J55</f>
        <v/>
      </c>
      <c r="K55" s="14">
        <f>Cash_Flow!$K55</f>
        <v/>
      </c>
      <c r="L55" s="14">
        <f>L54+(F55*Assumptions!$B$5)</f>
        <v/>
      </c>
      <c r="M55" s="15">
        <f>$M54+Cash_Flow!$E55</f>
        <v/>
      </c>
      <c r="N55" s="15">
        <f>$N54+Income_Statement!$P55</f>
        <v/>
      </c>
      <c r="O55" s="15">
        <f>IF(Cash_Flow!$F55&lt;=0,0,$O54+(Cash_Flow!$F55+Cash_Flow!$G55))</f>
        <v/>
      </c>
      <c r="P55" s="15">
        <f>Income_Statement!$S55</f>
        <v/>
      </c>
      <c r="Q55" s="15">
        <f>$Q54+Income_Statement!$S55</f>
        <v/>
      </c>
      <c r="R55" s="15">
        <f>$R54+Income_Statement!$T55</f>
        <v/>
      </c>
      <c r="S55" s="15">
        <f>Income_Statement!$U55</f>
        <v/>
      </c>
      <c r="T55" s="15">
        <f>Income_Statement!$T55</f>
        <v/>
      </c>
      <c r="U55" s="15">
        <f>$U54+Income_Statement!$U55</f>
        <v/>
      </c>
      <c r="V55" s="15">
        <f>Cash_Flow!$N55</f>
        <v/>
      </c>
      <c r="W55" s="15">
        <f>($W54+Cash_Flow!$J55)-(Cash_Flow!$B55+Cash_Flow!$C55)</f>
        <v/>
      </c>
    </row>
    <row r="56">
      <c r="A56" s="7" t="n">
        <v>5</v>
      </c>
      <c r="B56" s="7" t="n">
        <v>54</v>
      </c>
      <c r="C56" s="8">
        <f>IF($A56&gt;1,0,Assumptions!$B$22+IF($B56&gt;4,Assumptions!$B$27,0))</f>
        <v/>
      </c>
      <c r="D56" s="8">
        <f>IF($U56&gt;(Assumptions!$B$22 + Assumptions!$B$23),0,IF($B56&gt;4,(Assumptions!$B$22+Assumptions!$B$27)-$U56,Assumptions!$B$22-$U56))</f>
        <v/>
      </c>
      <c r="E56" s="8">
        <f>Cash_Flow!$P56</f>
        <v/>
      </c>
      <c r="F56" s="6">
        <f>Fleet_Schedule!$G56</f>
        <v/>
      </c>
      <c r="G56" s="6">
        <f>Fleet_Schedule!$I56</f>
        <v/>
      </c>
      <c r="H56" s="8">
        <f>$F56*Assumptions!$B$4</f>
        <v/>
      </c>
      <c r="I56" s="8">
        <f>$G56*Assumptions!$B$4</f>
        <v/>
      </c>
      <c r="J56" s="14">
        <f>Cash_Flow!$J56</f>
        <v/>
      </c>
      <c r="K56" s="14">
        <f>Cash_Flow!$K56</f>
        <v/>
      </c>
      <c r="L56" s="14">
        <f>L55+(F56*Assumptions!$B$5)</f>
        <v/>
      </c>
      <c r="M56" s="15">
        <f>$M55+Cash_Flow!$E56</f>
        <v/>
      </c>
      <c r="N56" s="15">
        <f>$N55+Income_Statement!$P56</f>
        <v/>
      </c>
      <c r="O56" s="15">
        <f>IF(Cash_Flow!$F56&lt;=0,0,$O55+(Cash_Flow!$F56+Cash_Flow!$G56))</f>
        <v/>
      </c>
      <c r="P56" s="15">
        <f>Income_Statement!$S56</f>
        <v/>
      </c>
      <c r="Q56" s="15">
        <f>$Q55+Income_Statement!$S56</f>
        <v/>
      </c>
      <c r="R56" s="15">
        <f>$R55+Income_Statement!$T56</f>
        <v/>
      </c>
      <c r="S56" s="15">
        <f>Income_Statement!$U56</f>
        <v/>
      </c>
      <c r="T56" s="15">
        <f>Income_Statement!$T56</f>
        <v/>
      </c>
      <c r="U56" s="15">
        <f>$U55+Income_Statement!$U56</f>
        <v/>
      </c>
      <c r="V56" s="15">
        <f>Cash_Flow!$N56</f>
        <v/>
      </c>
      <c r="W56" s="15">
        <f>($W55+Cash_Flow!$J56)-(Cash_Flow!$B56+Cash_Flow!$C56)</f>
        <v/>
      </c>
    </row>
    <row r="57">
      <c r="A57" s="7" t="n">
        <v>5</v>
      </c>
      <c r="B57" s="7" t="n">
        <v>55</v>
      </c>
      <c r="C57" s="8">
        <f>IF($A57&gt;1,0,Assumptions!$B$22+IF($B57&gt;4,Assumptions!$B$27,0))</f>
        <v/>
      </c>
      <c r="D57" s="8">
        <f>IF($U57&gt;(Assumptions!$B$22 + Assumptions!$B$23),0,IF($B57&gt;4,(Assumptions!$B$22+Assumptions!$B$27)-$U57,Assumptions!$B$22-$U57))</f>
        <v/>
      </c>
      <c r="E57" s="8">
        <f>Cash_Flow!$P57</f>
        <v/>
      </c>
      <c r="F57" s="6">
        <f>Fleet_Schedule!$G57</f>
        <v/>
      </c>
      <c r="G57" s="6">
        <f>Fleet_Schedule!$I57</f>
        <v/>
      </c>
      <c r="H57" s="8">
        <f>$F57*Assumptions!$B$4</f>
        <v/>
      </c>
      <c r="I57" s="8">
        <f>$G57*Assumptions!$B$4</f>
        <v/>
      </c>
      <c r="J57" s="14">
        <f>Cash_Flow!$J57</f>
        <v/>
      </c>
      <c r="K57" s="14">
        <f>Cash_Flow!$K57</f>
        <v/>
      </c>
      <c r="L57" s="14">
        <f>L56+(F57*Assumptions!$B$5)</f>
        <v/>
      </c>
      <c r="M57" s="15">
        <f>$M56+Cash_Flow!$E57</f>
        <v/>
      </c>
      <c r="N57" s="15">
        <f>$N56+Income_Statement!$P57</f>
        <v/>
      </c>
      <c r="O57" s="15">
        <f>IF(Cash_Flow!$F57&lt;=0,0,$O56+(Cash_Flow!$F57+Cash_Flow!$G57))</f>
        <v/>
      </c>
      <c r="P57" s="15">
        <f>Income_Statement!$S57</f>
        <v/>
      </c>
      <c r="Q57" s="15">
        <f>$Q56+Income_Statement!$S57</f>
        <v/>
      </c>
      <c r="R57" s="15">
        <f>$R56+Income_Statement!$T57</f>
        <v/>
      </c>
      <c r="S57" s="15">
        <f>Income_Statement!$U57</f>
        <v/>
      </c>
      <c r="T57" s="15">
        <f>Income_Statement!$T57</f>
        <v/>
      </c>
      <c r="U57" s="15">
        <f>$U56+Income_Statement!$U57</f>
        <v/>
      </c>
      <c r="V57" s="15">
        <f>Cash_Flow!$N57</f>
        <v/>
      </c>
      <c r="W57" s="15">
        <f>($W56+Cash_Flow!$J57)-(Cash_Flow!$B57+Cash_Flow!$C57)</f>
        <v/>
      </c>
    </row>
    <row r="58">
      <c r="A58" s="7" t="n">
        <v>5</v>
      </c>
      <c r="B58" s="7" t="n">
        <v>56</v>
      </c>
      <c r="C58" s="8">
        <f>IF($A58&gt;1,0,Assumptions!$B$22+IF($B58&gt;4,Assumptions!$B$27,0))</f>
        <v/>
      </c>
      <c r="D58" s="8">
        <f>IF($U58&gt;(Assumptions!$B$22 + Assumptions!$B$23),0,IF($B58&gt;4,(Assumptions!$B$22+Assumptions!$B$27)-$U58,Assumptions!$B$22-$U58))</f>
        <v/>
      </c>
      <c r="E58" s="8">
        <f>Cash_Flow!$P58</f>
        <v/>
      </c>
      <c r="F58" s="6">
        <f>Fleet_Schedule!$G58</f>
        <v/>
      </c>
      <c r="G58" s="6">
        <f>Fleet_Schedule!$I58</f>
        <v/>
      </c>
      <c r="H58" s="8">
        <f>$F58*Assumptions!$B$4</f>
        <v/>
      </c>
      <c r="I58" s="8">
        <f>$G58*Assumptions!$B$4</f>
        <v/>
      </c>
      <c r="J58" s="14">
        <f>Cash_Flow!$J58</f>
        <v/>
      </c>
      <c r="K58" s="14">
        <f>Cash_Flow!$K58</f>
        <v/>
      </c>
      <c r="L58" s="14">
        <f>L57+(F58*Assumptions!$B$5)</f>
        <v/>
      </c>
      <c r="M58" s="15">
        <f>$M57+Cash_Flow!$E58</f>
        <v/>
      </c>
      <c r="N58" s="15">
        <f>$N57+Income_Statement!$P58</f>
        <v/>
      </c>
      <c r="O58" s="15">
        <f>IF(Cash_Flow!$F58&lt;=0,0,$O57+(Cash_Flow!$F58+Cash_Flow!$G58))</f>
        <v/>
      </c>
      <c r="P58" s="15">
        <f>Income_Statement!$S58</f>
        <v/>
      </c>
      <c r="Q58" s="15">
        <f>$Q57+Income_Statement!$S58</f>
        <v/>
      </c>
      <c r="R58" s="15">
        <f>$R57+Income_Statement!$T58</f>
        <v/>
      </c>
      <c r="S58" s="15">
        <f>Income_Statement!$U58</f>
        <v/>
      </c>
      <c r="T58" s="15">
        <f>Income_Statement!$T58</f>
        <v/>
      </c>
      <c r="U58" s="15">
        <f>$U57+Income_Statement!$U58</f>
        <v/>
      </c>
      <c r="V58" s="15">
        <f>Cash_Flow!$N58</f>
        <v/>
      </c>
      <c r="W58" s="15">
        <f>($W57+Cash_Flow!$J58)-(Cash_Flow!$B58+Cash_Flow!$C58)</f>
        <v/>
      </c>
    </row>
    <row r="59">
      <c r="A59" s="7" t="n">
        <v>5</v>
      </c>
      <c r="B59" s="7" t="n">
        <v>57</v>
      </c>
      <c r="C59" s="8">
        <f>IF($A59&gt;1,0,Assumptions!$B$22+IF($B59&gt;4,Assumptions!$B$27,0))</f>
        <v/>
      </c>
      <c r="D59" s="8">
        <f>IF($U59&gt;(Assumptions!$B$22 + Assumptions!$B$23),0,IF($B59&gt;4,(Assumptions!$B$22+Assumptions!$B$27)-$U59,Assumptions!$B$22-$U59))</f>
        <v/>
      </c>
      <c r="E59" s="8">
        <f>Cash_Flow!$P59</f>
        <v/>
      </c>
      <c r="F59" s="6">
        <f>Fleet_Schedule!$G59</f>
        <v/>
      </c>
      <c r="G59" s="6">
        <f>Fleet_Schedule!$I59</f>
        <v/>
      </c>
      <c r="H59" s="8">
        <f>$F59*Assumptions!$B$4</f>
        <v/>
      </c>
      <c r="I59" s="8">
        <f>$G59*Assumptions!$B$4</f>
        <v/>
      </c>
      <c r="J59" s="14">
        <f>Cash_Flow!$J59</f>
        <v/>
      </c>
      <c r="K59" s="14">
        <f>Cash_Flow!$K59</f>
        <v/>
      </c>
      <c r="L59" s="14">
        <f>L58+(F59*Assumptions!$B$5)</f>
        <v/>
      </c>
      <c r="M59" s="15">
        <f>$M58+Cash_Flow!$E59</f>
        <v/>
      </c>
      <c r="N59" s="15">
        <f>$N58+Income_Statement!$P59</f>
        <v/>
      </c>
      <c r="O59" s="15">
        <f>IF(Cash_Flow!$F59&lt;=0,0,$O58+(Cash_Flow!$F59+Cash_Flow!$G59))</f>
        <v/>
      </c>
      <c r="P59" s="15">
        <f>Income_Statement!$S59</f>
        <v/>
      </c>
      <c r="Q59" s="15">
        <f>$Q58+Income_Statement!$S59</f>
        <v/>
      </c>
      <c r="R59" s="15">
        <f>$R58+Income_Statement!$T59</f>
        <v/>
      </c>
      <c r="S59" s="15">
        <f>Income_Statement!$U59</f>
        <v/>
      </c>
      <c r="T59" s="15">
        <f>Income_Statement!$T59</f>
        <v/>
      </c>
      <c r="U59" s="15">
        <f>$U58+Income_Statement!$U59</f>
        <v/>
      </c>
      <c r="V59" s="15">
        <f>Cash_Flow!$N59</f>
        <v/>
      </c>
      <c r="W59" s="15">
        <f>($W58+Cash_Flow!$J59)-(Cash_Flow!$B59+Cash_Flow!$C59)</f>
        <v/>
      </c>
    </row>
    <row r="60">
      <c r="A60" s="7" t="n">
        <v>5</v>
      </c>
      <c r="B60" s="7" t="n">
        <v>58</v>
      </c>
      <c r="C60" s="8">
        <f>IF($A60&gt;1,0,Assumptions!$B$22+IF($B60&gt;4,Assumptions!$B$27,0))</f>
        <v/>
      </c>
      <c r="D60" s="8">
        <f>IF($U60&gt;(Assumptions!$B$22 + Assumptions!$B$23),0,IF($B60&gt;4,(Assumptions!$B$22+Assumptions!$B$27)-$U60,Assumptions!$B$22-$U60))</f>
        <v/>
      </c>
      <c r="E60" s="8">
        <f>Cash_Flow!$P60</f>
        <v/>
      </c>
      <c r="F60" s="6">
        <f>Fleet_Schedule!$G60</f>
        <v/>
      </c>
      <c r="G60" s="6">
        <f>Fleet_Schedule!$I60</f>
        <v/>
      </c>
      <c r="H60" s="8">
        <f>$F60*Assumptions!$B$4</f>
        <v/>
      </c>
      <c r="I60" s="8">
        <f>$G60*Assumptions!$B$4</f>
        <v/>
      </c>
      <c r="J60" s="14">
        <f>Cash_Flow!$J60</f>
        <v/>
      </c>
      <c r="K60" s="14">
        <f>Cash_Flow!$K60</f>
        <v/>
      </c>
      <c r="L60" s="14">
        <f>L59+(F60*Assumptions!$B$5)</f>
        <v/>
      </c>
      <c r="M60" s="15">
        <f>$M59+Cash_Flow!$E60</f>
        <v/>
      </c>
      <c r="N60" s="15">
        <f>$N59+Income_Statement!$P60</f>
        <v/>
      </c>
      <c r="O60" s="15">
        <f>IF(Cash_Flow!$F60&lt;=0,0,$O59+(Cash_Flow!$F60+Cash_Flow!$G60))</f>
        <v/>
      </c>
      <c r="P60" s="15">
        <f>Income_Statement!$S60</f>
        <v/>
      </c>
      <c r="Q60" s="15">
        <f>$Q59+Income_Statement!$S60</f>
        <v/>
      </c>
      <c r="R60" s="15">
        <f>$R59+Income_Statement!$T60</f>
        <v/>
      </c>
      <c r="S60" s="15">
        <f>Income_Statement!$U60</f>
        <v/>
      </c>
      <c r="T60" s="15">
        <f>Income_Statement!$T60</f>
        <v/>
      </c>
      <c r="U60" s="15">
        <f>$U59+Income_Statement!$U60</f>
        <v/>
      </c>
      <c r="V60" s="15">
        <f>Cash_Flow!$N60</f>
        <v/>
      </c>
      <c r="W60" s="15">
        <f>($W59+Cash_Flow!$J60)-(Cash_Flow!$B60+Cash_Flow!$C60)</f>
        <v/>
      </c>
    </row>
    <row r="61">
      <c r="A61" s="7" t="n">
        <v>5</v>
      </c>
      <c r="B61" s="7" t="n">
        <v>59</v>
      </c>
      <c r="C61" s="8">
        <f>IF($A61&gt;1,0,Assumptions!$B$22+IF($B61&gt;4,Assumptions!$B$27,0))</f>
        <v/>
      </c>
      <c r="D61" s="8">
        <f>IF($U61&gt;(Assumptions!$B$22 + Assumptions!$B$23),0,IF($B61&gt;4,(Assumptions!$B$22+Assumptions!$B$27)-$U61,Assumptions!$B$22-$U61))</f>
        <v/>
      </c>
      <c r="E61" s="8">
        <f>Cash_Flow!$P61</f>
        <v/>
      </c>
      <c r="F61" s="6">
        <f>Fleet_Schedule!$G61</f>
        <v/>
      </c>
      <c r="G61" s="6">
        <f>Fleet_Schedule!$I61</f>
        <v/>
      </c>
      <c r="H61" s="8">
        <f>$F61*Assumptions!$B$4</f>
        <v/>
      </c>
      <c r="I61" s="8">
        <f>$G61*Assumptions!$B$4</f>
        <v/>
      </c>
      <c r="J61" s="14">
        <f>Cash_Flow!$J61</f>
        <v/>
      </c>
      <c r="K61" s="14">
        <f>Cash_Flow!$K61</f>
        <v/>
      </c>
      <c r="L61" s="14">
        <f>L60+(F61*Assumptions!$B$5)</f>
        <v/>
      </c>
      <c r="M61" s="15">
        <f>$M60+Cash_Flow!$E61</f>
        <v/>
      </c>
      <c r="N61" s="15">
        <f>$N60+Income_Statement!$P61</f>
        <v/>
      </c>
      <c r="O61" s="15">
        <f>IF(Cash_Flow!$F61&lt;=0,0,$O60+(Cash_Flow!$F61+Cash_Flow!$G61))</f>
        <v/>
      </c>
      <c r="P61" s="15">
        <f>Income_Statement!$S61</f>
        <v/>
      </c>
      <c r="Q61" s="15">
        <f>$Q60+Income_Statement!$S61</f>
        <v/>
      </c>
      <c r="R61" s="15">
        <f>$R60+Income_Statement!$T61</f>
        <v/>
      </c>
      <c r="S61" s="15">
        <f>Income_Statement!$U61</f>
        <v/>
      </c>
      <c r="T61" s="15">
        <f>Income_Statement!$T61</f>
        <v/>
      </c>
      <c r="U61" s="15">
        <f>$U60+Income_Statement!$U61</f>
        <v/>
      </c>
      <c r="V61" s="15">
        <f>Cash_Flow!$N61</f>
        <v/>
      </c>
      <c r="W61" s="15">
        <f>($W60+Cash_Flow!$J61)-(Cash_Flow!$B61+Cash_Flow!$C61)</f>
        <v/>
      </c>
    </row>
    <row r="62">
      <c r="A62" s="7" t="n">
        <v>5</v>
      </c>
      <c r="B62" s="7" t="n">
        <v>60</v>
      </c>
      <c r="C62" s="8">
        <f>IF($A62&gt;1,0,Assumptions!$B$22+IF($B62&gt;4,Assumptions!$B$27,0))</f>
        <v/>
      </c>
      <c r="D62" s="8">
        <f>IF($U62&gt;(Assumptions!$B$22 + Assumptions!$B$23),0,IF($B62&gt;4,(Assumptions!$B$22+Assumptions!$B$27)-$U62,Assumptions!$B$22-$U62))</f>
        <v/>
      </c>
      <c r="E62" s="8">
        <f>Cash_Flow!$P62</f>
        <v/>
      </c>
      <c r="F62" s="6">
        <f>Fleet_Schedule!$G62</f>
        <v/>
      </c>
      <c r="G62" s="6">
        <f>Fleet_Schedule!$I62</f>
        <v/>
      </c>
      <c r="H62" s="8">
        <f>$F62*Assumptions!$B$4</f>
        <v/>
      </c>
      <c r="I62" s="8">
        <f>$G62*Assumptions!$B$4</f>
        <v/>
      </c>
      <c r="J62" s="14">
        <f>Cash_Flow!$J62</f>
        <v/>
      </c>
      <c r="K62" s="14">
        <f>Cash_Flow!$K62</f>
        <v/>
      </c>
      <c r="L62" s="14">
        <f>L61+(F62*Assumptions!$B$5)</f>
        <v/>
      </c>
      <c r="M62" s="15">
        <f>$M61+Cash_Flow!$E62</f>
        <v/>
      </c>
      <c r="N62" s="15">
        <f>$N61+Income_Statement!$P62</f>
        <v/>
      </c>
      <c r="O62" s="15">
        <f>IF(Cash_Flow!$F62&lt;=0,0,$O61+(Cash_Flow!$F62+Cash_Flow!$G62))</f>
        <v/>
      </c>
      <c r="P62" s="15">
        <f>Income_Statement!$S62</f>
        <v/>
      </c>
      <c r="Q62" s="15">
        <f>$Q61+Income_Statement!$S62</f>
        <v/>
      </c>
      <c r="R62" s="15">
        <f>$R61+Income_Statement!$T62</f>
        <v/>
      </c>
      <c r="S62" s="15">
        <f>Income_Statement!$U62</f>
        <v/>
      </c>
      <c r="T62" s="15">
        <f>Income_Statement!$T62</f>
        <v/>
      </c>
      <c r="U62" s="15">
        <f>$U61+Income_Statement!$U62</f>
        <v/>
      </c>
      <c r="V62" s="15">
        <f>Cash_Flow!$N62</f>
        <v/>
      </c>
      <c r="W62" s="15">
        <f>($W61+Cash_Flow!$J62)-(Cash_Flow!$B62+Cash_Flow!$C62)</f>
        <v/>
      </c>
    </row>
  </sheetData>
  <mergeCells count="1">
    <mergeCell ref="B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zoomScale="130" zoomScaleNormal="130" workbookViewId="0">
      <pane ySplit="4" topLeftCell="A5" activePane="bottomLeft" state="frozen"/>
      <selection pane="bottomLeft" activeCell="B6" sqref="B6"/>
    </sheetView>
  </sheetViews>
  <sheetFormatPr baseColWidth="8" defaultColWidth="8.7109375" defaultRowHeight="15" customHeight="1"/>
  <cols>
    <col width="12" customWidth="1" style="25" min="1" max="1"/>
    <col width="18" customWidth="1" style="25" min="2" max="2"/>
    <col width="14" customWidth="1" style="25" min="3" max="5"/>
    <col width="18" customWidth="1" style="25" min="6" max="6"/>
  </cols>
  <sheetData>
    <row r="1" ht="18.75" customHeight="1" s="25">
      <c r="A1" s="24" t="inlineStr">
        <is>
          <t>Loan Amortisation - linked to Cash_Flow</t>
        </is>
      </c>
    </row>
    <row r="2" ht="28.35" customHeight="1" s="25">
      <c r="A2" s="27" t="inlineStr">
        <is>
          <t>Prime-linked amortising bank facility: N$250,000 at 10.00% p.a. over 54 months, with payments starting in operating month 5. Opening balance includes the draw in the first loan month.</t>
        </is>
      </c>
      <c r="B2" s="28" t="n"/>
      <c r="C2" s="28" t="n"/>
      <c r="D2" s="28" t="n"/>
      <c r="E2" s="28" t="n"/>
      <c r="F2" s="29" t="n"/>
    </row>
    <row r="4">
      <c r="A4" s="2" t="inlineStr">
        <is>
          <t>Loan month</t>
        </is>
      </c>
      <c r="B4" s="2" t="inlineStr">
        <is>
          <t>Opening balance</t>
        </is>
      </c>
      <c r="C4" s="2" t="inlineStr">
        <is>
          <t>Interest</t>
        </is>
      </c>
      <c r="D4" s="2" t="inlineStr">
        <is>
          <t>Principal</t>
        </is>
      </c>
      <c r="E4" s="2" t="inlineStr">
        <is>
          <t>Payment</t>
        </is>
      </c>
      <c r="F4" s="2" t="inlineStr">
        <is>
          <t>Closing balance</t>
        </is>
      </c>
    </row>
    <row r="5">
      <c r="A5" s="6" t="n">
        <v>1</v>
      </c>
      <c r="B5" s="8">
        <f>INDEX(Cash_Flow!$O$3:$O$62,MATCH(Assumptions!$B$33+A5-1,Cash_Flow!$A$3:$A$62,0))+INDEX(Cash_Flow!$C$3:$C$62,MATCH(Assumptions!$B$33+A5-1,Cash_Flow!$A$3:$A$62,0))</f>
        <v/>
      </c>
      <c r="C5" s="8">
        <f>INDEX(Cash_Flow!$F:$F,MATCH(Assumptions!$B$28+A5-1,Cash_Flow!$A:$A,0))</f>
        <v/>
      </c>
      <c r="D5" s="8">
        <f>INDEX(Cash_Flow!$G:$G,MATCH(Assumptions!$B$28+A5-1,Cash_Flow!$A:$A,0))</f>
        <v/>
      </c>
      <c r="E5" s="8">
        <f>C5+D5</f>
        <v/>
      </c>
      <c r="F5" s="8">
        <f>MAX(0,B5-D5)</f>
        <v/>
      </c>
    </row>
    <row r="6">
      <c r="A6" s="6" t="n">
        <v>2</v>
      </c>
      <c r="B6" s="8">
        <f>F5</f>
        <v/>
      </c>
      <c r="C6" s="8">
        <f>INDEX(Cash_Flow!$F:$F,MATCH(Assumptions!$B$28+A6-1,Cash_Flow!$A:$A,0))</f>
        <v/>
      </c>
      <c r="D6" s="8">
        <f>INDEX(Cash_Flow!$G:$G,MATCH(Assumptions!$B$28+A6-1,Cash_Flow!$A:$A,0))</f>
        <v/>
      </c>
      <c r="E6" s="8">
        <f>C6+D6</f>
        <v/>
      </c>
      <c r="F6" s="8">
        <f>MAX(0,B6-D6)</f>
        <v/>
      </c>
    </row>
    <row r="7">
      <c r="A7" s="6" t="n">
        <v>3</v>
      </c>
      <c r="B7" s="8">
        <f>F6</f>
        <v/>
      </c>
      <c r="C7" s="8">
        <f>INDEX(Cash_Flow!$F:$F,MATCH(Assumptions!$B$28+A7-1,Cash_Flow!$A:$A,0))</f>
        <v/>
      </c>
      <c r="D7" s="8">
        <f>INDEX(Cash_Flow!$G:$G,MATCH(Assumptions!$B$28+A7-1,Cash_Flow!$A:$A,0))</f>
        <v/>
      </c>
      <c r="E7" s="8">
        <f>C7+D7</f>
        <v/>
      </c>
      <c r="F7" s="8">
        <f>MAX(0,B7-D7)</f>
        <v/>
      </c>
    </row>
    <row r="8">
      <c r="A8" s="6" t="n">
        <v>4</v>
      </c>
      <c r="B8" s="8">
        <f>F7</f>
        <v/>
      </c>
      <c r="C8" s="8">
        <f>INDEX(Cash_Flow!$F:$F,MATCH(Assumptions!$B$28+A8-1,Cash_Flow!$A:$A,0))</f>
        <v/>
      </c>
      <c r="D8" s="8">
        <f>INDEX(Cash_Flow!$G:$G,MATCH(Assumptions!$B$28+A8-1,Cash_Flow!$A:$A,0))</f>
        <v/>
      </c>
      <c r="E8" s="8">
        <f>C8+D8</f>
        <v/>
      </c>
      <c r="F8" s="8">
        <f>MAX(0,B8-D8)</f>
        <v/>
      </c>
    </row>
    <row r="9">
      <c r="A9" s="6" t="n">
        <v>5</v>
      </c>
      <c r="B9" s="8">
        <f>F8</f>
        <v/>
      </c>
      <c r="C9" s="8">
        <f>INDEX(Cash_Flow!$F:$F,MATCH(Assumptions!$B$28+A9-1,Cash_Flow!$A:$A,0))</f>
        <v/>
      </c>
      <c r="D9" s="8">
        <f>INDEX(Cash_Flow!$G:$G,MATCH(Assumptions!$B$28+A9-1,Cash_Flow!$A:$A,0))</f>
        <v/>
      </c>
      <c r="E9" s="8">
        <f>C9+D9</f>
        <v/>
      </c>
      <c r="F9" s="8">
        <f>MAX(0,B9-D9)</f>
        <v/>
      </c>
    </row>
    <row r="10">
      <c r="A10" s="6" t="n">
        <v>6</v>
      </c>
      <c r="B10" s="8">
        <f>F9</f>
        <v/>
      </c>
      <c r="C10" s="8">
        <f>INDEX(Cash_Flow!$F:$F,MATCH(Assumptions!$B$28+A10-1,Cash_Flow!$A:$A,0))</f>
        <v/>
      </c>
      <c r="D10" s="8">
        <f>INDEX(Cash_Flow!$G:$G,MATCH(Assumptions!$B$28+A10-1,Cash_Flow!$A:$A,0))</f>
        <v/>
      </c>
      <c r="E10" s="8">
        <f>C10+D10</f>
        <v/>
      </c>
      <c r="F10" s="8">
        <f>MAX(0,B10-D10)</f>
        <v/>
      </c>
    </row>
    <row r="11">
      <c r="A11" s="6" t="n">
        <v>7</v>
      </c>
      <c r="B11" s="8">
        <f>F10</f>
        <v/>
      </c>
      <c r="C11" s="8">
        <f>INDEX(Cash_Flow!$F:$F,MATCH(Assumptions!$B$28+A11-1,Cash_Flow!$A:$A,0))</f>
        <v/>
      </c>
      <c r="D11" s="8">
        <f>INDEX(Cash_Flow!$G:$G,MATCH(Assumptions!$B$28+A11-1,Cash_Flow!$A:$A,0))</f>
        <v/>
      </c>
      <c r="E11" s="8">
        <f>C11+D11</f>
        <v/>
      </c>
      <c r="F11" s="8">
        <f>MAX(0,B11-D11)</f>
        <v/>
      </c>
    </row>
    <row r="12">
      <c r="A12" s="6" t="n">
        <v>8</v>
      </c>
      <c r="B12" s="8">
        <f>F11</f>
        <v/>
      </c>
      <c r="C12" s="8">
        <f>INDEX(Cash_Flow!$F:$F,MATCH(Assumptions!$B$28+A12-1,Cash_Flow!$A:$A,0))</f>
        <v/>
      </c>
      <c r="D12" s="8">
        <f>INDEX(Cash_Flow!$G:$G,MATCH(Assumptions!$B$28+A12-1,Cash_Flow!$A:$A,0))</f>
        <v/>
      </c>
      <c r="E12" s="8">
        <f>C12+D12</f>
        <v/>
      </c>
      <c r="F12" s="8">
        <f>MAX(0,B12-D12)</f>
        <v/>
      </c>
    </row>
    <row r="13">
      <c r="A13" s="6" t="n">
        <v>9</v>
      </c>
      <c r="B13" s="8">
        <f>F12</f>
        <v/>
      </c>
      <c r="C13" s="8">
        <f>INDEX(Cash_Flow!$F:$F,MATCH(Assumptions!$B$28+A13-1,Cash_Flow!$A:$A,0))</f>
        <v/>
      </c>
      <c r="D13" s="8">
        <f>INDEX(Cash_Flow!$G:$G,MATCH(Assumptions!$B$28+A13-1,Cash_Flow!$A:$A,0))</f>
        <v/>
      </c>
      <c r="E13" s="8">
        <f>C13+D13</f>
        <v/>
      </c>
      <c r="F13" s="8">
        <f>MAX(0,B13-D13)</f>
        <v/>
      </c>
    </row>
    <row r="14">
      <c r="A14" s="6" t="n">
        <v>10</v>
      </c>
      <c r="B14" s="8">
        <f>F13</f>
        <v/>
      </c>
      <c r="C14" s="8">
        <f>INDEX(Cash_Flow!$F:$F,MATCH(Assumptions!$B$28+A14-1,Cash_Flow!$A:$A,0))</f>
        <v/>
      </c>
      <c r="D14" s="8">
        <f>INDEX(Cash_Flow!$G:$G,MATCH(Assumptions!$B$28+A14-1,Cash_Flow!$A:$A,0))</f>
        <v/>
      </c>
      <c r="E14" s="8">
        <f>C14+D14</f>
        <v/>
      </c>
      <c r="F14" s="8">
        <f>MAX(0,B14-D14)</f>
        <v/>
      </c>
    </row>
    <row r="15">
      <c r="A15" s="6" t="n">
        <v>11</v>
      </c>
      <c r="B15" s="8">
        <f>F14</f>
        <v/>
      </c>
      <c r="C15" s="8">
        <f>INDEX(Cash_Flow!$F:$F,MATCH(Assumptions!$B$28+A15-1,Cash_Flow!$A:$A,0))</f>
        <v/>
      </c>
      <c r="D15" s="8">
        <f>INDEX(Cash_Flow!$G:$G,MATCH(Assumptions!$B$28+A15-1,Cash_Flow!$A:$A,0))</f>
        <v/>
      </c>
      <c r="E15" s="8">
        <f>C15+D15</f>
        <v/>
      </c>
      <c r="F15" s="8">
        <f>MAX(0,B15-D15)</f>
        <v/>
      </c>
    </row>
    <row r="16">
      <c r="A16" s="6" t="n">
        <v>12</v>
      </c>
      <c r="B16" s="8">
        <f>F15</f>
        <v/>
      </c>
      <c r="C16" s="8">
        <f>INDEX(Cash_Flow!$F:$F,MATCH(Assumptions!$B$28+A16-1,Cash_Flow!$A:$A,0))</f>
        <v/>
      </c>
      <c r="D16" s="8">
        <f>INDEX(Cash_Flow!$G:$G,MATCH(Assumptions!$B$28+A16-1,Cash_Flow!$A:$A,0))</f>
        <v/>
      </c>
      <c r="E16" s="8">
        <f>C16+D16</f>
        <v/>
      </c>
      <c r="F16" s="8">
        <f>MAX(0,B16-D16)</f>
        <v/>
      </c>
    </row>
    <row r="17">
      <c r="A17" s="6" t="n">
        <v>13</v>
      </c>
      <c r="B17" s="8">
        <f>F16</f>
        <v/>
      </c>
      <c r="C17" s="8">
        <f>INDEX(Cash_Flow!$F:$F,MATCH(Assumptions!$B$28+A17-1,Cash_Flow!$A:$A,0))</f>
        <v/>
      </c>
      <c r="D17" s="8">
        <f>INDEX(Cash_Flow!$G:$G,MATCH(Assumptions!$B$28+A17-1,Cash_Flow!$A:$A,0))</f>
        <v/>
      </c>
      <c r="E17" s="8">
        <f>C17+D17</f>
        <v/>
      </c>
      <c r="F17" s="8">
        <f>MAX(0,B17-D17)</f>
        <v/>
      </c>
    </row>
    <row r="18">
      <c r="A18" s="6" t="n">
        <v>14</v>
      </c>
      <c r="B18" s="8">
        <f>F17</f>
        <v/>
      </c>
      <c r="C18" s="8">
        <f>INDEX(Cash_Flow!$F:$F,MATCH(Assumptions!$B$28+A18-1,Cash_Flow!$A:$A,0))</f>
        <v/>
      </c>
      <c r="D18" s="8">
        <f>INDEX(Cash_Flow!$G:$G,MATCH(Assumptions!$B$28+A18-1,Cash_Flow!$A:$A,0))</f>
        <v/>
      </c>
      <c r="E18" s="8">
        <f>C18+D18</f>
        <v/>
      </c>
      <c r="F18" s="8">
        <f>MAX(0,B18-D18)</f>
        <v/>
      </c>
    </row>
    <row r="19">
      <c r="A19" s="6" t="n">
        <v>15</v>
      </c>
      <c r="B19" s="8">
        <f>F18</f>
        <v/>
      </c>
      <c r="C19" s="8">
        <f>INDEX(Cash_Flow!$F:$F,MATCH(Assumptions!$B$28+A19-1,Cash_Flow!$A:$A,0))</f>
        <v/>
      </c>
      <c r="D19" s="8">
        <f>INDEX(Cash_Flow!$G:$G,MATCH(Assumptions!$B$28+A19-1,Cash_Flow!$A:$A,0))</f>
        <v/>
      </c>
      <c r="E19" s="8">
        <f>C19+D19</f>
        <v/>
      </c>
      <c r="F19" s="8">
        <f>MAX(0,B19-D19)</f>
        <v/>
      </c>
    </row>
    <row r="20">
      <c r="A20" s="6" t="n">
        <v>16</v>
      </c>
      <c r="B20" s="8">
        <f>F19</f>
        <v/>
      </c>
      <c r="C20" s="8">
        <f>INDEX(Cash_Flow!$F:$F,MATCH(Assumptions!$B$28+A20-1,Cash_Flow!$A:$A,0))</f>
        <v/>
      </c>
      <c r="D20" s="8">
        <f>INDEX(Cash_Flow!$G:$G,MATCH(Assumptions!$B$28+A20-1,Cash_Flow!$A:$A,0))</f>
        <v/>
      </c>
      <c r="E20" s="8">
        <f>C20+D20</f>
        <v/>
      </c>
      <c r="F20" s="8">
        <f>MAX(0,B20-D20)</f>
        <v/>
      </c>
    </row>
    <row r="21">
      <c r="A21" s="6" t="n">
        <v>17</v>
      </c>
      <c r="B21" s="8">
        <f>F20</f>
        <v/>
      </c>
      <c r="C21" s="8">
        <f>INDEX(Cash_Flow!$F:$F,MATCH(Assumptions!$B$28+A21-1,Cash_Flow!$A:$A,0))</f>
        <v/>
      </c>
      <c r="D21" s="8">
        <f>INDEX(Cash_Flow!$G:$G,MATCH(Assumptions!$B$28+A21-1,Cash_Flow!$A:$A,0))</f>
        <v/>
      </c>
      <c r="E21" s="8">
        <f>C21+D21</f>
        <v/>
      </c>
      <c r="F21" s="8">
        <f>MAX(0,B21-D21)</f>
        <v/>
      </c>
    </row>
    <row r="22">
      <c r="A22" s="6" t="n">
        <v>18</v>
      </c>
      <c r="B22" s="8">
        <f>F21</f>
        <v/>
      </c>
      <c r="C22" s="8">
        <f>INDEX(Cash_Flow!$F:$F,MATCH(Assumptions!$B$28+A22-1,Cash_Flow!$A:$A,0))</f>
        <v/>
      </c>
      <c r="D22" s="8">
        <f>INDEX(Cash_Flow!$G:$G,MATCH(Assumptions!$B$28+A22-1,Cash_Flow!$A:$A,0))</f>
        <v/>
      </c>
      <c r="E22" s="8">
        <f>C22+D22</f>
        <v/>
      </c>
      <c r="F22" s="8">
        <f>MAX(0,B22-D22)</f>
        <v/>
      </c>
    </row>
    <row r="23">
      <c r="A23" s="6" t="n">
        <v>19</v>
      </c>
      <c r="B23" s="8">
        <f>F22</f>
        <v/>
      </c>
      <c r="C23" s="8">
        <f>INDEX(Cash_Flow!$F:$F,MATCH(Assumptions!$B$28+A23-1,Cash_Flow!$A:$A,0))</f>
        <v/>
      </c>
      <c r="D23" s="8">
        <f>INDEX(Cash_Flow!$G:$G,MATCH(Assumptions!$B$28+A23-1,Cash_Flow!$A:$A,0))</f>
        <v/>
      </c>
      <c r="E23" s="8">
        <f>C23+D23</f>
        <v/>
      </c>
      <c r="F23" s="8">
        <f>MAX(0,B23-D23)</f>
        <v/>
      </c>
    </row>
    <row r="24">
      <c r="A24" s="6" t="n">
        <v>20</v>
      </c>
      <c r="B24" s="8">
        <f>F23</f>
        <v/>
      </c>
      <c r="C24" s="8">
        <f>INDEX(Cash_Flow!$F:$F,MATCH(Assumptions!$B$28+A24-1,Cash_Flow!$A:$A,0))</f>
        <v/>
      </c>
      <c r="D24" s="8">
        <f>INDEX(Cash_Flow!$G:$G,MATCH(Assumptions!$B$28+A24-1,Cash_Flow!$A:$A,0))</f>
        <v/>
      </c>
      <c r="E24" s="8">
        <f>C24+D24</f>
        <v/>
      </c>
      <c r="F24" s="8">
        <f>MAX(0,B24-D24)</f>
        <v/>
      </c>
    </row>
    <row r="25">
      <c r="A25" s="6" t="n">
        <v>21</v>
      </c>
      <c r="B25" s="8">
        <f>F24</f>
        <v/>
      </c>
      <c r="C25" s="8">
        <f>INDEX(Cash_Flow!$F:$F,MATCH(Assumptions!$B$28+A25-1,Cash_Flow!$A:$A,0))</f>
        <v/>
      </c>
      <c r="D25" s="8">
        <f>INDEX(Cash_Flow!$G:$G,MATCH(Assumptions!$B$28+A25-1,Cash_Flow!$A:$A,0))</f>
        <v/>
      </c>
      <c r="E25" s="8">
        <f>C25+D25</f>
        <v/>
      </c>
      <c r="F25" s="8">
        <f>MAX(0,B25-D25)</f>
        <v/>
      </c>
    </row>
    <row r="26">
      <c r="A26" s="6" t="n">
        <v>22</v>
      </c>
      <c r="B26" s="8">
        <f>F25</f>
        <v/>
      </c>
      <c r="C26" s="8">
        <f>INDEX(Cash_Flow!$F:$F,MATCH(Assumptions!$B$28+A26-1,Cash_Flow!$A:$A,0))</f>
        <v/>
      </c>
      <c r="D26" s="8">
        <f>INDEX(Cash_Flow!$G:$G,MATCH(Assumptions!$B$28+A26-1,Cash_Flow!$A:$A,0))</f>
        <v/>
      </c>
      <c r="E26" s="8">
        <f>C26+D26</f>
        <v/>
      </c>
      <c r="F26" s="8">
        <f>MAX(0,B26-D26)</f>
        <v/>
      </c>
    </row>
    <row r="27">
      <c r="A27" s="6" t="n">
        <v>23</v>
      </c>
      <c r="B27" s="8">
        <f>F26</f>
        <v/>
      </c>
      <c r="C27" s="8">
        <f>INDEX(Cash_Flow!$F:$F,MATCH(Assumptions!$B$28+A27-1,Cash_Flow!$A:$A,0))</f>
        <v/>
      </c>
      <c r="D27" s="8">
        <f>INDEX(Cash_Flow!$G:$G,MATCH(Assumptions!$B$28+A27-1,Cash_Flow!$A:$A,0))</f>
        <v/>
      </c>
      <c r="E27" s="8">
        <f>C27+D27</f>
        <v/>
      </c>
      <c r="F27" s="8">
        <f>MAX(0,B27-D27)</f>
        <v/>
      </c>
    </row>
    <row r="28">
      <c r="A28" s="6" t="n">
        <v>24</v>
      </c>
      <c r="B28" s="8">
        <f>F27</f>
        <v/>
      </c>
      <c r="C28" s="8">
        <f>INDEX(Cash_Flow!$F:$F,MATCH(Assumptions!$B$28+A28-1,Cash_Flow!$A:$A,0))</f>
        <v/>
      </c>
      <c r="D28" s="8">
        <f>INDEX(Cash_Flow!$G:$G,MATCH(Assumptions!$B$28+A28-1,Cash_Flow!$A:$A,0))</f>
        <v/>
      </c>
      <c r="E28" s="8">
        <f>C28+D28</f>
        <v/>
      </c>
      <c r="F28" s="8">
        <f>MAX(0,B28-D28)</f>
        <v/>
      </c>
    </row>
    <row r="29">
      <c r="A29" s="6" t="n">
        <v>25</v>
      </c>
      <c r="B29" s="8">
        <f>F28</f>
        <v/>
      </c>
      <c r="C29" s="8">
        <f>INDEX(Cash_Flow!$F:$F,MATCH(Assumptions!$B$28+A29-1,Cash_Flow!$A:$A,0))</f>
        <v/>
      </c>
      <c r="D29" s="8">
        <f>INDEX(Cash_Flow!$G:$G,MATCH(Assumptions!$B$28+A29-1,Cash_Flow!$A:$A,0))</f>
        <v/>
      </c>
      <c r="E29" s="8">
        <f>C29+D29</f>
        <v/>
      </c>
      <c r="F29" s="8">
        <f>MAX(0,B29-D29)</f>
        <v/>
      </c>
    </row>
    <row r="30">
      <c r="A30" s="6" t="n">
        <v>26</v>
      </c>
      <c r="B30" s="8">
        <f>F29</f>
        <v/>
      </c>
      <c r="C30" s="8">
        <f>INDEX(Cash_Flow!$F:$F,MATCH(Assumptions!$B$28+A30-1,Cash_Flow!$A:$A,0))</f>
        <v/>
      </c>
      <c r="D30" s="8">
        <f>INDEX(Cash_Flow!$G:$G,MATCH(Assumptions!$B$28+A30-1,Cash_Flow!$A:$A,0))</f>
        <v/>
      </c>
      <c r="E30" s="8">
        <f>C30+D30</f>
        <v/>
      </c>
      <c r="F30" s="8">
        <f>MAX(0,B30-D30)</f>
        <v/>
      </c>
    </row>
    <row r="31">
      <c r="A31" s="6" t="n">
        <v>27</v>
      </c>
      <c r="B31" s="8">
        <f>F30</f>
        <v/>
      </c>
      <c r="C31" s="8">
        <f>INDEX(Cash_Flow!$F:$F,MATCH(Assumptions!$B$28+A31-1,Cash_Flow!$A:$A,0))</f>
        <v/>
      </c>
      <c r="D31" s="8">
        <f>INDEX(Cash_Flow!$G:$G,MATCH(Assumptions!$B$28+A31-1,Cash_Flow!$A:$A,0))</f>
        <v/>
      </c>
      <c r="E31" s="8">
        <f>C31+D31</f>
        <v/>
      </c>
      <c r="F31" s="8">
        <f>MAX(0,B31-D31)</f>
        <v/>
      </c>
    </row>
    <row r="32">
      <c r="A32" s="6" t="n">
        <v>28</v>
      </c>
      <c r="B32" s="8">
        <f>F31</f>
        <v/>
      </c>
      <c r="C32" s="8">
        <f>INDEX(Cash_Flow!$F:$F,MATCH(Assumptions!$B$28+A32-1,Cash_Flow!$A:$A,0))</f>
        <v/>
      </c>
      <c r="D32" s="8">
        <f>INDEX(Cash_Flow!$G:$G,MATCH(Assumptions!$B$28+A32-1,Cash_Flow!$A:$A,0))</f>
        <v/>
      </c>
      <c r="E32" s="8">
        <f>C32+D32</f>
        <v/>
      </c>
      <c r="F32" s="8">
        <f>MAX(0,B32-D32)</f>
        <v/>
      </c>
    </row>
    <row r="33">
      <c r="A33" s="6" t="n">
        <v>29</v>
      </c>
      <c r="B33" s="8">
        <f>F32</f>
        <v/>
      </c>
      <c r="C33" s="8">
        <f>INDEX(Cash_Flow!$F:$F,MATCH(Assumptions!$B$28+A33-1,Cash_Flow!$A:$A,0))</f>
        <v/>
      </c>
      <c r="D33" s="8">
        <f>INDEX(Cash_Flow!$G:$G,MATCH(Assumptions!$B$28+A33-1,Cash_Flow!$A:$A,0))</f>
        <v/>
      </c>
      <c r="E33" s="8">
        <f>C33+D33</f>
        <v/>
      </c>
      <c r="F33" s="8">
        <f>MAX(0,B33-D33)</f>
        <v/>
      </c>
    </row>
    <row r="34">
      <c r="A34" s="6" t="n">
        <v>30</v>
      </c>
      <c r="B34" s="8">
        <f>F33</f>
        <v/>
      </c>
      <c r="C34" s="8">
        <f>INDEX(Cash_Flow!$F:$F,MATCH(Assumptions!$B$28+A34-1,Cash_Flow!$A:$A,0))</f>
        <v/>
      </c>
      <c r="D34" s="8">
        <f>INDEX(Cash_Flow!$G:$G,MATCH(Assumptions!$B$28+A34-1,Cash_Flow!$A:$A,0))</f>
        <v/>
      </c>
      <c r="E34" s="8">
        <f>C34+D34</f>
        <v/>
      </c>
      <c r="F34" s="8">
        <f>MAX(0,B34-D34)</f>
        <v/>
      </c>
    </row>
    <row r="35">
      <c r="A35" s="6" t="n">
        <v>31</v>
      </c>
      <c r="B35" s="8">
        <f>F34</f>
        <v/>
      </c>
      <c r="C35" s="8">
        <f>INDEX(Cash_Flow!$F:$F,MATCH(Assumptions!$B$28+A35-1,Cash_Flow!$A:$A,0))</f>
        <v/>
      </c>
      <c r="D35" s="8">
        <f>INDEX(Cash_Flow!$G:$G,MATCH(Assumptions!$B$28+A35-1,Cash_Flow!$A:$A,0))</f>
        <v/>
      </c>
      <c r="E35" s="8">
        <f>C35+D35</f>
        <v/>
      </c>
      <c r="F35" s="8">
        <f>MAX(0,B35-D35)</f>
        <v/>
      </c>
    </row>
    <row r="36">
      <c r="A36" s="6" t="n">
        <v>32</v>
      </c>
      <c r="B36" s="8">
        <f>F35</f>
        <v/>
      </c>
      <c r="C36" s="8">
        <f>INDEX(Cash_Flow!$F:$F,MATCH(Assumptions!$B$28+A36-1,Cash_Flow!$A:$A,0))</f>
        <v/>
      </c>
      <c r="D36" s="8">
        <f>INDEX(Cash_Flow!$G:$G,MATCH(Assumptions!$B$28+A36-1,Cash_Flow!$A:$A,0))</f>
        <v/>
      </c>
      <c r="E36" s="8">
        <f>C36+D36</f>
        <v/>
      </c>
      <c r="F36" s="8">
        <f>MAX(0,B36-D36)</f>
        <v/>
      </c>
    </row>
    <row r="37">
      <c r="A37" s="6" t="n">
        <v>33</v>
      </c>
      <c r="B37" s="8">
        <f>F36</f>
        <v/>
      </c>
      <c r="C37" s="8">
        <f>INDEX(Cash_Flow!$F:$F,MATCH(Assumptions!$B$28+A37-1,Cash_Flow!$A:$A,0))</f>
        <v/>
      </c>
      <c r="D37" s="8">
        <f>INDEX(Cash_Flow!$G:$G,MATCH(Assumptions!$B$28+A37-1,Cash_Flow!$A:$A,0))</f>
        <v/>
      </c>
      <c r="E37" s="8">
        <f>C37+D37</f>
        <v/>
      </c>
      <c r="F37" s="8">
        <f>MAX(0,B37-D37)</f>
        <v/>
      </c>
    </row>
    <row r="38">
      <c r="A38" s="6" t="n">
        <v>34</v>
      </c>
      <c r="B38" s="8">
        <f>F37</f>
        <v/>
      </c>
      <c r="C38" s="8">
        <f>INDEX(Cash_Flow!$F:$F,MATCH(Assumptions!$B$28+A38-1,Cash_Flow!$A:$A,0))</f>
        <v/>
      </c>
      <c r="D38" s="8">
        <f>INDEX(Cash_Flow!$G:$G,MATCH(Assumptions!$B$28+A38-1,Cash_Flow!$A:$A,0))</f>
        <v/>
      </c>
      <c r="E38" s="8">
        <f>C38+D38</f>
        <v/>
      </c>
      <c r="F38" s="8">
        <f>MAX(0,B38-D38)</f>
        <v/>
      </c>
    </row>
    <row r="39">
      <c r="A39" s="6" t="n">
        <v>35</v>
      </c>
      <c r="B39" s="8">
        <f>F38</f>
        <v/>
      </c>
      <c r="C39" s="8">
        <f>INDEX(Cash_Flow!$F:$F,MATCH(Assumptions!$B$28+A39-1,Cash_Flow!$A:$A,0))</f>
        <v/>
      </c>
      <c r="D39" s="8">
        <f>INDEX(Cash_Flow!$G:$G,MATCH(Assumptions!$B$28+A39-1,Cash_Flow!$A:$A,0))</f>
        <v/>
      </c>
      <c r="E39" s="8">
        <f>C39+D39</f>
        <v/>
      </c>
      <c r="F39" s="8">
        <f>MAX(0,B39-D39)</f>
        <v/>
      </c>
    </row>
    <row r="40">
      <c r="A40" s="6" t="n">
        <v>36</v>
      </c>
      <c r="B40" s="8">
        <f>F39</f>
        <v/>
      </c>
      <c r="C40" s="8">
        <f>INDEX(Cash_Flow!$F:$F,MATCH(Assumptions!$B$28+A40-1,Cash_Flow!$A:$A,0))</f>
        <v/>
      </c>
      <c r="D40" s="8">
        <f>INDEX(Cash_Flow!$G:$G,MATCH(Assumptions!$B$28+A40-1,Cash_Flow!$A:$A,0))</f>
        <v/>
      </c>
      <c r="E40" s="8">
        <f>C40+D40</f>
        <v/>
      </c>
      <c r="F40" s="8">
        <f>MAX(0,B40-D40)</f>
        <v/>
      </c>
    </row>
    <row r="41">
      <c r="A41" s="6" t="n">
        <v>37</v>
      </c>
      <c r="B41" s="8">
        <f>F40</f>
        <v/>
      </c>
      <c r="C41" s="8">
        <f>INDEX(Cash_Flow!$F:$F,MATCH(Assumptions!$B$28+A41-1,Cash_Flow!$A:$A,0))</f>
        <v/>
      </c>
      <c r="D41" s="8">
        <f>INDEX(Cash_Flow!$G:$G,MATCH(Assumptions!$B$28+A41-1,Cash_Flow!$A:$A,0))</f>
        <v/>
      </c>
      <c r="E41" s="8">
        <f>C41+D41</f>
        <v/>
      </c>
      <c r="F41" s="8">
        <f>MAX(0,B41-D41)</f>
        <v/>
      </c>
    </row>
    <row r="42">
      <c r="A42" s="6" t="n">
        <v>38</v>
      </c>
      <c r="B42" s="8">
        <f>F41</f>
        <v/>
      </c>
      <c r="C42" s="8">
        <f>INDEX(Cash_Flow!$F:$F,MATCH(Assumptions!$B$28+A42-1,Cash_Flow!$A:$A,0))</f>
        <v/>
      </c>
      <c r="D42" s="8">
        <f>INDEX(Cash_Flow!$G:$G,MATCH(Assumptions!$B$28+A42-1,Cash_Flow!$A:$A,0))</f>
        <v/>
      </c>
      <c r="E42" s="8">
        <f>C42+D42</f>
        <v/>
      </c>
      <c r="F42" s="8">
        <f>MAX(0,B42-D42)</f>
        <v/>
      </c>
    </row>
    <row r="43">
      <c r="A43" s="6" t="n">
        <v>39</v>
      </c>
      <c r="B43" s="8">
        <f>F42</f>
        <v/>
      </c>
      <c r="C43" s="8">
        <f>INDEX(Cash_Flow!$F:$F,MATCH(Assumptions!$B$28+A43-1,Cash_Flow!$A:$A,0))</f>
        <v/>
      </c>
      <c r="D43" s="8">
        <f>INDEX(Cash_Flow!$G:$G,MATCH(Assumptions!$B$28+A43-1,Cash_Flow!$A:$A,0))</f>
        <v/>
      </c>
      <c r="E43" s="8">
        <f>C43+D43</f>
        <v/>
      </c>
      <c r="F43" s="8">
        <f>MAX(0,B43-D43)</f>
        <v/>
      </c>
    </row>
    <row r="44">
      <c r="A44" s="6" t="n">
        <v>40</v>
      </c>
      <c r="B44" s="8">
        <f>F43</f>
        <v/>
      </c>
      <c r="C44" s="8">
        <f>INDEX(Cash_Flow!$F:$F,MATCH(Assumptions!$B$28+A44-1,Cash_Flow!$A:$A,0))</f>
        <v/>
      </c>
      <c r="D44" s="8">
        <f>INDEX(Cash_Flow!$G:$G,MATCH(Assumptions!$B$28+A44-1,Cash_Flow!$A:$A,0))</f>
        <v/>
      </c>
      <c r="E44" s="8">
        <f>C44+D44</f>
        <v/>
      </c>
      <c r="F44" s="8">
        <f>MAX(0,B44-D44)</f>
        <v/>
      </c>
    </row>
    <row r="45">
      <c r="A45" s="6" t="n">
        <v>41</v>
      </c>
      <c r="B45" s="8">
        <f>F44</f>
        <v/>
      </c>
      <c r="C45" s="8">
        <f>INDEX(Cash_Flow!$F:$F,MATCH(Assumptions!$B$28+A45-1,Cash_Flow!$A:$A,0))</f>
        <v/>
      </c>
      <c r="D45" s="8">
        <f>INDEX(Cash_Flow!$G:$G,MATCH(Assumptions!$B$28+A45-1,Cash_Flow!$A:$A,0))</f>
        <v/>
      </c>
      <c r="E45" s="8">
        <f>C45+D45</f>
        <v/>
      </c>
      <c r="F45" s="8">
        <f>MAX(0,B45-D45)</f>
        <v/>
      </c>
    </row>
    <row r="46">
      <c r="A46" s="6" t="n">
        <v>42</v>
      </c>
      <c r="B46" s="8">
        <f>F45</f>
        <v/>
      </c>
      <c r="C46" s="8">
        <f>INDEX(Cash_Flow!$F:$F,MATCH(Assumptions!$B$28+A46-1,Cash_Flow!$A:$A,0))</f>
        <v/>
      </c>
      <c r="D46" s="8">
        <f>INDEX(Cash_Flow!$G:$G,MATCH(Assumptions!$B$28+A46-1,Cash_Flow!$A:$A,0))</f>
        <v/>
      </c>
      <c r="E46" s="8">
        <f>C46+D46</f>
        <v/>
      </c>
      <c r="F46" s="8">
        <f>MAX(0,B46-D46)</f>
        <v/>
      </c>
    </row>
    <row r="47">
      <c r="A47" s="6" t="n">
        <v>43</v>
      </c>
      <c r="B47" s="8">
        <f>F46</f>
        <v/>
      </c>
      <c r="C47" s="8">
        <f>INDEX(Cash_Flow!$F:$F,MATCH(Assumptions!$B$28+A47-1,Cash_Flow!$A:$A,0))</f>
        <v/>
      </c>
      <c r="D47" s="8">
        <f>INDEX(Cash_Flow!$G:$G,MATCH(Assumptions!$B$28+A47-1,Cash_Flow!$A:$A,0))</f>
        <v/>
      </c>
      <c r="E47" s="8">
        <f>C47+D47</f>
        <v/>
      </c>
      <c r="F47" s="8">
        <f>MAX(0,B47-D47)</f>
        <v/>
      </c>
    </row>
    <row r="48">
      <c r="A48" s="6" t="n">
        <v>44</v>
      </c>
      <c r="B48" s="8">
        <f>F47</f>
        <v/>
      </c>
      <c r="C48" s="8">
        <f>INDEX(Cash_Flow!$F:$F,MATCH(Assumptions!$B$28+A48-1,Cash_Flow!$A:$A,0))</f>
        <v/>
      </c>
      <c r="D48" s="8">
        <f>INDEX(Cash_Flow!$G:$G,MATCH(Assumptions!$B$28+A48-1,Cash_Flow!$A:$A,0))</f>
        <v/>
      </c>
      <c r="E48" s="8">
        <f>C48+D48</f>
        <v/>
      </c>
      <c r="F48" s="8">
        <f>MAX(0,B48-D48)</f>
        <v/>
      </c>
    </row>
    <row r="49">
      <c r="A49" s="6" t="n">
        <v>45</v>
      </c>
      <c r="B49" s="8">
        <f>F48</f>
        <v/>
      </c>
      <c r="C49" s="8">
        <f>INDEX(Cash_Flow!$F:$F,MATCH(Assumptions!$B$28+A49-1,Cash_Flow!$A:$A,0))</f>
        <v/>
      </c>
      <c r="D49" s="8">
        <f>INDEX(Cash_Flow!$G:$G,MATCH(Assumptions!$B$28+A49-1,Cash_Flow!$A:$A,0))</f>
        <v/>
      </c>
      <c r="E49" s="8">
        <f>C49+D49</f>
        <v/>
      </c>
      <c r="F49" s="8">
        <f>MAX(0,B49-D49)</f>
        <v/>
      </c>
    </row>
    <row r="50">
      <c r="A50" s="6" t="n">
        <v>46</v>
      </c>
      <c r="B50" s="8">
        <f>F49</f>
        <v/>
      </c>
      <c r="C50" s="8">
        <f>INDEX(Cash_Flow!$F:$F,MATCH(Assumptions!$B$28+A50-1,Cash_Flow!$A:$A,0))</f>
        <v/>
      </c>
      <c r="D50" s="8">
        <f>INDEX(Cash_Flow!$G:$G,MATCH(Assumptions!$B$28+A50-1,Cash_Flow!$A:$A,0))</f>
        <v/>
      </c>
      <c r="E50" s="8">
        <f>C50+D50</f>
        <v/>
      </c>
      <c r="F50" s="8">
        <f>MAX(0,B50-D50)</f>
        <v/>
      </c>
    </row>
    <row r="51">
      <c r="A51" s="6" t="n">
        <v>47</v>
      </c>
      <c r="B51" s="8">
        <f>F50</f>
        <v/>
      </c>
      <c r="C51" s="8">
        <f>INDEX(Cash_Flow!$F:$F,MATCH(Assumptions!$B$28+A51-1,Cash_Flow!$A:$A,0))</f>
        <v/>
      </c>
      <c r="D51" s="8">
        <f>INDEX(Cash_Flow!$G:$G,MATCH(Assumptions!$B$28+A51-1,Cash_Flow!$A:$A,0))</f>
        <v/>
      </c>
      <c r="E51" s="8">
        <f>C51+D51</f>
        <v/>
      </c>
      <c r="F51" s="8">
        <f>MAX(0,B51-D51)</f>
        <v/>
      </c>
    </row>
    <row r="52">
      <c r="A52" s="6" t="n">
        <v>48</v>
      </c>
      <c r="B52" s="8">
        <f>F51</f>
        <v/>
      </c>
      <c r="C52" s="8">
        <f>INDEX(Cash_Flow!$F:$F,MATCH(Assumptions!$B$28+A52-1,Cash_Flow!$A:$A,0))</f>
        <v/>
      </c>
      <c r="D52" s="8">
        <f>INDEX(Cash_Flow!$G:$G,MATCH(Assumptions!$B$28+A52-1,Cash_Flow!$A:$A,0))</f>
        <v/>
      </c>
      <c r="E52" s="8">
        <f>C52+D52</f>
        <v/>
      </c>
      <c r="F52" s="8">
        <f>MAX(0,B52-D52)</f>
        <v/>
      </c>
    </row>
    <row r="53">
      <c r="A53" s="6" t="n">
        <v>49</v>
      </c>
      <c r="B53" s="8">
        <f>F52</f>
        <v/>
      </c>
      <c r="C53" s="8">
        <f>INDEX(Cash_Flow!$F:$F,MATCH(Assumptions!$B$28+A53-1,Cash_Flow!$A:$A,0))</f>
        <v/>
      </c>
      <c r="D53" s="8">
        <f>INDEX(Cash_Flow!$G:$G,MATCH(Assumptions!$B$28+A53-1,Cash_Flow!$A:$A,0))</f>
        <v/>
      </c>
      <c r="E53" s="8">
        <f>C53+D53</f>
        <v/>
      </c>
      <c r="F53" s="8">
        <f>MAX(0,B53-D53)</f>
        <v/>
      </c>
    </row>
    <row r="54">
      <c r="A54" s="6" t="n">
        <v>50</v>
      </c>
      <c r="B54" s="8">
        <f>F53</f>
        <v/>
      </c>
      <c r="C54" s="8">
        <f>INDEX(Cash_Flow!$F:$F,MATCH(Assumptions!$B$28+A54-1,Cash_Flow!$A:$A,0))</f>
        <v/>
      </c>
      <c r="D54" s="8">
        <f>INDEX(Cash_Flow!$G:$G,MATCH(Assumptions!$B$28+A54-1,Cash_Flow!$A:$A,0))</f>
        <v/>
      </c>
      <c r="E54" s="8">
        <f>C54+D54</f>
        <v/>
      </c>
      <c r="F54" s="8">
        <f>MAX(0,B54-D54)</f>
        <v/>
      </c>
    </row>
    <row r="55">
      <c r="A55" s="6" t="n">
        <v>51</v>
      </c>
      <c r="B55" s="8">
        <f>F54</f>
        <v/>
      </c>
      <c r="C55" s="8">
        <f>INDEX(Cash_Flow!$F:$F,MATCH(Assumptions!$B$28+A55-1,Cash_Flow!$A:$A,0))</f>
        <v/>
      </c>
      <c r="D55" s="8">
        <f>INDEX(Cash_Flow!$G:$G,MATCH(Assumptions!$B$28+A55-1,Cash_Flow!$A:$A,0))</f>
        <v/>
      </c>
      <c r="E55" s="8">
        <f>C55+D55</f>
        <v/>
      </c>
      <c r="F55" s="8">
        <f>MAX(0,B55-D55)</f>
        <v/>
      </c>
    </row>
    <row r="56">
      <c r="A56" s="6" t="n">
        <v>52</v>
      </c>
      <c r="B56" s="8">
        <f>F55</f>
        <v/>
      </c>
      <c r="C56" s="8">
        <f>INDEX(Cash_Flow!$F:$F,MATCH(Assumptions!$B$28+A56-1,Cash_Flow!$A:$A,0))</f>
        <v/>
      </c>
      <c r="D56" s="8">
        <f>INDEX(Cash_Flow!$G:$G,MATCH(Assumptions!$B$28+A56-1,Cash_Flow!$A:$A,0))</f>
        <v/>
      </c>
      <c r="E56" s="8">
        <f>C56+D56</f>
        <v/>
      </c>
      <c r="F56" s="8">
        <f>MAX(0,B56-D56)</f>
        <v/>
      </c>
    </row>
    <row r="57">
      <c r="A57" s="6" t="n">
        <v>53</v>
      </c>
      <c r="B57" s="8">
        <f>F56</f>
        <v/>
      </c>
      <c r="C57" s="8">
        <f>INDEX(Cash_Flow!$F:$F,MATCH(Assumptions!$B$28+A57-1,Cash_Flow!$A:$A,0))</f>
        <v/>
      </c>
      <c r="D57" s="8">
        <f>INDEX(Cash_Flow!$G:$G,MATCH(Assumptions!$B$28+A57-1,Cash_Flow!$A:$A,0))</f>
        <v/>
      </c>
      <c r="E57" s="8">
        <f>C57+D57</f>
        <v/>
      </c>
      <c r="F57" s="8">
        <f>MAX(0,B57-D57)</f>
        <v/>
      </c>
    </row>
    <row r="58">
      <c r="A58" s="6" t="n">
        <v>54</v>
      </c>
      <c r="B58" s="8">
        <f>F57</f>
        <v/>
      </c>
      <c r="C58" s="8">
        <f>INDEX(Cash_Flow!$F:$F,MATCH(Assumptions!$B$28+A58-1,Cash_Flow!$A:$A,0))</f>
        <v/>
      </c>
      <c r="D58" s="8">
        <f>INDEX(Cash_Flow!$G:$G,MATCH(Assumptions!$B$28+A58-1,Cash_Flow!$A:$A,0))</f>
        <v/>
      </c>
      <c r="E58" s="8">
        <f>C58+D58</f>
        <v/>
      </c>
      <c r="F58" s="8">
        <f>MAX(0,B58-D58)</f>
        <v/>
      </c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2026-05-05T10:06:22Z</dcterms:created>
  <dcterms:modified xmlns:dcterms="http://purl.org/dc/terms/" xmlns:xsi="http://www.w3.org/2001/XMLSchema-instance" xsi:type="dcterms:W3CDTF">2026-05-12T06:28:30Z</dcterms:modified>
  <cp:lastModifiedBy>Sebbi Kankondi</cp:lastModifiedBy>
</cp:coreProperties>
</file>