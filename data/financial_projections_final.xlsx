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ebbi Kankondi\fleet_management\data\"/>
    </mc:Choice>
  </mc:AlternateContent>
  <xr:revisionPtr revIDLastSave="0" documentId="13_ncr:1_{575CD26F-8EF0-4775-B9A6-AE6C207C38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ssumptions" sheetId="1" r:id="rId1"/>
    <sheet name="Fleet_Schedule" sheetId="2" r:id="rId2"/>
    <sheet name="Cash_Flow" sheetId="3" r:id="rId3"/>
    <sheet name="Income_Statement" sheetId="4" r:id="rId4"/>
    <sheet name="Balance_Sheet" sheetId="5" r:id="rId5"/>
    <sheet name="Loan_Amortisati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2" i="5" l="1"/>
  <c r="S62" i="5"/>
  <c r="P62" i="5"/>
  <c r="T61" i="5"/>
  <c r="S61" i="5"/>
  <c r="P61" i="5"/>
  <c r="T60" i="5"/>
  <c r="S60" i="5"/>
  <c r="P60" i="5"/>
  <c r="T59" i="5"/>
  <c r="S59" i="5"/>
  <c r="P59" i="5"/>
  <c r="T58" i="5"/>
  <c r="S58" i="5"/>
  <c r="P58" i="5"/>
  <c r="T57" i="5"/>
  <c r="S57" i="5"/>
  <c r="P57" i="5"/>
  <c r="T56" i="5"/>
  <c r="S56" i="5"/>
  <c r="P56" i="5"/>
  <c r="T55" i="5"/>
  <c r="S55" i="5"/>
  <c r="P55" i="5"/>
  <c r="T54" i="5"/>
  <c r="S54" i="5"/>
  <c r="P54" i="5"/>
  <c r="T53" i="5"/>
  <c r="S53" i="5"/>
  <c r="P53" i="5"/>
  <c r="T52" i="5"/>
  <c r="S52" i="5"/>
  <c r="P52" i="5"/>
  <c r="T51" i="5"/>
  <c r="S51" i="5"/>
  <c r="P51" i="5"/>
  <c r="T50" i="5"/>
  <c r="S50" i="5"/>
  <c r="P50" i="5"/>
  <c r="T49" i="5"/>
  <c r="S49" i="5"/>
  <c r="P49" i="5"/>
  <c r="T48" i="5"/>
  <c r="S48" i="5"/>
  <c r="P48" i="5"/>
  <c r="T47" i="5"/>
  <c r="S47" i="5"/>
  <c r="P47" i="5"/>
  <c r="T46" i="5"/>
  <c r="S46" i="5"/>
  <c r="P46" i="5"/>
  <c r="T45" i="5"/>
  <c r="S45" i="5"/>
  <c r="P45" i="5"/>
  <c r="T44" i="5"/>
  <c r="S44" i="5"/>
  <c r="P44" i="5"/>
  <c r="T43" i="5"/>
  <c r="S43" i="5"/>
  <c r="P43" i="5"/>
  <c r="T42" i="5"/>
  <c r="S42" i="5"/>
  <c r="P42" i="5"/>
  <c r="T41" i="5"/>
  <c r="S41" i="5"/>
  <c r="P41" i="5"/>
  <c r="T40" i="5"/>
  <c r="S40" i="5"/>
  <c r="P40" i="5"/>
  <c r="T39" i="5"/>
  <c r="S39" i="5"/>
  <c r="P39" i="5"/>
  <c r="T38" i="5"/>
  <c r="S38" i="5"/>
  <c r="P38" i="5"/>
  <c r="T37" i="5"/>
  <c r="S37" i="5"/>
  <c r="P37" i="5"/>
  <c r="T36" i="5"/>
  <c r="S36" i="5"/>
  <c r="P36" i="5"/>
  <c r="T35" i="5"/>
  <c r="S35" i="5"/>
  <c r="P35" i="5"/>
  <c r="T34" i="5"/>
  <c r="S34" i="5"/>
  <c r="P34" i="5"/>
  <c r="T33" i="5"/>
  <c r="S33" i="5"/>
  <c r="P33" i="5"/>
  <c r="T32" i="5"/>
  <c r="S32" i="5"/>
  <c r="P32" i="5"/>
  <c r="T31" i="5"/>
  <c r="S31" i="5"/>
  <c r="P31" i="5"/>
  <c r="T30" i="5"/>
  <c r="S30" i="5"/>
  <c r="P30" i="5"/>
  <c r="T29" i="5"/>
  <c r="S29" i="5"/>
  <c r="P29" i="5"/>
  <c r="T28" i="5"/>
  <c r="S28" i="5"/>
  <c r="P28" i="5"/>
  <c r="T27" i="5"/>
  <c r="S27" i="5"/>
  <c r="P27" i="5"/>
  <c r="T26" i="5"/>
  <c r="S26" i="5"/>
  <c r="P26" i="5"/>
  <c r="T25" i="5"/>
  <c r="S25" i="5"/>
  <c r="P25" i="5"/>
  <c r="T24" i="5"/>
  <c r="S24" i="5"/>
  <c r="P24" i="5"/>
  <c r="T23" i="5"/>
  <c r="S23" i="5"/>
  <c r="P23" i="5"/>
  <c r="T22" i="5"/>
  <c r="S22" i="5"/>
  <c r="P22" i="5"/>
  <c r="T21" i="5"/>
  <c r="S21" i="5"/>
  <c r="P21" i="5"/>
  <c r="T20" i="5"/>
  <c r="S20" i="5"/>
  <c r="P20" i="5"/>
  <c r="T19" i="5"/>
  <c r="S19" i="5"/>
  <c r="P19" i="5"/>
  <c r="T18" i="5"/>
  <c r="S18" i="5"/>
  <c r="P18" i="5"/>
  <c r="T17" i="5"/>
  <c r="S17" i="5"/>
  <c r="P17" i="5"/>
  <c r="T16" i="5"/>
  <c r="S16" i="5"/>
  <c r="P16" i="5"/>
  <c r="T15" i="5"/>
  <c r="S15" i="5"/>
  <c r="P15" i="5"/>
  <c r="T14" i="5"/>
  <c r="S14" i="5"/>
  <c r="P14" i="5"/>
  <c r="T13" i="5"/>
  <c r="S13" i="5"/>
  <c r="P13" i="5"/>
  <c r="T12" i="5"/>
  <c r="S12" i="5"/>
  <c r="P12" i="5"/>
  <c r="T11" i="5"/>
  <c r="S11" i="5"/>
  <c r="P11" i="5"/>
  <c r="M11" i="5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T10" i="5"/>
  <c r="S10" i="5"/>
  <c r="P10" i="5"/>
  <c r="T9" i="5"/>
  <c r="S9" i="5"/>
  <c r="P9" i="5"/>
  <c r="T8" i="5"/>
  <c r="S8" i="5"/>
  <c r="P8" i="5"/>
  <c r="T7" i="5"/>
  <c r="S7" i="5"/>
  <c r="P7" i="5"/>
  <c r="O7" i="5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T6" i="5"/>
  <c r="S6" i="5"/>
  <c r="P6" i="5"/>
  <c r="O6" i="5"/>
  <c r="T5" i="5"/>
  <c r="S5" i="5"/>
  <c r="P5" i="5"/>
  <c r="O5" i="5"/>
  <c r="T4" i="5"/>
  <c r="S4" i="5"/>
  <c r="R4" i="5"/>
  <c r="R5" i="5" s="1"/>
  <c r="R6" i="5" s="1"/>
  <c r="R7" i="5" s="1"/>
  <c r="R8" i="5" s="1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Q4" i="5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P4" i="5"/>
  <c r="O4" i="5"/>
  <c r="U3" i="5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T3" i="5"/>
  <c r="S3" i="5"/>
  <c r="R3" i="5"/>
  <c r="Q3" i="5"/>
  <c r="P3" i="5"/>
  <c r="O3" i="5"/>
  <c r="N3" i="5"/>
  <c r="N4" i="5" s="1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M3" i="5"/>
  <c r="M4" i="5" s="1"/>
  <c r="M5" i="5" s="1"/>
  <c r="M6" i="5" s="1"/>
  <c r="M7" i="5" s="1"/>
  <c r="M8" i="5" s="1"/>
  <c r="M9" i="5" s="1"/>
  <c r="M10" i="5" s="1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M4" i="3"/>
  <c r="N4" i="3" s="1"/>
  <c r="V4" i="5" s="1"/>
  <c r="P3" i="3"/>
  <c r="O4" i="3" s="1"/>
  <c r="P4" i="3" s="1"/>
  <c r="O5" i="3" s="1"/>
  <c r="P5" i="3" s="1"/>
  <c r="O6" i="3" s="1"/>
  <c r="P6" i="3" s="1"/>
  <c r="O7" i="3" s="1"/>
  <c r="P7" i="3" s="1"/>
  <c r="O8" i="3" s="1"/>
  <c r="P8" i="3" s="1"/>
  <c r="O9" i="3" s="1"/>
  <c r="P9" i="3" s="1"/>
  <c r="O10" i="3" s="1"/>
  <c r="P10" i="3" s="1"/>
  <c r="O11" i="3" s="1"/>
  <c r="P11" i="3" s="1"/>
  <c r="O12" i="3" s="1"/>
  <c r="P12" i="3" s="1"/>
  <c r="O13" i="3" s="1"/>
  <c r="P13" i="3" s="1"/>
  <c r="O14" i="3" s="1"/>
  <c r="P14" i="3" s="1"/>
  <c r="O15" i="3" s="1"/>
  <c r="P15" i="3" s="1"/>
  <c r="O16" i="3" s="1"/>
  <c r="P16" i="3" s="1"/>
  <c r="O17" i="3" s="1"/>
  <c r="P17" i="3" s="1"/>
  <c r="O18" i="3" s="1"/>
  <c r="P18" i="3" s="1"/>
  <c r="O19" i="3" s="1"/>
  <c r="P19" i="3" s="1"/>
  <c r="O20" i="3" s="1"/>
  <c r="P20" i="3" s="1"/>
  <c r="O21" i="3" s="1"/>
  <c r="P21" i="3" s="1"/>
  <c r="O22" i="3" s="1"/>
  <c r="P22" i="3" s="1"/>
  <c r="O23" i="3" s="1"/>
  <c r="P23" i="3" s="1"/>
  <c r="O24" i="3" s="1"/>
  <c r="P24" i="3" s="1"/>
  <c r="O25" i="3" s="1"/>
  <c r="P25" i="3" s="1"/>
  <c r="O26" i="3" s="1"/>
  <c r="P26" i="3" s="1"/>
  <c r="O27" i="3" s="1"/>
  <c r="P27" i="3" s="1"/>
  <c r="O28" i="3" s="1"/>
  <c r="P28" i="3" s="1"/>
  <c r="O29" i="3" s="1"/>
  <c r="P29" i="3" s="1"/>
  <c r="O30" i="3" s="1"/>
  <c r="P30" i="3" s="1"/>
  <c r="O31" i="3" s="1"/>
  <c r="P31" i="3" s="1"/>
  <c r="O32" i="3" s="1"/>
  <c r="P32" i="3" s="1"/>
  <c r="O33" i="3" s="1"/>
  <c r="P33" i="3" s="1"/>
  <c r="O34" i="3" s="1"/>
  <c r="P34" i="3" s="1"/>
  <c r="O35" i="3" s="1"/>
  <c r="P35" i="3" s="1"/>
  <c r="O36" i="3" s="1"/>
  <c r="P36" i="3" s="1"/>
  <c r="O37" i="3" s="1"/>
  <c r="P37" i="3" s="1"/>
  <c r="O38" i="3" s="1"/>
  <c r="P38" i="3" s="1"/>
  <c r="O39" i="3" s="1"/>
  <c r="P39" i="3" s="1"/>
  <c r="O40" i="3" s="1"/>
  <c r="P40" i="3" s="1"/>
  <c r="O41" i="3" s="1"/>
  <c r="P41" i="3" s="1"/>
  <c r="O42" i="3" s="1"/>
  <c r="P42" i="3" s="1"/>
  <c r="O43" i="3" s="1"/>
  <c r="P43" i="3" s="1"/>
  <c r="O44" i="3" s="1"/>
  <c r="P44" i="3" s="1"/>
  <c r="O45" i="3" s="1"/>
  <c r="P45" i="3" s="1"/>
  <c r="O46" i="3" s="1"/>
  <c r="P46" i="3" s="1"/>
  <c r="O47" i="3" s="1"/>
  <c r="P47" i="3" s="1"/>
  <c r="O48" i="3" s="1"/>
  <c r="P48" i="3" s="1"/>
  <c r="O49" i="3" s="1"/>
  <c r="P49" i="3" s="1"/>
  <c r="O50" i="3" s="1"/>
  <c r="P50" i="3" s="1"/>
  <c r="O51" i="3" s="1"/>
  <c r="P51" i="3" s="1"/>
  <c r="O52" i="3" s="1"/>
  <c r="P52" i="3" s="1"/>
  <c r="O53" i="3" s="1"/>
  <c r="P53" i="3" s="1"/>
  <c r="O54" i="3" s="1"/>
  <c r="P54" i="3" s="1"/>
  <c r="O55" i="3" s="1"/>
  <c r="P55" i="3" s="1"/>
  <c r="O56" i="3" s="1"/>
  <c r="P56" i="3" s="1"/>
  <c r="O57" i="3" s="1"/>
  <c r="P57" i="3" s="1"/>
  <c r="O58" i="3" s="1"/>
  <c r="P58" i="3" s="1"/>
  <c r="O59" i="3" s="1"/>
  <c r="P59" i="3" s="1"/>
  <c r="O60" i="3" s="1"/>
  <c r="P60" i="3" s="1"/>
  <c r="O61" i="3" s="1"/>
  <c r="P61" i="3" s="1"/>
  <c r="O62" i="3" s="1"/>
  <c r="P62" i="3" s="1"/>
  <c r="N3" i="3"/>
  <c r="B32" i="1"/>
  <c r="B25" i="1"/>
  <c r="M5" i="3" l="1"/>
  <c r="N5" i="3" s="1"/>
  <c r="W3" i="5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V3" i="5"/>
  <c r="V5" i="5" l="1"/>
  <c r="M6" i="3"/>
  <c r="N6" i="3" s="1"/>
  <c r="V6" i="5" l="1"/>
  <c r="M7" i="3"/>
  <c r="N7" i="3" s="1"/>
  <c r="V7" i="5" l="1"/>
  <c r="M8" i="3"/>
  <c r="N8" i="3" s="1"/>
  <c r="M9" i="3" l="1"/>
  <c r="N9" i="3" s="1"/>
  <c r="V8" i="5"/>
  <c r="V9" i="5" l="1"/>
  <c r="M10" i="3"/>
  <c r="N10" i="3" s="1"/>
  <c r="M11" i="3" l="1"/>
  <c r="N11" i="3" s="1"/>
  <c r="V10" i="5"/>
  <c r="V11" i="5" l="1"/>
  <c r="M12" i="3"/>
  <c r="N12" i="3" s="1"/>
  <c r="V12" i="5" l="1"/>
  <c r="M13" i="3"/>
  <c r="N13" i="3" s="1"/>
  <c r="V13" i="5" l="1"/>
  <c r="M14" i="3"/>
  <c r="N14" i="3" s="1"/>
  <c r="V14" i="5" l="1"/>
  <c r="M15" i="3"/>
  <c r="N15" i="3" s="1"/>
  <c r="V15" i="5" l="1"/>
  <c r="M16" i="3"/>
  <c r="N16" i="3" s="1"/>
  <c r="M17" i="3" l="1"/>
  <c r="N17" i="3" s="1"/>
  <c r="V16" i="5"/>
  <c r="V17" i="5" l="1"/>
  <c r="M18" i="3"/>
  <c r="N18" i="3" s="1"/>
  <c r="V18" i="5" l="1"/>
  <c r="M19" i="3"/>
  <c r="N19" i="3" s="1"/>
  <c r="V19" i="5" l="1"/>
  <c r="M20" i="3"/>
  <c r="N20" i="3" s="1"/>
  <c r="V20" i="5" l="1"/>
  <c r="M21" i="3"/>
  <c r="N21" i="3" s="1"/>
  <c r="V21" i="5" l="1"/>
  <c r="M22" i="3"/>
  <c r="N22" i="3" s="1"/>
  <c r="M23" i="3" l="1"/>
  <c r="N23" i="3" s="1"/>
  <c r="V22" i="5"/>
  <c r="V23" i="5" l="1"/>
  <c r="M24" i="3"/>
  <c r="N24" i="3" s="1"/>
  <c r="M25" i="3" l="1"/>
  <c r="N25" i="3" s="1"/>
  <c r="V24" i="5"/>
  <c r="V25" i="5" l="1"/>
  <c r="M26" i="3"/>
  <c r="N26" i="3" s="1"/>
  <c r="V26" i="5" l="1"/>
  <c r="M27" i="3"/>
  <c r="N27" i="3" s="1"/>
  <c r="M28" i="3" l="1"/>
  <c r="N28" i="3" s="1"/>
  <c r="V27" i="5"/>
  <c r="V28" i="5" l="1"/>
  <c r="M29" i="3"/>
  <c r="N29" i="3" s="1"/>
  <c r="V29" i="5" l="1"/>
  <c r="M30" i="3"/>
  <c r="N30" i="3" s="1"/>
  <c r="V30" i="5" l="1"/>
  <c r="M31" i="3"/>
  <c r="N31" i="3" s="1"/>
  <c r="V31" i="5" l="1"/>
  <c r="M32" i="3"/>
  <c r="N32" i="3" s="1"/>
  <c r="M33" i="3" l="1"/>
  <c r="N33" i="3" s="1"/>
  <c r="V32" i="5"/>
  <c r="V33" i="5" l="1"/>
  <c r="M34" i="3"/>
  <c r="N34" i="3" s="1"/>
  <c r="V34" i="5" l="1"/>
  <c r="M35" i="3"/>
  <c r="N35" i="3" s="1"/>
  <c r="V35" i="5" l="1"/>
  <c r="M36" i="3"/>
  <c r="N36" i="3" s="1"/>
  <c r="V36" i="5" l="1"/>
  <c r="M37" i="3"/>
  <c r="N37" i="3" s="1"/>
  <c r="V37" i="5" l="1"/>
  <c r="M38" i="3"/>
  <c r="N38" i="3" s="1"/>
  <c r="V38" i="5" l="1"/>
  <c r="M39" i="3"/>
  <c r="N39" i="3" s="1"/>
  <c r="V39" i="5" l="1"/>
  <c r="M40" i="3"/>
  <c r="N40" i="3" s="1"/>
  <c r="M41" i="3" l="1"/>
  <c r="N41" i="3" s="1"/>
  <c r="V40" i="5"/>
  <c r="V41" i="5" l="1"/>
  <c r="M42" i="3"/>
  <c r="N42" i="3" s="1"/>
  <c r="V42" i="5" l="1"/>
  <c r="M43" i="3"/>
  <c r="N43" i="3" s="1"/>
  <c r="M44" i="3" l="1"/>
  <c r="N44" i="3" s="1"/>
  <c r="V43" i="5"/>
  <c r="V44" i="5" l="1"/>
  <c r="M45" i="3"/>
  <c r="N45" i="3" s="1"/>
  <c r="V45" i="5" l="1"/>
  <c r="M46" i="3"/>
  <c r="N46" i="3" s="1"/>
  <c r="V46" i="5" l="1"/>
  <c r="M47" i="3"/>
  <c r="N47" i="3" s="1"/>
  <c r="V47" i="5" l="1"/>
  <c r="M48" i="3"/>
  <c r="N48" i="3" s="1"/>
  <c r="M49" i="3" l="1"/>
  <c r="N49" i="3" s="1"/>
  <c r="V48" i="5"/>
  <c r="V49" i="5" l="1"/>
  <c r="M50" i="3"/>
  <c r="N50" i="3" s="1"/>
  <c r="V50" i="5" l="1"/>
  <c r="M51" i="3"/>
  <c r="N51" i="3" s="1"/>
  <c r="V51" i="5" l="1"/>
  <c r="M52" i="3"/>
  <c r="N52" i="3" s="1"/>
  <c r="V52" i="5" l="1"/>
  <c r="M53" i="3"/>
  <c r="N53" i="3" s="1"/>
  <c r="V53" i="5" l="1"/>
  <c r="M54" i="3"/>
  <c r="N54" i="3" s="1"/>
  <c r="V54" i="5" l="1"/>
  <c r="M55" i="3"/>
  <c r="N55" i="3" s="1"/>
  <c r="V55" i="5" l="1"/>
  <c r="M56" i="3"/>
  <c r="N56" i="3" s="1"/>
  <c r="M57" i="3" l="1"/>
  <c r="N57" i="3" s="1"/>
  <c r="V56" i="5"/>
  <c r="V57" i="5" l="1"/>
  <c r="M58" i="3"/>
  <c r="N58" i="3" s="1"/>
  <c r="V58" i="5" l="1"/>
  <c r="M59" i="3"/>
  <c r="N59" i="3" s="1"/>
  <c r="M60" i="3" l="1"/>
  <c r="N60" i="3" s="1"/>
  <c r="V59" i="5"/>
  <c r="V60" i="5" l="1"/>
  <c r="M61" i="3"/>
  <c r="N61" i="3" s="1"/>
  <c r="V61" i="5" l="1"/>
  <c r="M62" i="3"/>
  <c r="N62" i="3" s="1"/>
  <c r="V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Sebbi Kankondi</author>
  </authors>
  <commentList>
    <comment ref="B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Source: user instruction in this chat. Monthly gross revenue per car set to N$30,000.</t>
        </r>
      </text>
    </comment>
    <comment ref="B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Source: user instruction in this chat. Trigger vehicle disposal once monthly gross profit reaches N$180,000 or more.</t>
        </r>
      </text>
    </comment>
    <comment ref="B1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Source: user instruction in this chat. Maintenance expense set to zero.</t>
        </r>
      </text>
    </comment>
    <comment ref="A13" authorId="1" shapeId="0" xr:uid="{A4B9BF2F-ACD3-4EF1-A5CB-DD08DCB38F32}">
      <text>
        <r>
          <rPr>
            <b/>
            <sz val="11"/>
            <color indexed="81"/>
            <rFont val="Tahoma"/>
            <charset val="1"/>
          </rPr>
          <t>Sebbi Kankondi:</t>
        </r>
        <r>
          <rPr>
            <sz val="11"/>
            <color indexed="81"/>
            <rFont val="Tahoma"/>
            <charset val="1"/>
          </rPr>
          <t xml:space="preserve">
List this in any contract with drivers as insurance premium.
Increase accordingly if needed.</t>
        </r>
      </text>
    </comment>
    <comment ref="B33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Source: uploaded PDF "loan_repayment_value_infor_source.pdf". Payment start month aligned to month 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Sebbi Kankondi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Sebbi Kankondi:
Cash flow includes prime-linked amortising bank debt, owner/investor repayments and profit distributions, and reinvestment purchases when available cash can fund at least the minimum batch size.</t>
        </r>
      </text>
    </comment>
    <comment ref="B3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Sebbi Kankondi:
Initial capital introduced prior to operational cash flow measurement - should not appear in the annual movement line as a normal financing inflow.</t>
        </r>
      </text>
    </comment>
  </commentList>
</comments>
</file>

<file path=xl/sharedStrings.xml><?xml version="1.0" encoding="utf-8"?>
<sst xmlns="http://schemas.openxmlformats.org/spreadsheetml/2006/main" count="183" uniqueCount="149">
  <si>
    <t>Fleet schedule (all cars combined) - monthly counts</t>
  </si>
  <si>
    <t>Month #</t>
  </si>
  <si>
    <t>Fiscal Year</t>
  </si>
  <si>
    <t>Month in FY</t>
  </si>
  <si>
    <t>Cars Purchased (orders placed)</t>
  </si>
  <si>
    <t>Cars Delivered (start operating)</t>
  </si>
  <si>
    <t>Cars In Pipeline (not yet operating)</t>
  </si>
  <si>
    <t>Cars in Rent-to-Own Operation</t>
  </si>
  <si>
    <t xml:space="preserve">Total Cars </t>
  </si>
  <si>
    <t>Total Cars In Operation (Cummulative)</t>
  </si>
  <si>
    <t>Cars Disposed (end of month)</t>
  </si>
  <si>
    <t xml:space="preserve"> Total Cars Disposed (Cummulative)</t>
  </si>
  <si>
    <t>Namibia Rent-to-Own Fleet Model - Key Assumptions (Editable)</t>
  </si>
  <si>
    <t>Assumption</t>
  </si>
  <si>
    <t>Value</t>
  </si>
  <si>
    <t>Units</t>
  </si>
  <si>
    <t>Notes / Source</t>
  </si>
  <si>
    <t>Car unit cost</t>
  </si>
  <si>
    <t>N$ per car</t>
  </si>
  <si>
    <t>N$250,000 / 4 cars</t>
  </si>
  <si>
    <t>Monthly Gross revenue per car</t>
  </si>
  <si>
    <t>N$ / car / month</t>
  </si>
  <si>
    <t>Vehicle disposal trigger</t>
  </si>
  <si>
    <t>Years</t>
  </si>
  <si>
    <t>car trigger for the disposal (with no disposal revenue) of all vehicles.</t>
  </si>
  <si>
    <t>Procurement lead time</t>
  </si>
  <si>
    <t>months</t>
  </si>
  <si>
    <t>Estimate time from vehicle order to start of operation</t>
  </si>
  <si>
    <t>Fuel expense per operating car (monthly)</t>
  </si>
  <si>
    <t>Over-estimated fuel expense based on Swakopmund operations ratio of N$18,000 made for every N$7,000 spent on fuel</t>
  </si>
  <si>
    <t>Airtime expense per operating car (monthly)</t>
  </si>
  <si>
    <t>Airtime for yango drivers and tracking device</t>
  </si>
  <si>
    <t>Carwash expense per operating car (monthly)</t>
  </si>
  <si>
    <t>Maintenance expense per active car (monthly)</t>
  </si>
  <si>
    <t>Maintenance cost included in salary expense</t>
  </si>
  <si>
    <t>Driver subsistence</t>
  </si>
  <si>
    <t>For client upkeep</t>
  </si>
  <si>
    <t>Incidental repair reserve</t>
  </si>
  <si>
    <t>Internal repair insurance</t>
  </si>
  <si>
    <t>Tracking device expense</t>
  </si>
  <si>
    <t>Monthly payment for 3 year contract. 1 tracking device &amp; 1 dashcam.</t>
  </si>
  <si>
    <t>Cost of sales</t>
  </si>
  <si>
    <t>fuel+airtime+carwash+maintenance+subsistence+repairs+tracking.</t>
  </si>
  <si>
    <t>Monthly Gross profit per car</t>
  </si>
  <si>
    <t>Calculated = gross revenue less direct running costs before salary.</t>
  </si>
  <si>
    <t>Salary expense per operating car (monthly)</t>
  </si>
  <si>
    <t>For General manager + Operations supervisor</t>
  </si>
  <si>
    <t>Total operating expenses per operating car (monthly)</t>
  </si>
  <si>
    <t>Calculated = fuel + airtime + carwash + maintenance + salary.</t>
  </si>
  <si>
    <t>Operating Profit</t>
  </si>
  <si>
    <t>Gross profit - Value for Operating Expense.</t>
  </si>
  <si>
    <t>Min reinvest purchase batch size</t>
  </si>
  <si>
    <t>cars</t>
  </si>
  <si>
    <t>Orders are placed only when retained profits can fund the purchase of atleast 4 cars.</t>
  </si>
  <si>
    <t>Corporate income tax rate</t>
  </si>
  <si>
    <t>%</t>
  </si>
  <si>
    <t>NAMRA rate for CC's</t>
  </si>
  <si>
    <t>Initial owner/investor equity</t>
  </si>
  <si>
    <t>N$</t>
  </si>
  <si>
    <t xml:space="preserve">Initial funding from 1 company member for the first batch of 4 cars </t>
  </si>
  <si>
    <t>Bank loan draw (batch 2)</t>
  </si>
  <si>
    <t>Proposed bank loan amount to help fund the second batch of 8 cars</t>
  </si>
  <si>
    <t>Bank loan draw month (operating month index)</t>
  </si>
  <si>
    <t>month #</t>
  </si>
  <si>
    <t>Bank loan request to be made after the first 4 months of operation.</t>
  </si>
  <si>
    <t>Bank monthly instalment (principal + interest)</t>
  </si>
  <si>
    <t>N$ / month</t>
  </si>
  <si>
    <t>Monthly instalment modelled as PMT (fixed periodic repayment) at 10.00% p.a. over 54 months on N$250,000.</t>
  </si>
  <si>
    <t>Bank nominal annual interest rate</t>
  </si>
  <si>
    <t xml:space="preserve">Model uses prime-linked nominal annual rate.
Prime rate anchor: Bank of Namibia (BoN) MPC statement (repo 6.50% -&gt; prime expected 10.00%): 
Bank Windhoek published prime lending rate (10.000% effective 29 Dec 2025): </t>
  </si>
  <si>
    <t>Owner/investor equity injection (batch 2)</t>
  </si>
  <si>
    <t>Additional N$250,000 from 1 company member to help fund the second batch of 8 cars</t>
  </si>
  <si>
    <t>Owner second injection month (operating month index)</t>
  </si>
  <si>
    <t>Second phase of owner funding to be made after the first 4 months of operation</t>
  </si>
  <si>
    <t>Initial cars in operation (month 1)</t>
  </si>
  <si>
    <t>Initial batch of 4 cars.</t>
  </si>
  <si>
    <t>Model horizon</t>
  </si>
  <si>
    <t>5 years monthly.</t>
  </si>
  <si>
    <t>Bank loan term</t>
  </si>
  <si>
    <t>Uploaded PDF recommendation: 54-month amortising facility.</t>
  </si>
  <si>
    <t>Bank monthly interest rate</t>
  </si>
  <si>
    <t>% / month</t>
  </si>
  <si>
    <t>Calculated from the annual nominal rate.</t>
  </si>
  <si>
    <t>Bank payment start month</t>
  </si>
  <si>
    <t>Aligned to the draw month per the uploaded PDF.</t>
  </si>
  <si>
    <t>Investor payout per car per month</t>
  </si>
  <si>
    <t>Set aside N$3,000 per car per month for each N$250,000 owner/investor amount.</t>
  </si>
  <si>
    <t>Batch 1 investor payout start month</t>
  </si>
  <si>
    <t>Payouts begin once the cars funded by the second owner/investor tranche start operating.</t>
  </si>
  <si>
    <t>Batch 2 investor payout start month</t>
  </si>
  <si>
    <t>Monthly Cash Flow</t>
  </si>
  <si>
    <t>Owner/Investor Injection</t>
  </si>
  <si>
    <t>Bank Loan Draw</t>
  </si>
  <si>
    <t>Total Cash In</t>
  </si>
  <si>
    <t>Operating Expenses (cash)</t>
  </si>
  <si>
    <t>Interest</t>
  </si>
  <si>
    <t>Loan Principal</t>
  </si>
  <si>
    <t>Income Tax Paid</t>
  </si>
  <si>
    <t>Investor Payout/Profit Distribution</t>
  </si>
  <si>
    <t>Net Cash Before Capex</t>
  </si>
  <si>
    <t>Capex (car purchases)</t>
  </si>
  <si>
    <t>Net Cash Flow</t>
  </si>
  <si>
    <t xml:space="preserve">Retained Profits Opening </t>
  </si>
  <si>
    <t xml:space="preserve">Retained Profits Closing </t>
  </si>
  <si>
    <t>Loan Opening</t>
  </si>
  <si>
    <t>Loan Closing</t>
  </si>
  <si>
    <t>Monthly Income Statement</t>
  </si>
  <si>
    <t>Year #</t>
  </si>
  <si>
    <t>Cars in Operation</t>
  </si>
  <si>
    <t>Monthly Gross Revenue</t>
  </si>
  <si>
    <t>Fuel</t>
  </si>
  <si>
    <t>Airtime</t>
  </si>
  <si>
    <t>Carwash</t>
  </si>
  <si>
    <t>Maintenance</t>
  </si>
  <si>
    <t>Driver Subsistence Allocation</t>
  </si>
  <si>
    <t>Incidental Repair Reserve</t>
  </si>
  <si>
    <t>Tracking Device</t>
  </si>
  <si>
    <t>Cost of Sales</t>
  </si>
  <si>
    <t>Gross Profit</t>
  </si>
  <si>
    <t>Salary</t>
  </si>
  <si>
    <t>Total Operating Expenses</t>
  </si>
  <si>
    <t>EBIT</t>
  </si>
  <si>
    <t>Income Tax</t>
  </si>
  <si>
    <t>Net Profit</t>
  </si>
  <si>
    <t>Retained Profits</t>
  </si>
  <si>
    <t xml:space="preserve">Monthly Balance Sheet Snapshot </t>
  </si>
  <si>
    <t>Total Owner/Investor Capital Invested</t>
  </si>
  <si>
    <t>Net Owner/Investor Capital Outstanding</t>
  </si>
  <si>
    <t>Loan Closing Balance</t>
  </si>
  <si>
    <t>Cars in Operation (count)</t>
  </si>
  <si>
    <t>Total Cars Operation (Cummulative)</t>
  </si>
  <si>
    <t>Vehicles In Use - Cost</t>
  </si>
  <si>
    <t>Total Cars Cost (Cummulative)</t>
  </si>
  <si>
    <t>Gross Revenue (Cummulative)</t>
  </si>
  <si>
    <t>Operating Expenses (Cummulative)</t>
  </si>
  <si>
    <t>Operating Profit (Cummulative)</t>
  </si>
  <si>
    <t>Loan Repayment (Cummulative)</t>
  </si>
  <si>
    <t>Income Tax (Cummulative)</t>
  </si>
  <si>
    <t>Net Profit (Cummulative)</t>
  </si>
  <si>
    <t xml:space="preserve">Net Profit </t>
  </si>
  <si>
    <t>Investor Payout/Profit Distribution (Cummulative)</t>
  </si>
  <si>
    <t>Retained Profits (Cummulative)</t>
  </si>
  <si>
    <t>Loan Amortisation - linked to Cash_Flow</t>
  </si>
  <si>
    <t>Prime-linked amortising bank facility: N$250,000 at 10.00% p.a. over 54 months, with payments starting in operating month 5. Opening balance includes the draw in the first loan month.</t>
  </si>
  <si>
    <t>Loan month</t>
  </si>
  <si>
    <t>Opening balance</t>
  </si>
  <si>
    <t>Principal</t>
  </si>
  <si>
    <t>Payment</t>
  </si>
  <si>
    <t>Closing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</si>
</sst>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\ #,##0.00"/>
  </numFmts>
  <fonts count="10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b/>
      <sz val="11"/>
      <color indexed="81"/>
      <name val="Tahoma"/>
      <charset val="1"/>
    </font>
    <font>
      <sz val="11"/>
      <color indexed="81"/>
      <name val="Tahoma"/>
      <charset val="1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164" fontId="7" fillId="0" borderId="1" xfId="0" applyNumberFormat="1" applyFont="1" applyBorder="1" applyAlignment="1">
      <alignment horizontal="right" vertical="center" wrapText="1"/>
    </xf>
    <xf numFmtId="166" fontId="7" fillId="0" borderId="1" xfId="0" applyNumberFormat="1" applyFont="1" applyBorder="1" applyAlignment="1">
      <alignment horizontal="right" vertical="center" wrapText="1"/>
    </xf>
    <xf numFmtId="0" fontId="1" fillId="0" borderId="0" xfId="0" applyFont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vertical="center"/>
    </xf>
    <xf numFmtId="1" fontId="3" fillId="0" borderId="1" xfId="0" applyNumberFormat="1" applyFont="1" applyBorder="1" applyAlignment="1">
      <alignment horizontal="right" vertical="center" wrapText="1"/>
    </xf>
    <xf numFmtId="167" fontId="0" fillId="0" borderId="0" xfId="0" applyNumberFormat="1"/>
    <xf numFmtId="167" fontId="7" fillId="0" borderId="1" xfId="0" applyNumberFormat="1" applyFont="1" applyBorder="1" applyAlignment="1">
      <alignment horizontal="right" vertical="center" wrapText="1"/>
    </xf>
    <xf numFmtId="10" fontId="4" fillId="0" borderId="1" xfId="0" applyNumberFormat="1" applyFon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0" fontId="1" fillId="0" borderId="0" xfId="0" applyFont="1"/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showGridLines="0" tabSelected="1" zoomScale="145" zoomScaleNormal="145" workbookViewId="0">
      <pane ySplit="3" topLeftCell="A10" activePane="bottomLeft" state="frozen"/>
      <selection pane="bottomLeft" activeCell="D13" sqref="D13"/>
    </sheetView>
  </sheetViews>
  <sheetFormatPr defaultColWidth="8.7109375" defaultRowHeight="15" customHeight="1" x14ac:dyDescent="0.25"/>
  <cols>
    <col min="1" max="1" width="41" customWidth="1"/>
    <col min="2" max="3" width="18" customWidth="1"/>
    <col min="4" max="4" width="80" customWidth="1"/>
  </cols>
  <sheetData>
    <row r="1" spans="1:4" ht="18.75" customHeight="1" x14ac:dyDescent="0.3">
      <c r="A1" s="23" t="s">
        <v>12</v>
      </c>
      <c r="B1" s="24"/>
      <c r="C1" s="24"/>
      <c r="D1" s="24"/>
    </row>
    <row r="2" spans="1:4" x14ac:dyDescent="0.25"/>
    <row r="3" spans="1:4" x14ac:dyDescent="0.25">
      <c r="A3" s="2" t="s">
        <v>13</v>
      </c>
      <c r="B3" s="2" t="s">
        <v>14</v>
      </c>
      <c r="C3" s="2" t="s">
        <v>15</v>
      </c>
      <c r="D3" s="2" t="s">
        <v>16</v>
      </c>
    </row>
    <row r="4" spans="1:4" x14ac:dyDescent="0.25">
      <c r="A4" s="1" t="s">
        <v>17</v>
      </c>
      <c r="B4" s="3">
        <v>60000</v>
      </c>
      <c r="C4" s="1" t="s">
        <v>18</v>
      </c>
      <c r="D4" s="1" t="s">
        <v>19</v>
      </c>
    </row>
    <row r="5" spans="1:4" x14ac:dyDescent="0.25">
      <c r="A5" s="1" t="s">
        <v>20</v>
      </c>
      <c r="B5" s="3">
        <v>30000</v>
      </c>
      <c r="C5" s="1" t="s">
        <v>21</v>
      </c>
      <c r="D5" s="1"/>
    </row>
    <row r="6" spans="1:4" ht="30" customHeight="1" x14ac:dyDescent="0.25">
      <c r="A6" s="1" t="s">
        <v>22</v>
      </c>
      <c r="B6" s="18">
        <v>2</v>
      </c>
      <c r="C6" s="1" t="s">
        <v>23</v>
      </c>
      <c r="D6" s="1" t="s">
        <v>24</v>
      </c>
    </row>
    <row r="7" spans="1:4" x14ac:dyDescent="0.25">
      <c r="A7" s="1" t="s">
        <v>25</v>
      </c>
      <c r="B7" s="4">
        <v>3</v>
      </c>
      <c r="C7" s="1" t="s">
        <v>26</v>
      </c>
      <c r="D7" s="1" t="s">
        <v>27</v>
      </c>
    </row>
    <row r="8" spans="1:4" ht="30" customHeight="1" x14ac:dyDescent="0.25">
      <c r="A8" s="1" t="s">
        <v>28</v>
      </c>
      <c r="B8" s="3">
        <v>13000</v>
      </c>
      <c r="C8" s="1" t="s">
        <v>21</v>
      </c>
      <c r="D8" s="1" t="s">
        <v>29</v>
      </c>
    </row>
    <row r="9" spans="1:4" ht="30" customHeight="1" x14ac:dyDescent="0.25">
      <c r="A9" s="1" t="s">
        <v>30</v>
      </c>
      <c r="B9" s="3">
        <v>290</v>
      </c>
      <c r="C9" s="1" t="s">
        <v>21</v>
      </c>
      <c r="D9" s="1" t="s">
        <v>31</v>
      </c>
    </row>
    <row r="10" spans="1:4" ht="30" customHeight="1" x14ac:dyDescent="0.25">
      <c r="A10" s="1" t="s">
        <v>32</v>
      </c>
      <c r="B10" s="3">
        <v>240</v>
      </c>
      <c r="C10" s="1" t="s">
        <v>21</v>
      </c>
      <c r="D10" s="1"/>
    </row>
    <row r="11" spans="1:4" ht="30" customHeight="1" x14ac:dyDescent="0.25">
      <c r="A11" s="1" t="s">
        <v>33</v>
      </c>
      <c r="B11" s="3">
        <v>1250</v>
      </c>
      <c r="C11" s="1" t="s">
        <v>21</v>
      </c>
      <c r="D11" s="1" t="s">
        <v>34</v>
      </c>
    </row>
    <row r="12" spans="1:4" x14ac:dyDescent="0.25">
      <c r="A12" t="s">
        <v>35</v>
      </c>
      <c r="B12" s="19">
        <v>1400</v>
      </c>
      <c r="C12" t="s">
        <v>21</v>
      </c>
      <c r="D12" t="s">
        <v>36</v>
      </c>
    </row>
    <row r="13" spans="1:4" ht="30" customHeight="1" x14ac:dyDescent="0.25">
      <c r="A13" t="s">
        <v>37</v>
      </c>
      <c r="B13" s="19">
        <v>500</v>
      </c>
      <c r="C13" t="s">
        <v>21</v>
      </c>
      <c r="D13" t="s">
        <v>38</v>
      </c>
    </row>
    <row r="14" spans="1:4" x14ac:dyDescent="0.25">
      <c r="A14" t="s">
        <v>39</v>
      </c>
      <c r="B14" s="19">
        <v>950</v>
      </c>
      <c r="C14" t="s">
        <v>21</v>
      </c>
      <c r="D14" t="s">
        <v>40</v>
      </c>
    </row>
    <row r="15" spans="1:4" ht="30" customHeight="1" x14ac:dyDescent="0.25">
      <c r="A15" t="s">
        <v>41</v>
      </c>
      <c r="B15" s="19">
        <v>17630</v>
      </c>
      <c r="C15" t="s">
        <v>21</v>
      </c>
      <c r="D15" t="s">
        <v>42</v>
      </c>
    </row>
    <row r="16" spans="1:4" ht="30" customHeight="1" x14ac:dyDescent="0.25">
      <c r="A16" t="s">
        <v>43</v>
      </c>
      <c r="B16" s="19">
        <v>12370</v>
      </c>
      <c r="C16" t="s">
        <v>21</v>
      </c>
      <c r="D16" t="s">
        <v>44</v>
      </c>
    </row>
    <row r="17" spans="1:4" ht="30" customHeight="1" x14ac:dyDescent="0.25">
      <c r="A17" t="s">
        <v>45</v>
      </c>
      <c r="B17" s="19">
        <v>3000</v>
      </c>
      <c r="C17" t="s">
        <v>21</v>
      </c>
      <c r="D17" t="s">
        <v>46</v>
      </c>
    </row>
    <row r="18" spans="1:4" x14ac:dyDescent="0.25">
      <c r="A18" t="s">
        <v>47</v>
      </c>
      <c r="B18" s="19">
        <v>3000</v>
      </c>
      <c r="C18" t="s">
        <v>21</v>
      </c>
      <c r="D18" t="s">
        <v>48</v>
      </c>
    </row>
    <row r="19" spans="1:4" ht="30" customHeight="1" x14ac:dyDescent="0.25">
      <c r="A19" t="s">
        <v>49</v>
      </c>
      <c r="B19" s="19">
        <v>9370</v>
      </c>
      <c r="C19" t="s">
        <v>21</v>
      </c>
      <c r="D19" t="s">
        <v>50</v>
      </c>
    </row>
    <row r="20" spans="1:4" ht="30" customHeight="1" x14ac:dyDescent="0.25">
      <c r="A20" s="1" t="s">
        <v>51</v>
      </c>
      <c r="B20" s="4">
        <v>4</v>
      </c>
      <c r="C20" s="1" t="s">
        <v>52</v>
      </c>
      <c r="D20" s="1" t="s">
        <v>53</v>
      </c>
    </row>
    <row r="21" spans="1:4" ht="63" customHeight="1" x14ac:dyDescent="0.25">
      <c r="A21" s="1" t="s">
        <v>54</v>
      </c>
      <c r="B21" s="5">
        <v>0.32</v>
      </c>
      <c r="C21" s="1" t="s">
        <v>55</v>
      </c>
      <c r="D21" s="1" t="s">
        <v>56</v>
      </c>
    </row>
    <row r="22" spans="1:4" x14ac:dyDescent="0.25">
      <c r="A22" s="1" t="s">
        <v>57</v>
      </c>
      <c r="B22" s="9">
        <v>250000</v>
      </c>
      <c r="C22" s="1" t="s">
        <v>58</v>
      </c>
      <c r="D22" s="1" t="s">
        <v>59</v>
      </c>
    </row>
    <row r="23" spans="1:4" ht="30" customHeight="1" x14ac:dyDescent="0.25">
      <c r="A23" s="1" t="s">
        <v>60</v>
      </c>
      <c r="B23" s="3">
        <v>250000</v>
      </c>
      <c r="C23" s="1" t="s">
        <v>58</v>
      </c>
      <c r="D23" s="1" t="s">
        <v>61</v>
      </c>
    </row>
    <row r="24" spans="1:4" ht="30" x14ac:dyDescent="0.25">
      <c r="A24" s="1" t="s">
        <v>62</v>
      </c>
      <c r="B24" s="4">
        <v>5</v>
      </c>
      <c r="C24" s="1" t="s">
        <v>63</v>
      </c>
      <c r="D24" s="1" t="s">
        <v>64</v>
      </c>
    </row>
    <row r="25" spans="1:4" ht="30" x14ac:dyDescent="0.25">
      <c r="A25" s="1" t="s">
        <v>65</v>
      </c>
      <c r="B25" s="20">
        <f>-PMT(B32,B31,B23)</f>
        <v>5768.1018465472143</v>
      </c>
      <c r="C25" s="1" t="s">
        <v>66</v>
      </c>
      <c r="D25" s="1" t="s">
        <v>67</v>
      </c>
    </row>
    <row r="26" spans="1:4" ht="60" x14ac:dyDescent="0.25">
      <c r="A26" s="1" t="s">
        <v>68</v>
      </c>
      <c r="B26" s="10">
        <v>0.1</v>
      </c>
      <c r="C26" s="1" t="s">
        <v>55</v>
      </c>
      <c r="D26" s="1" t="s">
        <v>69</v>
      </c>
    </row>
    <row r="27" spans="1:4" x14ac:dyDescent="0.25">
      <c r="A27" s="1" t="s">
        <v>70</v>
      </c>
      <c r="B27" s="3">
        <v>250000</v>
      </c>
      <c r="C27" s="1" t="s">
        <v>58</v>
      </c>
      <c r="D27" s="1" t="s">
        <v>71</v>
      </c>
    </row>
    <row r="28" spans="1:4" ht="30" x14ac:dyDescent="0.25">
      <c r="A28" s="1" t="s">
        <v>72</v>
      </c>
      <c r="B28" s="4">
        <v>5</v>
      </c>
      <c r="C28" s="1" t="s">
        <v>63</v>
      </c>
      <c r="D28" s="1" t="s">
        <v>73</v>
      </c>
    </row>
    <row r="29" spans="1:4" x14ac:dyDescent="0.25">
      <c r="A29" s="1" t="s">
        <v>74</v>
      </c>
      <c r="B29" s="4">
        <v>4</v>
      </c>
      <c r="C29" s="1" t="s">
        <v>52</v>
      </c>
      <c r="D29" s="1" t="s">
        <v>75</v>
      </c>
    </row>
    <row r="30" spans="1:4" ht="30" customHeight="1" x14ac:dyDescent="0.25">
      <c r="A30" s="1" t="s">
        <v>76</v>
      </c>
      <c r="B30" s="4">
        <v>60</v>
      </c>
      <c r="C30" s="1" t="s">
        <v>26</v>
      </c>
      <c r="D30" s="1" t="s">
        <v>77</v>
      </c>
    </row>
    <row r="31" spans="1:4" x14ac:dyDescent="0.25">
      <c r="A31" s="1" t="s">
        <v>78</v>
      </c>
      <c r="B31" s="4">
        <v>54</v>
      </c>
      <c r="C31" s="1" t="s">
        <v>26</v>
      </c>
      <c r="D31" s="1" t="s">
        <v>79</v>
      </c>
    </row>
    <row r="32" spans="1:4" ht="30" customHeight="1" x14ac:dyDescent="0.25">
      <c r="A32" s="1" t="s">
        <v>80</v>
      </c>
      <c r="B32" s="21">
        <f>B26/12</f>
        <v>8.3333333333333332E-3</v>
      </c>
      <c r="C32" s="1" t="s">
        <v>81</v>
      </c>
      <c r="D32" s="1" t="s">
        <v>82</v>
      </c>
    </row>
    <row r="33" spans="1:4" ht="30" customHeight="1" x14ac:dyDescent="0.25">
      <c r="A33" s="1" t="s">
        <v>83</v>
      </c>
      <c r="B33" s="4">
        <v>5</v>
      </c>
      <c r="C33" s="1" t="s">
        <v>63</v>
      </c>
      <c r="D33" s="1" t="s">
        <v>84</v>
      </c>
    </row>
    <row r="34" spans="1:4" x14ac:dyDescent="0.25">
      <c r="A34" s="1" t="s">
        <v>85</v>
      </c>
      <c r="B34" s="3">
        <v>3000</v>
      </c>
      <c r="C34" s="1" t="s">
        <v>21</v>
      </c>
      <c r="D34" s="1" t="s">
        <v>86</v>
      </c>
    </row>
    <row r="35" spans="1:4" ht="30" x14ac:dyDescent="0.25">
      <c r="A35" s="1" t="s">
        <v>87</v>
      </c>
      <c r="B35" s="6">
        <v>1</v>
      </c>
      <c r="C35" s="1" t="s">
        <v>63</v>
      </c>
      <c r="D35" s="1" t="s">
        <v>88</v>
      </c>
    </row>
    <row r="36" spans="1:4" ht="30" x14ac:dyDescent="0.25">
      <c r="A36" s="1" t="s">
        <v>89</v>
      </c>
      <c r="B36" s="22">
        <v>8</v>
      </c>
      <c r="C36" s="1" t="s">
        <v>63</v>
      </c>
      <c r="D36" s="1" t="s">
        <v>88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defaultColWidth="8.7109375" defaultRowHeight="15" customHeight="1" x14ac:dyDescent="0.25"/>
  <cols>
    <col min="1" max="3" width="10" customWidth="1"/>
    <col min="4" max="11" width="24" customWidth="1"/>
    <col min="12" max="12" width="18" customWidth="1"/>
  </cols>
  <sheetData>
    <row r="1" spans="1:12" ht="17.25" customHeight="1" x14ac:dyDescent="0.3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31.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13" t="s">
        <v>8</v>
      </c>
      <c r="I2" s="2" t="s">
        <v>9</v>
      </c>
      <c r="J2" s="2" t="s">
        <v>10</v>
      </c>
      <c r="K2" s="13" t="s">
        <v>11</v>
      </c>
    </row>
    <row r="3" spans="1:12" x14ac:dyDescent="0.25">
      <c r="A3" s="7">
        <v>1</v>
      </c>
      <c r="B3" s="6">
        <v>1</v>
      </c>
      <c r="C3" s="6">
        <v>1</v>
      </c>
      <c r="D3" s="6">
        <v>0</v>
      </c>
      <c r="E3" s="6">
        <v>0</v>
      </c>
      <c r="F3" s="6">
        <v>0</v>
      </c>
      <c r="G3" s="6">
        <v>4</v>
      </c>
      <c r="H3" s="6">
        <v>4</v>
      </c>
      <c r="I3" s="6">
        <v>4</v>
      </c>
      <c r="J3" s="6">
        <v>0</v>
      </c>
      <c r="K3" s="6">
        <v>0</v>
      </c>
    </row>
    <row r="4" spans="1:12" x14ac:dyDescent="0.25">
      <c r="A4" s="7">
        <v>2</v>
      </c>
      <c r="B4" s="6">
        <v>1</v>
      </c>
      <c r="C4" s="6">
        <v>2</v>
      </c>
      <c r="D4" s="6">
        <v>0</v>
      </c>
      <c r="E4" s="6">
        <v>0</v>
      </c>
      <c r="F4" s="6">
        <v>0</v>
      </c>
      <c r="G4" s="6">
        <v>4</v>
      </c>
      <c r="H4" s="6">
        <v>4</v>
      </c>
      <c r="I4" s="6">
        <v>4</v>
      </c>
      <c r="J4" s="6">
        <v>0</v>
      </c>
      <c r="K4" s="6">
        <v>0</v>
      </c>
    </row>
    <row r="5" spans="1:12" x14ac:dyDescent="0.25">
      <c r="A5" s="7">
        <v>3</v>
      </c>
      <c r="B5" s="6">
        <v>1</v>
      </c>
      <c r="C5" s="6">
        <v>3</v>
      </c>
      <c r="D5" s="6">
        <v>0</v>
      </c>
      <c r="E5" s="6">
        <v>0</v>
      </c>
      <c r="F5" s="6">
        <v>0</v>
      </c>
      <c r="G5" s="6">
        <v>4</v>
      </c>
      <c r="H5" s="6">
        <v>4</v>
      </c>
      <c r="I5" s="6">
        <v>4</v>
      </c>
      <c r="J5" s="6">
        <v>0</v>
      </c>
      <c r="K5" s="6">
        <v>0</v>
      </c>
    </row>
    <row r="6" spans="1:12" x14ac:dyDescent="0.25">
      <c r="A6" s="7">
        <v>4</v>
      </c>
      <c r="B6" s="6">
        <v>1</v>
      </c>
      <c r="C6" s="6">
        <v>4</v>
      </c>
      <c r="D6" s="6">
        <v>0</v>
      </c>
      <c r="E6" s="6">
        <v>0</v>
      </c>
      <c r="F6" s="6">
        <v>0</v>
      </c>
      <c r="G6" s="6">
        <v>4</v>
      </c>
      <c r="H6" s="6">
        <v>4</v>
      </c>
      <c r="I6" s="6">
        <v>4</v>
      </c>
      <c r="J6" s="6">
        <v>0</v>
      </c>
      <c r="K6" s="6">
        <v>0</v>
      </c>
    </row>
    <row r="7" spans="1:12" x14ac:dyDescent="0.25">
      <c r="A7" s="7">
        <v>5</v>
      </c>
      <c r="B7" s="6">
        <v>1</v>
      </c>
      <c r="C7" s="6">
        <v>5</v>
      </c>
      <c r="D7" s="6">
        <v>9</v>
      </c>
      <c r="E7" s="6">
        <v>0</v>
      </c>
      <c r="F7" s="6">
        <v>9</v>
      </c>
      <c r="G7" s="6">
        <v>4</v>
      </c>
      <c r="H7" s="6">
        <v>13</v>
      </c>
      <c r="I7" s="6">
        <v>4</v>
      </c>
      <c r="J7" s="6">
        <v>0</v>
      </c>
      <c r="K7" s="6">
        <v>0</v>
      </c>
    </row>
    <row r="8" spans="1:12" x14ac:dyDescent="0.25">
      <c r="A8" s="7">
        <v>6</v>
      </c>
      <c r="B8" s="6">
        <v>1</v>
      </c>
      <c r="C8" s="6">
        <v>6</v>
      </c>
      <c r="D8" s="6">
        <v>0</v>
      </c>
      <c r="E8" s="6">
        <v>0</v>
      </c>
      <c r="F8" s="6">
        <v>9</v>
      </c>
      <c r="G8" s="6">
        <v>4</v>
      </c>
      <c r="H8" s="6">
        <v>13</v>
      </c>
      <c r="I8" s="6">
        <v>4</v>
      </c>
      <c r="J8" s="6">
        <v>0</v>
      </c>
      <c r="K8" s="6">
        <v>0</v>
      </c>
    </row>
    <row r="9" spans="1:12" x14ac:dyDescent="0.25">
      <c r="A9" s="7">
        <v>7</v>
      </c>
      <c r="B9" s="6">
        <v>1</v>
      </c>
      <c r="C9" s="6">
        <v>7</v>
      </c>
      <c r="D9" s="6">
        <v>0</v>
      </c>
      <c r="E9" s="6">
        <v>0</v>
      </c>
      <c r="F9" s="6">
        <v>9</v>
      </c>
      <c r="G9" s="6">
        <v>4</v>
      </c>
      <c r="H9" s="6">
        <v>13</v>
      </c>
      <c r="I9" s="6">
        <v>4</v>
      </c>
      <c r="J9" s="6">
        <v>0</v>
      </c>
      <c r="K9" s="6">
        <v>0</v>
      </c>
    </row>
    <row r="10" spans="1:12" x14ac:dyDescent="0.25">
      <c r="A10" s="7">
        <v>8</v>
      </c>
      <c r="B10" s="6">
        <v>1</v>
      </c>
      <c r="C10" s="6">
        <v>8</v>
      </c>
      <c r="D10" s="6">
        <v>0</v>
      </c>
      <c r="E10" s="6">
        <v>9</v>
      </c>
      <c r="F10" s="6">
        <v>0</v>
      </c>
      <c r="G10" s="6">
        <v>13</v>
      </c>
      <c r="H10" s="6">
        <v>13</v>
      </c>
      <c r="I10" s="6">
        <v>13</v>
      </c>
      <c r="J10" s="6">
        <v>0</v>
      </c>
      <c r="K10" s="6">
        <v>0</v>
      </c>
    </row>
    <row r="11" spans="1:12" x14ac:dyDescent="0.25">
      <c r="A11" s="7">
        <v>9</v>
      </c>
      <c r="B11" s="6">
        <v>1</v>
      </c>
      <c r="C11" s="6">
        <v>9</v>
      </c>
      <c r="D11" s="6">
        <v>0</v>
      </c>
      <c r="E11" s="6">
        <v>0</v>
      </c>
      <c r="F11" s="6">
        <v>0</v>
      </c>
      <c r="G11" s="6">
        <v>13</v>
      </c>
      <c r="H11" s="6">
        <v>13</v>
      </c>
      <c r="I11" s="6">
        <v>13</v>
      </c>
      <c r="J11" s="6">
        <v>0</v>
      </c>
      <c r="K11" s="6">
        <v>0</v>
      </c>
    </row>
    <row r="12" spans="1:12" x14ac:dyDescent="0.25">
      <c r="A12" s="7">
        <v>10</v>
      </c>
      <c r="B12" s="6">
        <v>1</v>
      </c>
      <c r="C12" s="6">
        <v>10</v>
      </c>
      <c r="D12" s="6">
        <v>4</v>
      </c>
      <c r="E12" s="6">
        <v>0</v>
      </c>
      <c r="F12" s="6">
        <v>4</v>
      </c>
      <c r="G12" s="6">
        <v>13</v>
      </c>
      <c r="H12" s="6">
        <v>17</v>
      </c>
      <c r="I12" s="6">
        <v>13</v>
      </c>
      <c r="J12" s="6">
        <v>0</v>
      </c>
      <c r="K12" s="6">
        <v>0</v>
      </c>
    </row>
    <row r="13" spans="1:12" x14ac:dyDescent="0.25">
      <c r="A13" s="7">
        <v>11</v>
      </c>
      <c r="B13" s="6">
        <v>1</v>
      </c>
      <c r="C13" s="6">
        <v>11</v>
      </c>
      <c r="D13" s="6">
        <v>0</v>
      </c>
      <c r="E13" s="6">
        <v>0</v>
      </c>
      <c r="F13" s="6">
        <v>4</v>
      </c>
      <c r="G13" s="6">
        <v>13</v>
      </c>
      <c r="H13" s="6">
        <v>17</v>
      </c>
      <c r="I13" s="6">
        <v>13</v>
      </c>
      <c r="J13" s="6">
        <v>0</v>
      </c>
      <c r="K13" s="6">
        <v>0</v>
      </c>
    </row>
    <row r="14" spans="1:12" x14ac:dyDescent="0.25">
      <c r="A14" s="7">
        <v>12</v>
      </c>
      <c r="B14" s="6">
        <v>1</v>
      </c>
      <c r="C14" s="6">
        <v>12</v>
      </c>
      <c r="D14" s="6">
        <v>0</v>
      </c>
      <c r="E14" s="6">
        <v>0</v>
      </c>
      <c r="F14" s="6">
        <v>4</v>
      </c>
      <c r="G14" s="6">
        <v>13</v>
      </c>
      <c r="H14" s="6">
        <v>17</v>
      </c>
      <c r="I14" s="6">
        <v>13</v>
      </c>
      <c r="J14" s="6">
        <v>0</v>
      </c>
      <c r="K14" s="6">
        <v>0</v>
      </c>
    </row>
    <row r="15" spans="1:12" x14ac:dyDescent="0.25">
      <c r="A15" s="7">
        <v>13</v>
      </c>
      <c r="B15" s="6">
        <v>2</v>
      </c>
      <c r="C15" s="6">
        <v>1</v>
      </c>
      <c r="D15" s="6">
        <v>4</v>
      </c>
      <c r="E15" s="6">
        <v>4</v>
      </c>
      <c r="F15" s="6">
        <v>4</v>
      </c>
      <c r="G15" s="6">
        <v>17</v>
      </c>
      <c r="H15" s="6">
        <v>21</v>
      </c>
      <c r="I15" s="6">
        <v>17</v>
      </c>
      <c r="J15" s="6">
        <v>0</v>
      </c>
      <c r="K15" s="6">
        <v>0</v>
      </c>
    </row>
    <row r="16" spans="1:12" x14ac:dyDescent="0.25">
      <c r="A16" s="7">
        <v>14</v>
      </c>
      <c r="B16" s="6">
        <v>2</v>
      </c>
      <c r="C16" s="6">
        <v>2</v>
      </c>
      <c r="D16" s="6">
        <v>0</v>
      </c>
      <c r="E16" s="6">
        <v>0</v>
      </c>
      <c r="F16" s="6">
        <v>4</v>
      </c>
      <c r="G16" s="6">
        <v>17</v>
      </c>
      <c r="H16" s="6">
        <v>21</v>
      </c>
      <c r="I16" s="6">
        <v>17</v>
      </c>
      <c r="J16" s="6">
        <v>0</v>
      </c>
      <c r="K16" s="6">
        <v>0</v>
      </c>
    </row>
    <row r="17" spans="1:11" x14ac:dyDescent="0.25">
      <c r="A17" s="7">
        <v>15</v>
      </c>
      <c r="B17" s="6">
        <v>2</v>
      </c>
      <c r="C17" s="6">
        <v>3</v>
      </c>
      <c r="D17" s="6">
        <v>0</v>
      </c>
      <c r="E17" s="6">
        <v>0</v>
      </c>
      <c r="F17" s="6">
        <v>4</v>
      </c>
      <c r="G17" s="6">
        <v>17</v>
      </c>
      <c r="H17" s="6">
        <v>21</v>
      </c>
      <c r="I17" s="6">
        <v>17</v>
      </c>
      <c r="J17" s="6">
        <v>0</v>
      </c>
      <c r="K17" s="6">
        <v>0</v>
      </c>
    </row>
    <row r="18" spans="1:11" x14ac:dyDescent="0.25">
      <c r="A18" s="7">
        <v>16</v>
      </c>
      <c r="B18" s="6">
        <v>2</v>
      </c>
      <c r="C18" s="6">
        <v>4</v>
      </c>
      <c r="D18" s="6">
        <v>4</v>
      </c>
      <c r="E18" s="6">
        <v>4</v>
      </c>
      <c r="F18" s="6">
        <v>4</v>
      </c>
      <c r="G18" s="6">
        <v>21</v>
      </c>
      <c r="H18" s="6">
        <v>25</v>
      </c>
      <c r="I18" s="6">
        <v>21</v>
      </c>
      <c r="J18" s="6">
        <v>0</v>
      </c>
      <c r="K18" s="6">
        <v>0</v>
      </c>
    </row>
    <row r="19" spans="1:11" x14ac:dyDescent="0.25">
      <c r="A19" s="7">
        <v>17</v>
      </c>
      <c r="B19" s="6">
        <v>2</v>
      </c>
      <c r="C19" s="6">
        <v>5</v>
      </c>
      <c r="D19" s="6">
        <v>0</v>
      </c>
      <c r="E19" s="6">
        <v>0</v>
      </c>
      <c r="F19" s="6">
        <v>4</v>
      </c>
      <c r="G19" s="6">
        <v>21</v>
      </c>
      <c r="H19" s="6">
        <v>25</v>
      </c>
      <c r="I19" s="6">
        <v>21</v>
      </c>
      <c r="J19" s="6">
        <v>0</v>
      </c>
      <c r="K19" s="6">
        <v>0</v>
      </c>
    </row>
    <row r="20" spans="1:11" x14ac:dyDescent="0.25">
      <c r="A20" s="7">
        <v>18</v>
      </c>
      <c r="B20" s="6">
        <v>2</v>
      </c>
      <c r="C20" s="6">
        <v>6</v>
      </c>
      <c r="D20" s="6">
        <v>4</v>
      </c>
      <c r="E20" s="6">
        <v>0</v>
      </c>
      <c r="F20" s="6">
        <v>8</v>
      </c>
      <c r="G20" s="6">
        <v>21</v>
      </c>
      <c r="H20" s="6">
        <v>29</v>
      </c>
      <c r="I20" s="6">
        <v>21</v>
      </c>
      <c r="J20" s="6">
        <v>0</v>
      </c>
      <c r="K20" s="6">
        <v>0</v>
      </c>
    </row>
    <row r="21" spans="1:11" x14ac:dyDescent="0.25">
      <c r="A21" s="7">
        <v>19</v>
      </c>
      <c r="B21" s="6">
        <v>2</v>
      </c>
      <c r="C21" s="6">
        <v>7</v>
      </c>
      <c r="D21" s="6">
        <v>0</v>
      </c>
      <c r="E21" s="6">
        <v>4</v>
      </c>
      <c r="F21" s="6">
        <v>4</v>
      </c>
      <c r="G21" s="6">
        <v>25</v>
      </c>
      <c r="H21" s="6">
        <v>29</v>
      </c>
      <c r="I21" s="6">
        <v>25</v>
      </c>
      <c r="J21" s="6">
        <v>0</v>
      </c>
      <c r="K21" s="6">
        <v>0</v>
      </c>
    </row>
    <row r="22" spans="1:11" x14ac:dyDescent="0.25">
      <c r="A22" s="7">
        <v>20</v>
      </c>
      <c r="B22" s="6">
        <v>2</v>
      </c>
      <c r="C22" s="6">
        <v>8</v>
      </c>
      <c r="D22" s="6">
        <v>0</v>
      </c>
      <c r="E22" s="6">
        <v>0</v>
      </c>
      <c r="F22" s="6">
        <v>4</v>
      </c>
      <c r="G22" s="6">
        <v>25</v>
      </c>
      <c r="H22" s="6">
        <v>29</v>
      </c>
      <c r="I22" s="6">
        <v>25</v>
      </c>
      <c r="J22" s="6">
        <v>0</v>
      </c>
      <c r="K22" s="6">
        <v>0</v>
      </c>
    </row>
    <row r="23" spans="1:11" x14ac:dyDescent="0.25">
      <c r="A23" s="7">
        <v>21</v>
      </c>
      <c r="B23" s="6">
        <v>2</v>
      </c>
      <c r="C23" s="6">
        <v>9</v>
      </c>
      <c r="D23" s="6">
        <v>4</v>
      </c>
      <c r="E23" s="6">
        <v>4</v>
      </c>
      <c r="F23" s="6">
        <v>4</v>
      </c>
      <c r="G23" s="6">
        <v>29</v>
      </c>
      <c r="H23" s="6">
        <v>33</v>
      </c>
      <c r="I23" s="6">
        <v>29</v>
      </c>
      <c r="J23" s="6">
        <v>0</v>
      </c>
      <c r="K23" s="6">
        <v>0</v>
      </c>
    </row>
    <row r="24" spans="1:11" x14ac:dyDescent="0.25">
      <c r="A24" s="7">
        <v>22</v>
      </c>
      <c r="B24" s="6">
        <v>2</v>
      </c>
      <c r="C24" s="6">
        <v>10</v>
      </c>
      <c r="D24" s="6">
        <v>0</v>
      </c>
      <c r="E24" s="6">
        <v>0</v>
      </c>
      <c r="F24" s="6">
        <v>4</v>
      </c>
      <c r="G24" s="6">
        <v>29</v>
      </c>
      <c r="H24" s="6">
        <v>33</v>
      </c>
      <c r="I24" s="6">
        <v>29</v>
      </c>
      <c r="J24" s="6">
        <v>0</v>
      </c>
      <c r="K24" s="6">
        <v>0</v>
      </c>
    </row>
    <row r="25" spans="1:11" x14ac:dyDescent="0.25">
      <c r="A25" s="7">
        <v>23</v>
      </c>
      <c r="B25" s="6">
        <v>2</v>
      </c>
      <c r="C25" s="6">
        <v>11</v>
      </c>
      <c r="D25" s="6">
        <v>4</v>
      </c>
      <c r="E25" s="6">
        <v>0</v>
      </c>
      <c r="F25" s="6">
        <v>8</v>
      </c>
      <c r="G25" s="6">
        <v>29</v>
      </c>
      <c r="H25" s="6">
        <v>37</v>
      </c>
      <c r="I25" s="6">
        <v>29</v>
      </c>
      <c r="J25" s="6">
        <v>0</v>
      </c>
      <c r="K25" s="6">
        <v>0</v>
      </c>
    </row>
    <row r="26" spans="1:11" x14ac:dyDescent="0.25">
      <c r="A26" s="7">
        <v>24</v>
      </c>
      <c r="B26" s="6">
        <v>2</v>
      </c>
      <c r="C26" s="6">
        <v>12</v>
      </c>
      <c r="D26" s="6">
        <v>0</v>
      </c>
      <c r="E26" s="6">
        <v>4</v>
      </c>
      <c r="F26" s="6">
        <v>4</v>
      </c>
      <c r="G26" s="6">
        <v>33</v>
      </c>
      <c r="H26" s="6">
        <v>37</v>
      </c>
      <c r="I26" s="6">
        <v>33</v>
      </c>
      <c r="J26" s="6">
        <v>0</v>
      </c>
      <c r="K26" s="6">
        <v>0</v>
      </c>
    </row>
    <row r="27" spans="1:11" x14ac:dyDescent="0.25">
      <c r="A27" s="7">
        <v>25</v>
      </c>
      <c r="B27" s="6">
        <v>3</v>
      </c>
      <c r="C27" s="6">
        <v>1</v>
      </c>
      <c r="D27" s="6">
        <v>0</v>
      </c>
      <c r="E27" s="6">
        <v>0</v>
      </c>
      <c r="F27" s="6">
        <v>4</v>
      </c>
      <c r="G27" s="6">
        <v>33</v>
      </c>
      <c r="H27" s="6">
        <v>37</v>
      </c>
      <c r="I27" s="6">
        <v>33</v>
      </c>
      <c r="J27" s="6">
        <v>0</v>
      </c>
      <c r="K27" s="6">
        <v>0</v>
      </c>
    </row>
    <row r="28" spans="1:11" x14ac:dyDescent="0.25">
      <c r="A28" s="7">
        <v>26</v>
      </c>
      <c r="B28" s="6">
        <v>3</v>
      </c>
      <c r="C28" s="6">
        <v>2</v>
      </c>
      <c r="D28" s="6">
        <v>5</v>
      </c>
      <c r="E28" s="6">
        <v>4</v>
      </c>
      <c r="F28" s="6">
        <v>5</v>
      </c>
      <c r="G28" s="6">
        <v>37</v>
      </c>
      <c r="H28" s="6">
        <v>42</v>
      </c>
      <c r="I28" s="6">
        <v>37</v>
      </c>
      <c r="J28" s="6">
        <v>0</v>
      </c>
      <c r="K28" s="6">
        <v>0</v>
      </c>
    </row>
    <row r="29" spans="1:11" x14ac:dyDescent="0.25">
      <c r="A29" s="7">
        <v>27</v>
      </c>
      <c r="B29" s="6">
        <v>3</v>
      </c>
      <c r="C29" s="6">
        <v>3</v>
      </c>
      <c r="D29" s="6">
        <v>0</v>
      </c>
      <c r="E29" s="6">
        <v>0</v>
      </c>
      <c r="F29" s="6">
        <v>5</v>
      </c>
      <c r="G29" s="6">
        <v>37</v>
      </c>
      <c r="H29" s="6">
        <v>42</v>
      </c>
      <c r="I29" s="6">
        <v>37</v>
      </c>
      <c r="J29" s="6">
        <v>0</v>
      </c>
      <c r="K29" s="6">
        <v>0</v>
      </c>
    </row>
    <row r="30" spans="1:11" x14ac:dyDescent="0.25">
      <c r="A30" s="7">
        <v>28</v>
      </c>
      <c r="B30" s="6">
        <v>3</v>
      </c>
      <c r="C30" s="6">
        <v>4</v>
      </c>
      <c r="D30" s="6">
        <v>4</v>
      </c>
      <c r="E30" s="6">
        <v>0</v>
      </c>
      <c r="F30" s="6">
        <v>9</v>
      </c>
      <c r="G30" s="6">
        <v>37</v>
      </c>
      <c r="H30" s="6">
        <v>46</v>
      </c>
      <c r="I30" s="6">
        <v>37</v>
      </c>
      <c r="J30" s="6">
        <v>0</v>
      </c>
      <c r="K30" s="6">
        <v>0</v>
      </c>
    </row>
    <row r="31" spans="1:11" x14ac:dyDescent="0.25">
      <c r="A31" s="7">
        <v>29</v>
      </c>
      <c r="B31" s="6">
        <v>3</v>
      </c>
      <c r="C31" s="6">
        <v>5</v>
      </c>
      <c r="D31" s="6">
        <v>0</v>
      </c>
      <c r="E31" s="6">
        <v>5</v>
      </c>
      <c r="F31" s="6">
        <v>4</v>
      </c>
      <c r="G31" s="6">
        <v>42</v>
      </c>
      <c r="H31" s="6">
        <v>46</v>
      </c>
      <c r="I31" s="6">
        <v>42</v>
      </c>
      <c r="J31" s="6">
        <v>0</v>
      </c>
      <c r="K31" s="6">
        <v>0</v>
      </c>
    </row>
    <row r="32" spans="1:11" x14ac:dyDescent="0.25">
      <c r="A32" s="7">
        <v>30</v>
      </c>
      <c r="B32" s="6">
        <v>3</v>
      </c>
      <c r="C32" s="6">
        <v>6</v>
      </c>
      <c r="D32" s="6">
        <v>4</v>
      </c>
      <c r="E32" s="6">
        <v>0</v>
      </c>
      <c r="F32" s="6">
        <v>8</v>
      </c>
      <c r="G32" s="6">
        <v>42</v>
      </c>
      <c r="H32" s="6">
        <v>50</v>
      </c>
      <c r="I32" s="6">
        <v>42</v>
      </c>
      <c r="J32" s="6">
        <v>0</v>
      </c>
      <c r="K32" s="6">
        <v>0</v>
      </c>
    </row>
    <row r="33" spans="1:11" x14ac:dyDescent="0.25">
      <c r="A33" s="7">
        <v>31</v>
      </c>
      <c r="B33" s="6">
        <v>3</v>
      </c>
      <c r="C33" s="6">
        <v>7</v>
      </c>
      <c r="D33" s="6">
        <v>0</v>
      </c>
      <c r="E33" s="6">
        <v>4</v>
      </c>
      <c r="F33" s="6">
        <v>4</v>
      </c>
      <c r="G33" s="6">
        <v>46</v>
      </c>
      <c r="H33" s="6">
        <v>50</v>
      </c>
      <c r="I33" s="6">
        <v>46</v>
      </c>
      <c r="J33" s="6">
        <v>0</v>
      </c>
      <c r="K33" s="6">
        <v>0</v>
      </c>
    </row>
    <row r="34" spans="1:11" x14ac:dyDescent="0.25">
      <c r="A34" s="7">
        <v>32</v>
      </c>
      <c r="B34" s="6">
        <v>3</v>
      </c>
      <c r="C34" s="6">
        <v>8</v>
      </c>
      <c r="D34" s="6">
        <v>4</v>
      </c>
      <c r="E34" s="6">
        <v>0</v>
      </c>
      <c r="F34" s="6">
        <v>8</v>
      </c>
      <c r="G34" s="6">
        <v>37</v>
      </c>
      <c r="H34" s="6">
        <v>45</v>
      </c>
      <c r="I34" s="6">
        <v>37</v>
      </c>
      <c r="J34" s="6">
        <v>9</v>
      </c>
      <c r="K34" s="6">
        <v>9</v>
      </c>
    </row>
    <row r="35" spans="1:11" x14ac:dyDescent="0.25">
      <c r="A35" s="7">
        <v>33</v>
      </c>
      <c r="B35" s="6">
        <v>3</v>
      </c>
      <c r="C35" s="6">
        <v>9</v>
      </c>
      <c r="D35" s="6">
        <v>0</v>
      </c>
      <c r="E35" s="6">
        <v>4</v>
      </c>
      <c r="F35" s="6">
        <v>4</v>
      </c>
      <c r="G35" s="6">
        <v>41</v>
      </c>
      <c r="H35" s="6">
        <v>45</v>
      </c>
      <c r="I35" s="6">
        <v>41</v>
      </c>
      <c r="J35" s="6">
        <v>0</v>
      </c>
      <c r="K35" s="6">
        <v>9</v>
      </c>
    </row>
    <row r="36" spans="1:11" x14ac:dyDescent="0.25">
      <c r="A36" s="7">
        <v>34</v>
      </c>
      <c r="B36" s="6">
        <v>3</v>
      </c>
      <c r="C36" s="6">
        <v>10</v>
      </c>
      <c r="D36" s="6">
        <v>4</v>
      </c>
      <c r="E36" s="6">
        <v>0</v>
      </c>
      <c r="F36" s="6">
        <v>8</v>
      </c>
      <c r="G36" s="6">
        <v>41</v>
      </c>
      <c r="H36" s="6">
        <v>49</v>
      </c>
      <c r="I36" s="6">
        <v>41</v>
      </c>
      <c r="J36" s="6">
        <v>0</v>
      </c>
      <c r="K36" s="6">
        <v>9</v>
      </c>
    </row>
    <row r="37" spans="1:11" x14ac:dyDescent="0.25">
      <c r="A37" s="7">
        <v>35</v>
      </c>
      <c r="B37" s="6">
        <v>3</v>
      </c>
      <c r="C37" s="6">
        <v>11</v>
      </c>
      <c r="D37" s="6">
        <v>0</v>
      </c>
      <c r="E37" s="6">
        <v>4</v>
      </c>
      <c r="F37" s="6">
        <v>4</v>
      </c>
      <c r="G37" s="6">
        <v>45</v>
      </c>
      <c r="H37" s="6">
        <v>49</v>
      </c>
      <c r="I37" s="6">
        <v>45</v>
      </c>
      <c r="J37" s="6">
        <v>0</v>
      </c>
      <c r="K37" s="6">
        <v>9</v>
      </c>
    </row>
    <row r="38" spans="1:11" x14ac:dyDescent="0.25">
      <c r="A38" s="7">
        <v>36</v>
      </c>
      <c r="B38" s="6">
        <v>3</v>
      </c>
      <c r="C38" s="6">
        <v>12</v>
      </c>
      <c r="D38" s="6">
        <v>4</v>
      </c>
      <c r="E38" s="6">
        <v>0</v>
      </c>
      <c r="F38" s="6">
        <v>8</v>
      </c>
      <c r="G38" s="6">
        <v>45</v>
      </c>
      <c r="H38" s="6">
        <v>53</v>
      </c>
      <c r="I38" s="6">
        <v>45</v>
      </c>
      <c r="J38" s="6">
        <v>0</v>
      </c>
      <c r="K38" s="6">
        <v>9</v>
      </c>
    </row>
    <row r="39" spans="1:11" x14ac:dyDescent="0.25">
      <c r="A39" s="7">
        <v>37</v>
      </c>
      <c r="B39" s="6">
        <v>4</v>
      </c>
      <c r="C39" s="6">
        <v>1</v>
      </c>
      <c r="D39" s="6">
        <v>0</v>
      </c>
      <c r="E39" s="6">
        <v>4</v>
      </c>
      <c r="F39" s="6">
        <v>4</v>
      </c>
      <c r="G39" s="6">
        <v>45</v>
      </c>
      <c r="H39" s="6">
        <v>49</v>
      </c>
      <c r="I39" s="6">
        <v>45</v>
      </c>
      <c r="J39" s="6">
        <v>4</v>
      </c>
      <c r="K39" s="6">
        <v>13</v>
      </c>
    </row>
    <row r="40" spans="1:11" x14ac:dyDescent="0.25">
      <c r="A40" s="7">
        <v>38</v>
      </c>
      <c r="B40" s="6">
        <v>4</v>
      </c>
      <c r="C40" s="6">
        <v>2</v>
      </c>
      <c r="D40" s="6">
        <v>4</v>
      </c>
      <c r="E40" s="6">
        <v>0</v>
      </c>
      <c r="F40" s="6">
        <v>8</v>
      </c>
      <c r="G40" s="6">
        <v>45</v>
      </c>
      <c r="H40" s="6">
        <v>53</v>
      </c>
      <c r="I40" s="6">
        <v>45</v>
      </c>
      <c r="J40" s="6">
        <v>0</v>
      </c>
      <c r="K40" s="6">
        <v>13</v>
      </c>
    </row>
    <row r="41" spans="1:11" x14ac:dyDescent="0.25">
      <c r="A41" s="7">
        <v>39</v>
      </c>
      <c r="B41" s="6">
        <v>4</v>
      </c>
      <c r="C41" s="6">
        <v>3</v>
      </c>
      <c r="D41" s="6">
        <v>0</v>
      </c>
      <c r="E41" s="6">
        <v>4</v>
      </c>
      <c r="F41" s="6">
        <v>4</v>
      </c>
      <c r="G41" s="6">
        <v>49</v>
      </c>
      <c r="H41" s="6">
        <v>53</v>
      </c>
      <c r="I41" s="6">
        <v>49</v>
      </c>
      <c r="J41" s="6">
        <v>0</v>
      </c>
      <c r="K41" s="6">
        <v>13</v>
      </c>
    </row>
    <row r="42" spans="1:11" x14ac:dyDescent="0.25">
      <c r="A42" s="7">
        <v>40</v>
      </c>
      <c r="B42" s="6">
        <v>4</v>
      </c>
      <c r="C42" s="6">
        <v>4</v>
      </c>
      <c r="D42" s="6">
        <v>5</v>
      </c>
      <c r="E42" s="6">
        <v>0</v>
      </c>
      <c r="F42" s="6">
        <v>9</v>
      </c>
      <c r="G42" s="6">
        <v>45</v>
      </c>
      <c r="H42" s="6">
        <v>54</v>
      </c>
      <c r="I42" s="6">
        <v>45</v>
      </c>
      <c r="J42" s="6">
        <v>4</v>
      </c>
      <c r="K42" s="6">
        <v>17</v>
      </c>
    </row>
    <row r="43" spans="1:11" x14ac:dyDescent="0.25">
      <c r="A43" s="7">
        <v>41</v>
      </c>
      <c r="B43" s="6">
        <v>4</v>
      </c>
      <c r="C43" s="6">
        <v>5</v>
      </c>
      <c r="D43" s="6">
        <v>0</v>
      </c>
      <c r="E43" s="6">
        <v>4</v>
      </c>
      <c r="F43" s="6">
        <v>5</v>
      </c>
      <c r="G43" s="6">
        <v>49</v>
      </c>
      <c r="H43" s="6">
        <v>54</v>
      </c>
      <c r="I43" s="6">
        <v>49</v>
      </c>
      <c r="J43" s="6">
        <v>0</v>
      </c>
      <c r="K43" s="6">
        <v>17</v>
      </c>
    </row>
    <row r="44" spans="1:11" x14ac:dyDescent="0.25">
      <c r="A44" s="7">
        <v>42</v>
      </c>
      <c r="B44" s="6">
        <v>4</v>
      </c>
      <c r="C44" s="6">
        <v>6</v>
      </c>
      <c r="D44" s="6">
        <v>5</v>
      </c>
      <c r="E44" s="6">
        <v>0</v>
      </c>
      <c r="F44" s="6">
        <v>10</v>
      </c>
      <c r="G44" s="6">
        <v>49</v>
      </c>
      <c r="H44" s="6">
        <v>59</v>
      </c>
      <c r="I44" s="6">
        <v>49</v>
      </c>
      <c r="J44" s="6">
        <v>0</v>
      </c>
      <c r="K44" s="6">
        <v>17</v>
      </c>
    </row>
    <row r="45" spans="1:11" x14ac:dyDescent="0.25">
      <c r="A45" s="7">
        <v>43</v>
      </c>
      <c r="B45" s="6">
        <v>4</v>
      </c>
      <c r="C45" s="6">
        <v>7</v>
      </c>
      <c r="D45" s="6">
        <v>0</v>
      </c>
      <c r="E45" s="6">
        <v>5</v>
      </c>
      <c r="F45" s="6">
        <v>5</v>
      </c>
      <c r="G45" s="6">
        <v>50</v>
      </c>
      <c r="H45" s="6">
        <v>55</v>
      </c>
      <c r="I45" s="6">
        <v>50</v>
      </c>
      <c r="J45" s="6">
        <v>4</v>
      </c>
      <c r="K45" s="6">
        <v>21</v>
      </c>
    </row>
    <row r="46" spans="1:11" x14ac:dyDescent="0.25">
      <c r="A46" s="7">
        <v>44</v>
      </c>
      <c r="B46" s="6">
        <v>4</v>
      </c>
      <c r="C46" s="6">
        <v>8</v>
      </c>
      <c r="D46" s="6">
        <v>5</v>
      </c>
      <c r="E46" s="6">
        <v>0</v>
      </c>
      <c r="F46" s="6">
        <v>10</v>
      </c>
      <c r="G46" s="6">
        <v>50</v>
      </c>
      <c r="H46" s="6">
        <v>60</v>
      </c>
      <c r="I46" s="6">
        <v>50</v>
      </c>
      <c r="J46" s="6">
        <v>0</v>
      </c>
      <c r="K46" s="6">
        <v>21</v>
      </c>
    </row>
    <row r="47" spans="1:11" x14ac:dyDescent="0.25">
      <c r="A47" s="7">
        <v>45</v>
      </c>
      <c r="B47" s="6">
        <v>4</v>
      </c>
      <c r="C47" s="6">
        <v>9</v>
      </c>
      <c r="D47" s="6">
        <v>0</v>
      </c>
      <c r="E47" s="6">
        <v>5</v>
      </c>
      <c r="F47" s="6">
        <v>5</v>
      </c>
      <c r="G47" s="6">
        <v>51</v>
      </c>
      <c r="H47" s="6">
        <v>56</v>
      </c>
      <c r="I47" s="6">
        <v>51</v>
      </c>
      <c r="J47" s="6">
        <v>4</v>
      </c>
      <c r="K47" s="6">
        <v>25</v>
      </c>
    </row>
    <row r="48" spans="1:11" x14ac:dyDescent="0.25">
      <c r="A48" s="7">
        <v>46</v>
      </c>
      <c r="B48" s="6">
        <v>4</v>
      </c>
      <c r="C48" s="6">
        <v>10</v>
      </c>
      <c r="D48" s="6">
        <v>4</v>
      </c>
      <c r="E48" s="6">
        <v>0</v>
      </c>
      <c r="F48" s="6">
        <v>9</v>
      </c>
      <c r="G48" s="6">
        <v>51</v>
      </c>
      <c r="H48" s="6">
        <v>60</v>
      </c>
      <c r="I48" s="6">
        <v>51</v>
      </c>
      <c r="J48" s="6">
        <v>0</v>
      </c>
      <c r="K48" s="6">
        <v>25</v>
      </c>
    </row>
    <row r="49" spans="1:11" x14ac:dyDescent="0.25">
      <c r="A49" s="7">
        <v>47</v>
      </c>
      <c r="B49" s="6">
        <v>4</v>
      </c>
      <c r="C49" s="6">
        <v>11</v>
      </c>
      <c r="D49" s="6">
        <v>0</v>
      </c>
      <c r="E49" s="6">
        <v>5</v>
      </c>
      <c r="F49" s="6">
        <v>4</v>
      </c>
      <c r="G49" s="6">
        <v>56</v>
      </c>
      <c r="H49" s="6">
        <v>60</v>
      </c>
      <c r="I49" s="6">
        <v>56</v>
      </c>
      <c r="J49" s="6">
        <v>0</v>
      </c>
      <c r="K49" s="6">
        <v>25</v>
      </c>
    </row>
    <row r="50" spans="1:11" x14ac:dyDescent="0.25">
      <c r="A50" s="7">
        <v>48</v>
      </c>
      <c r="B50" s="6">
        <v>4</v>
      </c>
      <c r="C50" s="6">
        <v>12</v>
      </c>
      <c r="D50" s="6">
        <v>6</v>
      </c>
      <c r="E50" s="6">
        <v>0</v>
      </c>
      <c r="F50" s="6">
        <v>10</v>
      </c>
      <c r="G50" s="6">
        <v>52</v>
      </c>
      <c r="H50" s="6">
        <v>62</v>
      </c>
      <c r="I50" s="6">
        <v>52</v>
      </c>
      <c r="J50" s="6">
        <v>4</v>
      </c>
      <c r="K50" s="6">
        <v>29</v>
      </c>
    </row>
    <row r="51" spans="1:11" x14ac:dyDescent="0.25">
      <c r="A51" s="7">
        <v>49</v>
      </c>
      <c r="B51" s="6">
        <v>5</v>
      </c>
      <c r="C51" s="6">
        <v>1</v>
      </c>
      <c r="D51" s="6">
        <v>0</v>
      </c>
      <c r="E51" s="6">
        <v>4</v>
      </c>
      <c r="F51" s="6">
        <v>6</v>
      </c>
      <c r="G51" s="6">
        <v>56</v>
      </c>
      <c r="H51" s="6">
        <v>62</v>
      </c>
      <c r="I51" s="6">
        <v>56</v>
      </c>
      <c r="J51" s="6">
        <v>0</v>
      </c>
      <c r="K51" s="6">
        <v>29</v>
      </c>
    </row>
    <row r="52" spans="1:11" x14ac:dyDescent="0.25">
      <c r="A52" s="7">
        <v>50</v>
      </c>
      <c r="B52" s="6">
        <v>5</v>
      </c>
      <c r="C52" s="6">
        <v>2</v>
      </c>
      <c r="D52" s="6">
        <v>5</v>
      </c>
      <c r="E52" s="6">
        <v>0</v>
      </c>
      <c r="F52" s="6">
        <v>11</v>
      </c>
      <c r="G52" s="6">
        <v>52</v>
      </c>
      <c r="H52" s="6">
        <v>63</v>
      </c>
      <c r="I52" s="6">
        <v>52</v>
      </c>
      <c r="J52" s="6">
        <v>4</v>
      </c>
      <c r="K52" s="6">
        <v>33</v>
      </c>
    </row>
    <row r="53" spans="1:11" x14ac:dyDescent="0.25">
      <c r="A53" s="7">
        <v>51</v>
      </c>
      <c r="B53" s="6">
        <v>5</v>
      </c>
      <c r="C53" s="6">
        <v>3</v>
      </c>
      <c r="D53" s="6">
        <v>0</v>
      </c>
      <c r="E53" s="6">
        <v>6</v>
      </c>
      <c r="F53" s="6">
        <v>5</v>
      </c>
      <c r="G53" s="6">
        <v>58</v>
      </c>
      <c r="H53" s="6">
        <v>63</v>
      </c>
      <c r="I53" s="6">
        <v>58</v>
      </c>
      <c r="J53" s="6">
        <v>0</v>
      </c>
      <c r="K53" s="6">
        <v>33</v>
      </c>
    </row>
    <row r="54" spans="1:11" x14ac:dyDescent="0.25">
      <c r="A54" s="7">
        <v>52</v>
      </c>
      <c r="B54" s="6">
        <v>5</v>
      </c>
      <c r="C54" s="6">
        <v>4</v>
      </c>
      <c r="D54" s="6">
        <v>5</v>
      </c>
      <c r="E54" s="6">
        <v>0</v>
      </c>
      <c r="F54" s="6">
        <v>10</v>
      </c>
      <c r="G54" s="6">
        <v>58</v>
      </c>
      <c r="H54" s="6">
        <v>68</v>
      </c>
      <c r="I54" s="6">
        <v>58</v>
      </c>
      <c r="J54" s="6">
        <v>0</v>
      </c>
      <c r="K54" s="6">
        <v>33</v>
      </c>
    </row>
    <row r="55" spans="1:11" x14ac:dyDescent="0.25">
      <c r="A55" s="7">
        <v>53</v>
      </c>
      <c r="B55" s="6">
        <v>5</v>
      </c>
      <c r="C55" s="6">
        <v>5</v>
      </c>
      <c r="D55" s="6">
        <v>0</v>
      </c>
      <c r="E55" s="6">
        <v>5</v>
      </c>
      <c r="F55" s="6">
        <v>5</v>
      </c>
      <c r="G55" s="6">
        <v>58</v>
      </c>
      <c r="H55" s="6">
        <v>63</v>
      </c>
      <c r="I55" s="6">
        <v>58</v>
      </c>
      <c r="J55" s="6">
        <v>5</v>
      </c>
      <c r="K55" s="6">
        <v>38</v>
      </c>
    </row>
    <row r="56" spans="1:11" x14ac:dyDescent="0.25">
      <c r="A56" s="7">
        <v>54</v>
      </c>
      <c r="B56" s="6">
        <v>5</v>
      </c>
      <c r="C56" s="6">
        <v>6</v>
      </c>
      <c r="D56" s="6">
        <v>6</v>
      </c>
      <c r="E56" s="6">
        <v>0</v>
      </c>
      <c r="F56" s="6">
        <v>11</v>
      </c>
      <c r="G56" s="6">
        <v>58</v>
      </c>
      <c r="H56" s="6">
        <v>69</v>
      </c>
      <c r="I56" s="6">
        <v>58</v>
      </c>
      <c r="J56" s="6">
        <v>0</v>
      </c>
      <c r="K56" s="6">
        <v>38</v>
      </c>
    </row>
    <row r="57" spans="1:11" x14ac:dyDescent="0.25">
      <c r="A57" s="7">
        <v>55</v>
      </c>
      <c r="B57" s="6">
        <v>5</v>
      </c>
      <c r="C57" s="6">
        <v>7</v>
      </c>
      <c r="D57" s="6">
        <v>0</v>
      </c>
      <c r="E57" s="6">
        <v>5</v>
      </c>
      <c r="F57" s="6">
        <v>6</v>
      </c>
      <c r="G57" s="6">
        <v>59</v>
      </c>
      <c r="H57" s="6">
        <v>65</v>
      </c>
      <c r="I57" s="6">
        <v>59</v>
      </c>
      <c r="J57" s="6">
        <v>4</v>
      </c>
      <c r="K57" s="6">
        <v>42</v>
      </c>
    </row>
    <row r="58" spans="1:11" x14ac:dyDescent="0.25">
      <c r="A58" s="7">
        <v>56</v>
      </c>
      <c r="B58" s="6">
        <v>5</v>
      </c>
      <c r="C58" s="6">
        <v>8</v>
      </c>
      <c r="D58" s="6">
        <v>6</v>
      </c>
      <c r="E58" s="6">
        <v>0</v>
      </c>
      <c r="F58" s="6">
        <v>12</v>
      </c>
      <c r="G58" s="6">
        <v>59</v>
      </c>
      <c r="H58" s="6">
        <v>71</v>
      </c>
      <c r="I58" s="6">
        <v>59</v>
      </c>
      <c r="J58" s="6">
        <v>0</v>
      </c>
      <c r="K58" s="6">
        <v>42</v>
      </c>
    </row>
    <row r="59" spans="1:11" x14ac:dyDescent="0.25">
      <c r="A59" s="7">
        <v>57</v>
      </c>
      <c r="B59" s="6">
        <v>5</v>
      </c>
      <c r="C59" s="6">
        <v>9</v>
      </c>
      <c r="D59" s="6">
        <v>0</v>
      </c>
      <c r="E59" s="6">
        <v>6</v>
      </c>
      <c r="F59" s="6">
        <v>6</v>
      </c>
      <c r="G59" s="6">
        <v>61</v>
      </c>
      <c r="H59" s="6">
        <v>67</v>
      </c>
      <c r="I59" s="6">
        <v>61</v>
      </c>
      <c r="J59" s="6">
        <v>4</v>
      </c>
      <c r="K59" s="6">
        <v>46</v>
      </c>
    </row>
    <row r="60" spans="1:11" x14ac:dyDescent="0.25">
      <c r="A60" s="7">
        <v>58</v>
      </c>
      <c r="B60" s="6">
        <v>5</v>
      </c>
      <c r="C60" s="6">
        <v>10</v>
      </c>
      <c r="D60" s="6">
        <v>5</v>
      </c>
      <c r="E60" s="6">
        <v>0</v>
      </c>
      <c r="F60" s="6">
        <v>11</v>
      </c>
      <c r="G60" s="6">
        <v>61</v>
      </c>
      <c r="H60" s="6">
        <v>72</v>
      </c>
      <c r="I60" s="6">
        <v>61</v>
      </c>
      <c r="J60" s="6">
        <v>0</v>
      </c>
      <c r="K60" s="6">
        <v>46</v>
      </c>
    </row>
    <row r="61" spans="1:11" x14ac:dyDescent="0.25">
      <c r="A61" s="7">
        <v>59</v>
      </c>
      <c r="B61" s="6">
        <v>5</v>
      </c>
      <c r="C61" s="6">
        <v>11</v>
      </c>
      <c r="D61" s="6">
        <v>0</v>
      </c>
      <c r="E61" s="6">
        <v>6</v>
      </c>
      <c r="F61" s="6">
        <v>5</v>
      </c>
      <c r="G61" s="6">
        <v>63</v>
      </c>
      <c r="H61" s="6">
        <v>68</v>
      </c>
      <c r="I61" s="6">
        <v>63</v>
      </c>
      <c r="J61" s="6">
        <v>4</v>
      </c>
      <c r="K61" s="6">
        <v>50</v>
      </c>
    </row>
    <row r="62" spans="1:11" x14ac:dyDescent="0.25">
      <c r="A62" s="7">
        <v>60</v>
      </c>
      <c r="B62" s="6">
        <v>5</v>
      </c>
      <c r="C62" s="6">
        <v>12</v>
      </c>
      <c r="D62" s="6">
        <v>6</v>
      </c>
      <c r="E62" s="6">
        <v>0</v>
      </c>
      <c r="F62" s="6">
        <v>11</v>
      </c>
      <c r="G62" s="6">
        <v>63</v>
      </c>
      <c r="H62" s="6">
        <v>74</v>
      </c>
      <c r="I62" s="6">
        <v>63</v>
      </c>
      <c r="J62" s="6">
        <v>0</v>
      </c>
      <c r="K62" s="6">
        <v>50</v>
      </c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defaultColWidth="8.7109375" defaultRowHeight="15" customHeight="1" x14ac:dyDescent="0.25"/>
  <cols>
    <col min="1" max="1" width="10" customWidth="1"/>
    <col min="2" max="16" width="22" customWidth="1"/>
    <col min="17" max="17" width="14" customWidth="1"/>
    <col min="18" max="18" width="11.28515625" bestFit="1" customWidth="1"/>
    <col min="19" max="19" width="10.85546875" bestFit="1" customWidth="1"/>
  </cols>
  <sheetData>
    <row r="1" spans="1:19" ht="17.25" customHeight="1" x14ac:dyDescent="0.3">
      <c r="A1" s="23" t="s">
        <v>90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9" ht="31.5" customHeight="1" x14ac:dyDescent="0.25">
      <c r="A2" s="2" t="s">
        <v>1</v>
      </c>
      <c r="B2" s="2" t="s">
        <v>91</v>
      </c>
      <c r="C2" s="2" t="s">
        <v>92</v>
      </c>
      <c r="D2" s="13" t="s">
        <v>93</v>
      </c>
      <c r="E2" s="2" t="s">
        <v>94</v>
      </c>
      <c r="F2" s="2" t="s">
        <v>95</v>
      </c>
      <c r="G2" s="2" t="s">
        <v>96</v>
      </c>
      <c r="H2" s="2" t="s">
        <v>97</v>
      </c>
      <c r="I2" s="2" t="s">
        <v>98</v>
      </c>
      <c r="J2" s="2" t="s">
        <v>99</v>
      </c>
      <c r="K2" s="2" t="s">
        <v>100</v>
      </c>
      <c r="L2" s="2" t="s">
        <v>101</v>
      </c>
      <c r="M2" s="2" t="s">
        <v>102</v>
      </c>
      <c r="N2" s="2" t="s">
        <v>103</v>
      </c>
      <c r="O2" s="2" t="s">
        <v>104</v>
      </c>
      <c r="P2" s="2" t="s">
        <v>105</v>
      </c>
    </row>
    <row r="3" spans="1:19" x14ac:dyDescent="0.25">
      <c r="A3" s="7">
        <v>1</v>
      </c>
      <c r="B3" s="8">
        <v>0</v>
      </c>
      <c r="C3" s="8">
        <v>0</v>
      </c>
      <c r="D3" s="8">
        <v>120000</v>
      </c>
      <c r="E3" s="8">
        <v>82520</v>
      </c>
      <c r="F3" s="8">
        <v>0</v>
      </c>
      <c r="G3" s="8">
        <v>0</v>
      </c>
      <c r="H3" s="8">
        <v>11993.6</v>
      </c>
      <c r="I3" s="8">
        <v>0</v>
      </c>
      <c r="J3" s="8">
        <v>25486.400000000001</v>
      </c>
      <c r="K3" s="8">
        <v>0</v>
      </c>
      <c r="L3" s="8">
        <v>25486.400000000001</v>
      </c>
      <c r="M3" s="8">
        <v>0</v>
      </c>
      <c r="N3" s="8">
        <f t="shared" ref="N3:N34" si="0">$M3+$L3</f>
        <v>25486.400000000001</v>
      </c>
      <c r="O3" s="8">
        <v>0</v>
      </c>
      <c r="P3" s="8">
        <f t="shared" ref="P3:P34" si="1">O3+C3-G3</f>
        <v>0</v>
      </c>
      <c r="Q3" s="12"/>
      <c r="R3" s="12"/>
      <c r="S3" s="12"/>
    </row>
    <row r="4" spans="1:19" x14ac:dyDescent="0.25">
      <c r="A4" s="7">
        <v>2</v>
      </c>
      <c r="B4" s="8">
        <v>0</v>
      </c>
      <c r="C4" s="8">
        <v>0</v>
      </c>
      <c r="D4" s="8">
        <v>120000</v>
      </c>
      <c r="E4" s="8">
        <v>82520</v>
      </c>
      <c r="F4" s="8">
        <v>0</v>
      </c>
      <c r="G4" s="8">
        <v>0</v>
      </c>
      <c r="H4" s="8">
        <v>11993.6</v>
      </c>
      <c r="I4" s="8">
        <v>0</v>
      </c>
      <c r="J4" s="8">
        <v>25486.400000000001</v>
      </c>
      <c r="K4" s="8">
        <v>0</v>
      </c>
      <c r="L4" s="8">
        <v>25486.400000000001</v>
      </c>
      <c r="M4" s="8">
        <f t="shared" ref="M4:M35" si="2">$N3</f>
        <v>25486.400000000001</v>
      </c>
      <c r="N4" s="8">
        <f t="shared" si="0"/>
        <v>50972.800000000003</v>
      </c>
      <c r="O4" s="8">
        <f t="shared" ref="O4:O35" si="3">P3</f>
        <v>0</v>
      </c>
      <c r="P4" s="8">
        <f t="shared" si="1"/>
        <v>0</v>
      </c>
      <c r="Q4" s="12"/>
      <c r="R4" s="12"/>
      <c r="S4" s="12"/>
    </row>
    <row r="5" spans="1:19" x14ac:dyDescent="0.25">
      <c r="A5" s="7">
        <v>3</v>
      </c>
      <c r="B5" s="8">
        <v>0</v>
      </c>
      <c r="C5" s="8">
        <v>0</v>
      </c>
      <c r="D5" s="8">
        <v>120000</v>
      </c>
      <c r="E5" s="8">
        <v>82520</v>
      </c>
      <c r="F5" s="8">
        <v>0</v>
      </c>
      <c r="G5" s="8">
        <v>0</v>
      </c>
      <c r="H5" s="8">
        <v>11993.6</v>
      </c>
      <c r="I5" s="8">
        <v>0</v>
      </c>
      <c r="J5" s="8">
        <v>25486.400000000001</v>
      </c>
      <c r="K5" s="8">
        <v>0</v>
      </c>
      <c r="L5" s="8">
        <v>25486.400000000001</v>
      </c>
      <c r="M5" s="8">
        <f t="shared" si="2"/>
        <v>50972.800000000003</v>
      </c>
      <c r="N5" s="8">
        <f t="shared" si="0"/>
        <v>76459.200000000012</v>
      </c>
      <c r="O5" s="8">
        <f t="shared" si="3"/>
        <v>0</v>
      </c>
      <c r="P5" s="8">
        <f t="shared" si="1"/>
        <v>0</v>
      </c>
      <c r="Q5" s="12"/>
      <c r="S5" s="12"/>
    </row>
    <row r="6" spans="1:19" x14ac:dyDescent="0.25">
      <c r="A6" s="7">
        <v>4</v>
      </c>
      <c r="B6" s="8">
        <v>0</v>
      </c>
      <c r="C6" s="8">
        <v>0</v>
      </c>
      <c r="D6" s="8">
        <v>120000</v>
      </c>
      <c r="E6" s="8">
        <v>82520</v>
      </c>
      <c r="F6" s="8">
        <v>0</v>
      </c>
      <c r="G6" s="8">
        <v>0</v>
      </c>
      <c r="H6" s="8">
        <v>11993.6</v>
      </c>
      <c r="I6" s="8">
        <v>0</v>
      </c>
      <c r="J6" s="8">
        <v>25486.400000000001</v>
      </c>
      <c r="K6" s="8">
        <v>0</v>
      </c>
      <c r="L6" s="8">
        <v>25486.400000000001</v>
      </c>
      <c r="M6" s="8">
        <f t="shared" si="2"/>
        <v>76459.200000000012</v>
      </c>
      <c r="N6" s="8">
        <f t="shared" si="0"/>
        <v>101945.60000000001</v>
      </c>
      <c r="O6" s="8">
        <f t="shared" si="3"/>
        <v>0</v>
      </c>
      <c r="P6" s="8">
        <f t="shared" si="1"/>
        <v>0</v>
      </c>
      <c r="Q6" s="12"/>
      <c r="S6" s="12"/>
    </row>
    <row r="7" spans="1:19" x14ac:dyDescent="0.25">
      <c r="A7" s="7">
        <v>5</v>
      </c>
      <c r="B7" s="8">
        <v>250000</v>
      </c>
      <c r="C7" s="8">
        <v>250000</v>
      </c>
      <c r="D7" s="8">
        <v>620000</v>
      </c>
      <c r="E7" s="8">
        <v>82520</v>
      </c>
      <c r="F7" s="8">
        <v>2083.33</v>
      </c>
      <c r="G7" s="8">
        <v>0</v>
      </c>
      <c r="H7" s="8">
        <v>11993.6</v>
      </c>
      <c r="I7" s="8">
        <v>0</v>
      </c>
      <c r="J7" s="8">
        <v>523403.07</v>
      </c>
      <c r="K7" s="8">
        <v>540000</v>
      </c>
      <c r="L7" s="8">
        <v>-16596.93</v>
      </c>
      <c r="M7" s="8">
        <f t="shared" si="2"/>
        <v>101945.60000000001</v>
      </c>
      <c r="N7" s="8">
        <f t="shared" si="0"/>
        <v>85348.670000000013</v>
      </c>
      <c r="O7" s="8">
        <f t="shared" si="3"/>
        <v>0</v>
      </c>
      <c r="P7" s="8">
        <f t="shared" si="1"/>
        <v>250000</v>
      </c>
      <c r="Q7" s="12"/>
      <c r="S7" s="12"/>
    </row>
    <row r="8" spans="1:19" x14ac:dyDescent="0.25">
      <c r="A8" s="7">
        <v>6</v>
      </c>
      <c r="B8" s="8">
        <v>0</v>
      </c>
      <c r="C8" s="8">
        <v>0</v>
      </c>
      <c r="D8" s="8">
        <v>120000</v>
      </c>
      <c r="E8" s="8">
        <v>82520</v>
      </c>
      <c r="F8" s="8">
        <v>2083.33</v>
      </c>
      <c r="G8" s="8">
        <v>0</v>
      </c>
      <c r="H8" s="8">
        <v>11993.6</v>
      </c>
      <c r="I8" s="8">
        <v>0</v>
      </c>
      <c r="J8" s="8">
        <v>23403.07</v>
      </c>
      <c r="K8" s="8">
        <v>0</v>
      </c>
      <c r="L8" s="8">
        <v>23403.07</v>
      </c>
      <c r="M8" s="8">
        <f t="shared" si="2"/>
        <v>85348.670000000013</v>
      </c>
      <c r="N8" s="8">
        <f t="shared" si="0"/>
        <v>108751.74000000002</v>
      </c>
      <c r="O8" s="8">
        <f t="shared" si="3"/>
        <v>250000</v>
      </c>
      <c r="P8" s="8">
        <f t="shared" si="1"/>
        <v>250000</v>
      </c>
      <c r="S8" s="12"/>
    </row>
    <row r="9" spans="1:19" x14ac:dyDescent="0.25">
      <c r="A9" s="7">
        <v>7</v>
      </c>
      <c r="B9" s="8">
        <v>0</v>
      </c>
      <c r="C9" s="8">
        <v>0</v>
      </c>
      <c r="D9" s="8">
        <v>120000</v>
      </c>
      <c r="E9" s="8">
        <v>82520</v>
      </c>
      <c r="F9" s="8">
        <v>2083.33</v>
      </c>
      <c r="G9" s="8">
        <v>0</v>
      </c>
      <c r="H9" s="8">
        <v>11993.6</v>
      </c>
      <c r="I9" s="8">
        <v>0</v>
      </c>
      <c r="J9" s="8">
        <v>23403.07</v>
      </c>
      <c r="K9" s="8">
        <v>0</v>
      </c>
      <c r="L9" s="8">
        <v>23403.07</v>
      </c>
      <c r="M9" s="8">
        <f t="shared" si="2"/>
        <v>108751.74000000002</v>
      </c>
      <c r="N9" s="8">
        <f t="shared" si="0"/>
        <v>132154.81000000003</v>
      </c>
      <c r="O9" s="8">
        <f t="shared" si="3"/>
        <v>250000</v>
      </c>
      <c r="P9" s="8">
        <f t="shared" si="1"/>
        <v>250000</v>
      </c>
      <c r="S9" s="12"/>
    </row>
    <row r="10" spans="1:19" x14ac:dyDescent="0.25">
      <c r="A10" s="7">
        <v>8</v>
      </c>
      <c r="B10" s="8">
        <v>0</v>
      </c>
      <c r="C10" s="8">
        <v>0</v>
      </c>
      <c r="D10" s="8">
        <v>390000</v>
      </c>
      <c r="E10" s="8">
        <v>268190</v>
      </c>
      <c r="F10" s="8">
        <v>2083.33</v>
      </c>
      <c r="G10" s="8">
        <v>0</v>
      </c>
      <c r="H10" s="8">
        <v>38979.199999999997</v>
      </c>
      <c r="I10" s="8">
        <v>0</v>
      </c>
      <c r="J10" s="8">
        <v>80747.47</v>
      </c>
      <c r="K10" s="8">
        <v>0</v>
      </c>
      <c r="L10" s="8">
        <v>80747.47</v>
      </c>
      <c r="M10" s="8">
        <f t="shared" si="2"/>
        <v>132154.81000000003</v>
      </c>
      <c r="N10" s="8">
        <f t="shared" si="0"/>
        <v>212902.28000000003</v>
      </c>
      <c r="O10" s="8">
        <f t="shared" si="3"/>
        <v>250000</v>
      </c>
      <c r="P10" s="8">
        <f t="shared" si="1"/>
        <v>250000</v>
      </c>
      <c r="S10" s="12"/>
    </row>
    <row r="11" spans="1:19" x14ac:dyDescent="0.25">
      <c r="A11" s="7">
        <v>9</v>
      </c>
      <c r="B11" s="8">
        <v>0</v>
      </c>
      <c r="C11" s="8">
        <v>0</v>
      </c>
      <c r="D11" s="8">
        <v>390000</v>
      </c>
      <c r="E11" s="8">
        <v>268190</v>
      </c>
      <c r="F11" s="8">
        <v>2083.33</v>
      </c>
      <c r="G11" s="8">
        <v>0</v>
      </c>
      <c r="H11" s="8">
        <v>38979.199999999997</v>
      </c>
      <c r="I11" s="8">
        <v>0</v>
      </c>
      <c r="J11" s="8">
        <v>80747.47</v>
      </c>
      <c r="K11" s="8">
        <v>0</v>
      </c>
      <c r="L11" s="8">
        <v>80747.47</v>
      </c>
      <c r="M11" s="8">
        <f t="shared" si="2"/>
        <v>212902.28000000003</v>
      </c>
      <c r="N11" s="8">
        <f t="shared" si="0"/>
        <v>293649.75</v>
      </c>
      <c r="O11" s="8">
        <f t="shared" si="3"/>
        <v>250000</v>
      </c>
      <c r="P11" s="8">
        <f t="shared" si="1"/>
        <v>250000</v>
      </c>
      <c r="S11" s="12"/>
    </row>
    <row r="12" spans="1:19" x14ac:dyDescent="0.25">
      <c r="A12" s="7">
        <v>10</v>
      </c>
      <c r="B12" s="8">
        <v>0</v>
      </c>
      <c r="C12" s="8">
        <v>0</v>
      </c>
      <c r="D12" s="8">
        <v>390000</v>
      </c>
      <c r="E12" s="8">
        <v>268190</v>
      </c>
      <c r="F12" s="8">
        <v>2083.33</v>
      </c>
      <c r="G12" s="8">
        <v>0</v>
      </c>
      <c r="H12" s="8">
        <v>38979.199999999997</v>
      </c>
      <c r="I12" s="8">
        <v>0</v>
      </c>
      <c r="J12" s="8">
        <v>80747.47</v>
      </c>
      <c r="K12" s="8">
        <v>240000</v>
      </c>
      <c r="L12" s="8">
        <v>-159252.53</v>
      </c>
      <c r="M12" s="8">
        <f t="shared" si="2"/>
        <v>293649.75</v>
      </c>
      <c r="N12" s="8">
        <f t="shared" si="0"/>
        <v>134397.22</v>
      </c>
      <c r="O12" s="8">
        <f t="shared" si="3"/>
        <v>250000</v>
      </c>
      <c r="P12" s="8">
        <f t="shared" si="1"/>
        <v>250000</v>
      </c>
      <c r="S12" s="12"/>
    </row>
    <row r="13" spans="1:19" x14ac:dyDescent="0.25">
      <c r="A13" s="7">
        <v>11</v>
      </c>
      <c r="B13" s="8">
        <v>0</v>
      </c>
      <c r="C13" s="8">
        <v>0</v>
      </c>
      <c r="D13" s="8">
        <v>390000</v>
      </c>
      <c r="E13" s="8">
        <v>268190</v>
      </c>
      <c r="F13" s="8">
        <v>2083.33</v>
      </c>
      <c r="G13" s="8">
        <v>0</v>
      </c>
      <c r="H13" s="8">
        <v>38979.199999999997</v>
      </c>
      <c r="I13" s="8">
        <v>0</v>
      </c>
      <c r="J13" s="8">
        <v>80747.47</v>
      </c>
      <c r="K13" s="8">
        <v>0</v>
      </c>
      <c r="L13" s="8">
        <v>80747.47</v>
      </c>
      <c r="M13" s="8">
        <f t="shared" si="2"/>
        <v>134397.22</v>
      </c>
      <c r="N13" s="8">
        <f t="shared" si="0"/>
        <v>215144.69</v>
      </c>
      <c r="O13" s="8">
        <f t="shared" si="3"/>
        <v>250000</v>
      </c>
      <c r="P13" s="8">
        <f t="shared" si="1"/>
        <v>250000</v>
      </c>
      <c r="S13" s="12"/>
    </row>
    <row r="14" spans="1:19" x14ac:dyDescent="0.25">
      <c r="A14" s="7">
        <v>12</v>
      </c>
      <c r="B14" s="8">
        <v>0</v>
      </c>
      <c r="C14" s="8">
        <v>0</v>
      </c>
      <c r="D14" s="8">
        <v>390000</v>
      </c>
      <c r="E14" s="8">
        <v>268190</v>
      </c>
      <c r="F14" s="8">
        <v>2083.33</v>
      </c>
      <c r="G14" s="8">
        <v>0</v>
      </c>
      <c r="H14" s="8">
        <v>38979.199999999997</v>
      </c>
      <c r="I14" s="8">
        <v>0</v>
      </c>
      <c r="J14" s="8">
        <v>80747.47</v>
      </c>
      <c r="K14" s="8">
        <v>0</v>
      </c>
      <c r="L14" s="8">
        <v>80747.47</v>
      </c>
      <c r="M14" s="8">
        <f t="shared" si="2"/>
        <v>215144.69</v>
      </c>
      <c r="N14" s="8">
        <f t="shared" si="0"/>
        <v>295892.16000000003</v>
      </c>
      <c r="O14" s="8">
        <f t="shared" si="3"/>
        <v>250000</v>
      </c>
      <c r="P14" s="8">
        <f t="shared" si="1"/>
        <v>250000</v>
      </c>
      <c r="S14" s="12"/>
    </row>
    <row r="15" spans="1:19" x14ac:dyDescent="0.25">
      <c r="A15" s="7">
        <v>13</v>
      </c>
      <c r="B15" s="8">
        <v>0</v>
      </c>
      <c r="C15" s="8">
        <v>0</v>
      </c>
      <c r="D15" s="8">
        <v>510000</v>
      </c>
      <c r="E15" s="8">
        <v>350710</v>
      </c>
      <c r="F15" s="8">
        <v>2083.33</v>
      </c>
      <c r="G15" s="8">
        <v>0</v>
      </c>
      <c r="H15" s="8">
        <v>50972.800000000003</v>
      </c>
      <c r="I15" s="8">
        <v>0</v>
      </c>
      <c r="J15" s="8">
        <v>106233.87</v>
      </c>
      <c r="K15" s="8">
        <v>240000</v>
      </c>
      <c r="L15" s="8">
        <v>-133766.13</v>
      </c>
      <c r="M15" s="8">
        <f t="shared" si="2"/>
        <v>295892.16000000003</v>
      </c>
      <c r="N15" s="8">
        <f t="shared" si="0"/>
        <v>162126.03000000003</v>
      </c>
      <c r="O15" s="8">
        <f t="shared" si="3"/>
        <v>250000</v>
      </c>
      <c r="P15" s="8">
        <f t="shared" si="1"/>
        <v>250000</v>
      </c>
      <c r="S15" s="12"/>
    </row>
    <row r="16" spans="1:19" x14ac:dyDescent="0.25">
      <c r="A16" s="7">
        <v>14</v>
      </c>
      <c r="B16" s="8">
        <v>0</v>
      </c>
      <c r="C16" s="8">
        <v>0</v>
      </c>
      <c r="D16" s="8">
        <v>510000</v>
      </c>
      <c r="E16" s="8">
        <v>350710</v>
      </c>
      <c r="F16" s="8">
        <v>2083.33</v>
      </c>
      <c r="G16" s="8">
        <v>0</v>
      </c>
      <c r="H16" s="8">
        <v>50972.800000000003</v>
      </c>
      <c r="I16" s="8">
        <v>0</v>
      </c>
      <c r="J16" s="8">
        <v>106233.87</v>
      </c>
      <c r="K16" s="8">
        <v>0</v>
      </c>
      <c r="L16" s="8">
        <v>106233.87</v>
      </c>
      <c r="M16" s="8">
        <f t="shared" si="2"/>
        <v>162126.03000000003</v>
      </c>
      <c r="N16" s="8">
        <f t="shared" si="0"/>
        <v>268359.90000000002</v>
      </c>
      <c r="O16" s="8">
        <f t="shared" si="3"/>
        <v>250000</v>
      </c>
      <c r="P16" s="8">
        <f t="shared" si="1"/>
        <v>250000</v>
      </c>
      <c r="S16" s="12"/>
    </row>
    <row r="17" spans="1:19" x14ac:dyDescent="0.25">
      <c r="A17" s="7">
        <v>15</v>
      </c>
      <c r="B17" s="8">
        <v>0</v>
      </c>
      <c r="C17" s="8">
        <v>0</v>
      </c>
      <c r="D17" s="8">
        <v>510000</v>
      </c>
      <c r="E17" s="8">
        <v>350710</v>
      </c>
      <c r="F17" s="8">
        <v>2083.33</v>
      </c>
      <c r="G17" s="8">
        <v>0</v>
      </c>
      <c r="H17" s="8">
        <v>50972.800000000003</v>
      </c>
      <c r="I17" s="8">
        <v>0</v>
      </c>
      <c r="J17" s="8">
        <v>106233.87</v>
      </c>
      <c r="K17" s="8">
        <v>0</v>
      </c>
      <c r="L17" s="8">
        <v>106233.87</v>
      </c>
      <c r="M17" s="8">
        <f t="shared" si="2"/>
        <v>268359.90000000002</v>
      </c>
      <c r="N17" s="8">
        <f t="shared" si="0"/>
        <v>374593.77</v>
      </c>
      <c r="O17" s="8">
        <f t="shared" si="3"/>
        <v>250000</v>
      </c>
      <c r="P17" s="8">
        <f t="shared" si="1"/>
        <v>250000</v>
      </c>
      <c r="S17" s="12"/>
    </row>
    <row r="18" spans="1:19" x14ac:dyDescent="0.25">
      <c r="A18" s="7">
        <v>16</v>
      </c>
      <c r="B18" s="8">
        <v>0</v>
      </c>
      <c r="C18" s="8">
        <v>0</v>
      </c>
      <c r="D18" s="8">
        <v>630000</v>
      </c>
      <c r="E18" s="8">
        <v>433230</v>
      </c>
      <c r="F18" s="8">
        <v>2083.33</v>
      </c>
      <c r="G18" s="8">
        <v>0</v>
      </c>
      <c r="H18" s="8">
        <v>62966.400000000001</v>
      </c>
      <c r="I18" s="8">
        <v>0</v>
      </c>
      <c r="J18" s="8">
        <v>131720.26999999999</v>
      </c>
      <c r="K18" s="8">
        <v>240000</v>
      </c>
      <c r="L18" s="8">
        <v>-108279.73</v>
      </c>
      <c r="M18" s="8">
        <f t="shared" si="2"/>
        <v>374593.77</v>
      </c>
      <c r="N18" s="8">
        <f t="shared" si="0"/>
        <v>266314.04000000004</v>
      </c>
      <c r="O18" s="8">
        <f t="shared" si="3"/>
        <v>250000</v>
      </c>
      <c r="P18" s="8">
        <f t="shared" si="1"/>
        <v>250000</v>
      </c>
      <c r="S18" s="12"/>
    </row>
    <row r="19" spans="1:19" x14ac:dyDescent="0.25">
      <c r="A19" s="7">
        <v>17</v>
      </c>
      <c r="B19" s="8">
        <v>0</v>
      </c>
      <c r="C19" s="8">
        <v>0</v>
      </c>
      <c r="D19" s="8">
        <v>630000</v>
      </c>
      <c r="E19" s="8">
        <v>433230</v>
      </c>
      <c r="F19" s="8">
        <v>2083.33</v>
      </c>
      <c r="G19" s="8">
        <v>0</v>
      </c>
      <c r="H19" s="8">
        <v>62966.400000000001</v>
      </c>
      <c r="I19" s="8">
        <v>0</v>
      </c>
      <c r="J19" s="8">
        <v>131720.26999999999</v>
      </c>
      <c r="K19" s="8">
        <v>0</v>
      </c>
      <c r="L19" s="8">
        <v>131720.26999999999</v>
      </c>
      <c r="M19" s="8">
        <f t="shared" si="2"/>
        <v>266314.04000000004</v>
      </c>
      <c r="N19" s="8">
        <f t="shared" si="0"/>
        <v>398034.31000000006</v>
      </c>
      <c r="O19" s="8">
        <f t="shared" si="3"/>
        <v>250000</v>
      </c>
      <c r="P19" s="8">
        <f t="shared" si="1"/>
        <v>250000</v>
      </c>
      <c r="S19" s="12"/>
    </row>
    <row r="20" spans="1:19" x14ac:dyDescent="0.25">
      <c r="A20" s="7">
        <v>18</v>
      </c>
      <c r="B20" s="8">
        <v>0</v>
      </c>
      <c r="C20" s="8">
        <v>0</v>
      </c>
      <c r="D20" s="8">
        <v>630000</v>
      </c>
      <c r="E20" s="8">
        <v>433230</v>
      </c>
      <c r="F20" s="8">
        <v>2083.33</v>
      </c>
      <c r="G20" s="8">
        <v>0</v>
      </c>
      <c r="H20" s="8">
        <v>62966.400000000001</v>
      </c>
      <c r="I20" s="8">
        <v>0</v>
      </c>
      <c r="J20" s="8">
        <v>131720.26999999999</v>
      </c>
      <c r="K20" s="8">
        <v>240000</v>
      </c>
      <c r="L20" s="8">
        <v>-108279.73</v>
      </c>
      <c r="M20" s="8">
        <f t="shared" si="2"/>
        <v>398034.31000000006</v>
      </c>
      <c r="N20" s="8">
        <f t="shared" si="0"/>
        <v>289754.58000000007</v>
      </c>
      <c r="O20" s="8">
        <f t="shared" si="3"/>
        <v>250000</v>
      </c>
      <c r="P20" s="8">
        <f t="shared" si="1"/>
        <v>250000</v>
      </c>
      <c r="S20" s="12"/>
    </row>
    <row r="21" spans="1:19" x14ac:dyDescent="0.25">
      <c r="A21" s="7">
        <v>19</v>
      </c>
      <c r="B21" s="8">
        <v>0</v>
      </c>
      <c r="C21" s="8">
        <v>0</v>
      </c>
      <c r="D21" s="8">
        <v>750000</v>
      </c>
      <c r="E21" s="8">
        <v>515750</v>
      </c>
      <c r="F21" s="8">
        <v>2083.33</v>
      </c>
      <c r="G21" s="8">
        <v>0</v>
      </c>
      <c r="H21" s="8">
        <v>74960</v>
      </c>
      <c r="I21" s="8">
        <v>0</v>
      </c>
      <c r="J21" s="8">
        <v>157206.67000000001</v>
      </c>
      <c r="K21" s="8">
        <v>0</v>
      </c>
      <c r="L21" s="8">
        <v>157206.67000000001</v>
      </c>
      <c r="M21" s="8">
        <f t="shared" si="2"/>
        <v>289754.58000000007</v>
      </c>
      <c r="N21" s="8">
        <f t="shared" si="0"/>
        <v>446961.25000000012</v>
      </c>
      <c r="O21" s="8">
        <f t="shared" si="3"/>
        <v>250000</v>
      </c>
      <c r="P21" s="8">
        <f t="shared" si="1"/>
        <v>250000</v>
      </c>
      <c r="S21" s="12"/>
    </row>
    <row r="22" spans="1:19" x14ac:dyDescent="0.25">
      <c r="A22" s="7">
        <v>20</v>
      </c>
      <c r="B22" s="8">
        <v>0</v>
      </c>
      <c r="C22" s="8">
        <v>0</v>
      </c>
      <c r="D22" s="8">
        <v>750000</v>
      </c>
      <c r="E22" s="8">
        <v>515750</v>
      </c>
      <c r="F22" s="8">
        <v>2083.33</v>
      </c>
      <c r="G22" s="8">
        <v>0</v>
      </c>
      <c r="H22" s="8">
        <v>74960</v>
      </c>
      <c r="I22" s="8">
        <v>0</v>
      </c>
      <c r="J22" s="8">
        <v>157206.67000000001</v>
      </c>
      <c r="K22" s="8">
        <v>0</v>
      </c>
      <c r="L22" s="8">
        <v>157206.67000000001</v>
      </c>
      <c r="M22" s="8">
        <f t="shared" si="2"/>
        <v>446961.25000000012</v>
      </c>
      <c r="N22" s="8">
        <f t="shared" si="0"/>
        <v>604167.92000000016</v>
      </c>
      <c r="O22" s="8">
        <f t="shared" si="3"/>
        <v>250000</v>
      </c>
      <c r="P22" s="8">
        <f t="shared" si="1"/>
        <v>250000</v>
      </c>
      <c r="S22" s="12"/>
    </row>
    <row r="23" spans="1:19" x14ac:dyDescent="0.25">
      <c r="A23" s="7">
        <v>21</v>
      </c>
      <c r="B23" s="8">
        <v>0</v>
      </c>
      <c r="C23" s="8">
        <v>0</v>
      </c>
      <c r="D23" s="8">
        <v>870000</v>
      </c>
      <c r="E23" s="8">
        <v>598270</v>
      </c>
      <c r="F23" s="8">
        <v>2083.33</v>
      </c>
      <c r="G23" s="8">
        <v>0</v>
      </c>
      <c r="H23" s="8">
        <v>86953.600000000006</v>
      </c>
      <c r="I23" s="8">
        <v>0</v>
      </c>
      <c r="J23" s="8">
        <v>182693.07</v>
      </c>
      <c r="K23" s="8">
        <v>240000</v>
      </c>
      <c r="L23" s="8">
        <v>-57306.93</v>
      </c>
      <c r="M23" s="8">
        <f t="shared" si="2"/>
        <v>604167.92000000016</v>
      </c>
      <c r="N23" s="8">
        <f t="shared" si="0"/>
        <v>546860.99000000011</v>
      </c>
      <c r="O23" s="8">
        <f t="shared" si="3"/>
        <v>250000</v>
      </c>
      <c r="P23" s="8">
        <f t="shared" si="1"/>
        <v>250000</v>
      </c>
      <c r="S23" s="12"/>
    </row>
    <row r="24" spans="1:19" x14ac:dyDescent="0.25">
      <c r="A24" s="7">
        <v>22</v>
      </c>
      <c r="B24" s="8">
        <v>0</v>
      </c>
      <c r="C24" s="8">
        <v>0</v>
      </c>
      <c r="D24" s="8">
        <v>870000</v>
      </c>
      <c r="E24" s="8">
        <v>598270</v>
      </c>
      <c r="F24" s="8">
        <v>2083.33</v>
      </c>
      <c r="G24" s="8">
        <v>0</v>
      </c>
      <c r="H24" s="8">
        <v>86953.600000000006</v>
      </c>
      <c r="I24" s="8">
        <v>0</v>
      </c>
      <c r="J24" s="8">
        <v>182693.07</v>
      </c>
      <c r="K24" s="8">
        <v>0</v>
      </c>
      <c r="L24" s="8">
        <v>182693.07</v>
      </c>
      <c r="M24" s="8">
        <f t="shared" si="2"/>
        <v>546860.99000000011</v>
      </c>
      <c r="N24" s="8">
        <f t="shared" si="0"/>
        <v>729554.06</v>
      </c>
      <c r="O24" s="8">
        <f t="shared" si="3"/>
        <v>250000</v>
      </c>
      <c r="P24" s="8">
        <f t="shared" si="1"/>
        <v>250000</v>
      </c>
      <c r="S24" s="12"/>
    </row>
    <row r="25" spans="1:19" x14ac:dyDescent="0.25">
      <c r="A25" s="7">
        <v>23</v>
      </c>
      <c r="B25" s="8">
        <v>0</v>
      </c>
      <c r="C25" s="8">
        <v>0</v>
      </c>
      <c r="D25" s="8">
        <v>870000</v>
      </c>
      <c r="E25" s="8">
        <v>598270</v>
      </c>
      <c r="F25" s="8">
        <v>2083.33</v>
      </c>
      <c r="G25" s="8">
        <v>0</v>
      </c>
      <c r="H25" s="8">
        <v>86953.600000000006</v>
      </c>
      <c r="I25" s="8">
        <v>0</v>
      </c>
      <c r="J25" s="8">
        <v>182693.07</v>
      </c>
      <c r="K25" s="8">
        <v>240000</v>
      </c>
      <c r="L25" s="8">
        <v>-57306.93</v>
      </c>
      <c r="M25" s="8">
        <f t="shared" si="2"/>
        <v>729554.06</v>
      </c>
      <c r="N25" s="8">
        <f t="shared" si="0"/>
        <v>672247.13</v>
      </c>
      <c r="O25" s="8">
        <f t="shared" si="3"/>
        <v>250000</v>
      </c>
      <c r="P25" s="8">
        <f t="shared" si="1"/>
        <v>250000</v>
      </c>
      <c r="S25" s="12"/>
    </row>
    <row r="26" spans="1:19" x14ac:dyDescent="0.25">
      <c r="A26" s="7">
        <v>24</v>
      </c>
      <c r="B26" s="8">
        <v>0</v>
      </c>
      <c r="C26" s="8">
        <v>0</v>
      </c>
      <c r="D26" s="8">
        <v>990000</v>
      </c>
      <c r="E26" s="8">
        <v>680790</v>
      </c>
      <c r="F26" s="8">
        <v>2083.33</v>
      </c>
      <c r="G26" s="8">
        <v>0</v>
      </c>
      <c r="H26" s="8">
        <v>98947.199999999997</v>
      </c>
      <c r="I26" s="8">
        <v>0</v>
      </c>
      <c r="J26" s="8">
        <v>208179.47</v>
      </c>
      <c r="K26" s="8">
        <v>0</v>
      </c>
      <c r="L26" s="8">
        <v>208179.47</v>
      </c>
      <c r="M26" s="8">
        <f t="shared" si="2"/>
        <v>672247.13</v>
      </c>
      <c r="N26" s="8">
        <f t="shared" si="0"/>
        <v>880426.6</v>
      </c>
      <c r="O26" s="8">
        <f t="shared" si="3"/>
        <v>250000</v>
      </c>
      <c r="P26" s="8">
        <f t="shared" si="1"/>
        <v>250000</v>
      </c>
      <c r="S26" s="12"/>
    </row>
    <row r="27" spans="1:19" x14ac:dyDescent="0.25">
      <c r="A27" s="7">
        <v>25</v>
      </c>
      <c r="B27" s="8">
        <v>0</v>
      </c>
      <c r="C27" s="8">
        <v>0</v>
      </c>
      <c r="D27" s="8">
        <v>990000</v>
      </c>
      <c r="E27" s="8">
        <v>680790</v>
      </c>
      <c r="F27" s="8">
        <v>2083.33</v>
      </c>
      <c r="G27" s="8">
        <v>0</v>
      </c>
      <c r="H27" s="8">
        <v>98947.199999999997</v>
      </c>
      <c r="I27" s="8">
        <v>0</v>
      </c>
      <c r="J27" s="8">
        <v>208179.47</v>
      </c>
      <c r="K27" s="8">
        <v>0</v>
      </c>
      <c r="L27" s="8">
        <v>208179.47</v>
      </c>
      <c r="M27" s="8">
        <f t="shared" si="2"/>
        <v>880426.6</v>
      </c>
      <c r="N27" s="8">
        <f t="shared" si="0"/>
        <v>1088606.07</v>
      </c>
      <c r="O27" s="8">
        <f t="shared" si="3"/>
        <v>250000</v>
      </c>
      <c r="P27" s="8">
        <f t="shared" si="1"/>
        <v>250000</v>
      </c>
      <c r="S27" s="12"/>
    </row>
    <row r="28" spans="1:19" x14ac:dyDescent="0.25">
      <c r="A28" s="7">
        <v>26</v>
      </c>
      <c r="B28" s="8">
        <v>0</v>
      </c>
      <c r="C28" s="8">
        <v>0</v>
      </c>
      <c r="D28" s="8">
        <v>1110000</v>
      </c>
      <c r="E28" s="8">
        <v>763310</v>
      </c>
      <c r="F28" s="8">
        <v>2083.33</v>
      </c>
      <c r="G28" s="8">
        <v>0</v>
      </c>
      <c r="H28" s="8">
        <v>110940.8</v>
      </c>
      <c r="I28" s="8">
        <v>0</v>
      </c>
      <c r="J28" s="8">
        <v>233665.87</v>
      </c>
      <c r="K28" s="8">
        <v>300000</v>
      </c>
      <c r="L28" s="8">
        <v>-66334.13</v>
      </c>
      <c r="M28" s="8">
        <f t="shared" si="2"/>
        <v>1088606.07</v>
      </c>
      <c r="N28" s="8">
        <f t="shared" si="0"/>
        <v>1022271.9400000001</v>
      </c>
      <c r="O28" s="8">
        <f t="shared" si="3"/>
        <v>250000</v>
      </c>
      <c r="P28" s="8">
        <f t="shared" si="1"/>
        <v>250000</v>
      </c>
      <c r="S28" s="12"/>
    </row>
    <row r="29" spans="1:19" x14ac:dyDescent="0.25">
      <c r="A29" s="7">
        <v>27</v>
      </c>
      <c r="B29" s="8">
        <v>0</v>
      </c>
      <c r="C29" s="8">
        <v>0</v>
      </c>
      <c r="D29" s="8">
        <v>1110000</v>
      </c>
      <c r="E29" s="8">
        <v>763310</v>
      </c>
      <c r="F29" s="8">
        <v>2083.33</v>
      </c>
      <c r="G29" s="8">
        <v>0</v>
      </c>
      <c r="H29" s="8">
        <v>110940.8</v>
      </c>
      <c r="I29" s="8">
        <v>0</v>
      </c>
      <c r="J29" s="8">
        <v>233665.87</v>
      </c>
      <c r="K29" s="8">
        <v>0</v>
      </c>
      <c r="L29" s="8">
        <v>233665.87</v>
      </c>
      <c r="M29" s="8">
        <f t="shared" si="2"/>
        <v>1022271.9400000001</v>
      </c>
      <c r="N29" s="8">
        <f t="shared" si="0"/>
        <v>1255937.81</v>
      </c>
      <c r="O29" s="8">
        <f t="shared" si="3"/>
        <v>250000</v>
      </c>
      <c r="P29" s="8">
        <f t="shared" si="1"/>
        <v>250000</v>
      </c>
      <c r="S29" s="12"/>
    </row>
    <row r="30" spans="1:19" x14ac:dyDescent="0.25">
      <c r="A30" s="7">
        <v>28</v>
      </c>
      <c r="B30" s="8">
        <v>0</v>
      </c>
      <c r="C30" s="8">
        <v>0</v>
      </c>
      <c r="D30" s="8">
        <v>1110000</v>
      </c>
      <c r="E30" s="8">
        <v>763310</v>
      </c>
      <c r="F30" s="8">
        <v>2083.33</v>
      </c>
      <c r="G30" s="8">
        <v>0</v>
      </c>
      <c r="H30" s="8">
        <v>110940.8</v>
      </c>
      <c r="I30" s="8">
        <v>0</v>
      </c>
      <c r="J30" s="8">
        <v>233665.87</v>
      </c>
      <c r="K30" s="8">
        <v>240000</v>
      </c>
      <c r="L30" s="8">
        <v>-6334.13</v>
      </c>
      <c r="M30" s="8">
        <f t="shared" si="2"/>
        <v>1255937.81</v>
      </c>
      <c r="N30" s="8">
        <f t="shared" si="0"/>
        <v>1249603.6800000002</v>
      </c>
      <c r="O30" s="8">
        <f t="shared" si="3"/>
        <v>250000</v>
      </c>
      <c r="P30" s="8">
        <f t="shared" si="1"/>
        <v>250000</v>
      </c>
      <c r="S30" s="12"/>
    </row>
    <row r="31" spans="1:19" x14ac:dyDescent="0.25">
      <c r="A31" s="7">
        <v>29</v>
      </c>
      <c r="B31" s="8">
        <v>0</v>
      </c>
      <c r="C31" s="8">
        <v>0</v>
      </c>
      <c r="D31" s="8">
        <v>1260000</v>
      </c>
      <c r="E31" s="8">
        <v>866460</v>
      </c>
      <c r="F31" s="8">
        <v>2083.33</v>
      </c>
      <c r="G31" s="8">
        <v>0</v>
      </c>
      <c r="H31" s="8">
        <v>125932.8</v>
      </c>
      <c r="I31" s="8">
        <v>0</v>
      </c>
      <c r="J31" s="8">
        <v>265523.87</v>
      </c>
      <c r="K31" s="8">
        <v>0</v>
      </c>
      <c r="L31" s="8">
        <v>265523.87</v>
      </c>
      <c r="M31" s="8">
        <f t="shared" si="2"/>
        <v>1249603.6800000002</v>
      </c>
      <c r="N31" s="8">
        <f t="shared" si="0"/>
        <v>1515127.5500000003</v>
      </c>
      <c r="O31" s="8">
        <f t="shared" si="3"/>
        <v>250000</v>
      </c>
      <c r="P31" s="8">
        <f t="shared" si="1"/>
        <v>250000</v>
      </c>
      <c r="S31" s="12"/>
    </row>
    <row r="32" spans="1:19" x14ac:dyDescent="0.25">
      <c r="A32" s="7">
        <v>30</v>
      </c>
      <c r="B32" s="8">
        <v>0</v>
      </c>
      <c r="C32" s="8">
        <v>0</v>
      </c>
      <c r="D32" s="8">
        <v>1260000</v>
      </c>
      <c r="E32" s="8">
        <v>866460</v>
      </c>
      <c r="F32" s="8">
        <v>2083.33</v>
      </c>
      <c r="G32" s="8">
        <v>0</v>
      </c>
      <c r="H32" s="8">
        <v>125932.8</v>
      </c>
      <c r="I32" s="8">
        <v>0</v>
      </c>
      <c r="J32" s="8">
        <v>265523.87</v>
      </c>
      <c r="K32" s="8">
        <v>240000</v>
      </c>
      <c r="L32" s="8">
        <v>25523.87</v>
      </c>
      <c r="M32" s="8">
        <f t="shared" si="2"/>
        <v>1515127.5500000003</v>
      </c>
      <c r="N32" s="8">
        <f t="shared" si="0"/>
        <v>1540651.4200000004</v>
      </c>
      <c r="O32" s="8">
        <f t="shared" si="3"/>
        <v>250000</v>
      </c>
      <c r="P32" s="8">
        <f t="shared" si="1"/>
        <v>250000</v>
      </c>
      <c r="S32" s="12"/>
    </row>
    <row r="33" spans="1:19" x14ac:dyDescent="0.25">
      <c r="A33" s="7">
        <v>31</v>
      </c>
      <c r="B33" s="8">
        <v>0</v>
      </c>
      <c r="C33" s="8">
        <v>0</v>
      </c>
      <c r="D33" s="8">
        <v>1380000</v>
      </c>
      <c r="E33" s="8">
        <v>948980</v>
      </c>
      <c r="F33" s="8">
        <v>2083.33</v>
      </c>
      <c r="G33" s="8">
        <v>0</v>
      </c>
      <c r="H33" s="8">
        <v>137926.39999999999</v>
      </c>
      <c r="I33" s="8">
        <v>0</v>
      </c>
      <c r="J33" s="8">
        <v>291010.27</v>
      </c>
      <c r="K33" s="8">
        <v>0</v>
      </c>
      <c r="L33" s="8">
        <v>291010.27</v>
      </c>
      <c r="M33" s="8">
        <f t="shared" si="2"/>
        <v>1540651.4200000004</v>
      </c>
      <c r="N33" s="8">
        <f t="shared" si="0"/>
        <v>1831661.6900000004</v>
      </c>
      <c r="O33" s="8">
        <f t="shared" si="3"/>
        <v>250000</v>
      </c>
      <c r="P33" s="8">
        <f t="shared" si="1"/>
        <v>250000</v>
      </c>
      <c r="S33" s="12"/>
    </row>
    <row r="34" spans="1:19" x14ac:dyDescent="0.25">
      <c r="A34" s="7">
        <v>32</v>
      </c>
      <c r="B34" s="8">
        <v>0</v>
      </c>
      <c r="C34" s="8">
        <v>0</v>
      </c>
      <c r="D34" s="8">
        <v>1110000</v>
      </c>
      <c r="E34" s="8">
        <v>763310</v>
      </c>
      <c r="F34" s="8">
        <v>2083.33</v>
      </c>
      <c r="G34" s="8">
        <v>0</v>
      </c>
      <c r="H34" s="8">
        <v>110940.8</v>
      </c>
      <c r="I34" s="8">
        <v>0</v>
      </c>
      <c r="J34" s="8">
        <v>233665.87</v>
      </c>
      <c r="K34" s="8">
        <v>240000</v>
      </c>
      <c r="L34" s="8">
        <v>-6334.13</v>
      </c>
      <c r="M34" s="8">
        <f t="shared" si="2"/>
        <v>1831661.6900000004</v>
      </c>
      <c r="N34" s="8">
        <f t="shared" si="0"/>
        <v>1825327.5600000005</v>
      </c>
      <c r="O34" s="8">
        <f t="shared" si="3"/>
        <v>250000</v>
      </c>
      <c r="P34" s="8">
        <f t="shared" si="1"/>
        <v>250000</v>
      </c>
      <c r="S34" s="12"/>
    </row>
    <row r="35" spans="1:19" x14ac:dyDescent="0.25">
      <c r="A35" s="7">
        <v>33</v>
      </c>
      <c r="B35" s="8">
        <v>0</v>
      </c>
      <c r="C35" s="8">
        <v>0</v>
      </c>
      <c r="D35" s="8">
        <v>1230000</v>
      </c>
      <c r="E35" s="8">
        <v>845830</v>
      </c>
      <c r="F35" s="8">
        <v>2083.33</v>
      </c>
      <c r="G35" s="8">
        <v>0</v>
      </c>
      <c r="H35" s="8">
        <v>122934.39999999999</v>
      </c>
      <c r="I35" s="8">
        <v>0</v>
      </c>
      <c r="J35" s="8">
        <v>259152.27</v>
      </c>
      <c r="K35" s="8">
        <v>0</v>
      </c>
      <c r="L35" s="8">
        <v>259152.27</v>
      </c>
      <c r="M35" s="8">
        <f t="shared" si="2"/>
        <v>1825327.5600000005</v>
      </c>
      <c r="N35" s="8">
        <f t="shared" ref="N35:N62" si="4">$M35+$L35</f>
        <v>2084479.8300000005</v>
      </c>
      <c r="O35" s="8">
        <f t="shared" si="3"/>
        <v>250000</v>
      </c>
      <c r="P35" s="8">
        <f t="shared" ref="P35:P66" si="5">O35+C35-G35</f>
        <v>250000</v>
      </c>
      <c r="S35" s="12"/>
    </row>
    <row r="36" spans="1:19" x14ac:dyDescent="0.25">
      <c r="A36" s="7">
        <v>34</v>
      </c>
      <c r="B36" s="8">
        <v>0</v>
      </c>
      <c r="C36" s="8">
        <v>0</v>
      </c>
      <c r="D36" s="8">
        <v>1230000</v>
      </c>
      <c r="E36" s="8">
        <v>845830</v>
      </c>
      <c r="F36" s="8">
        <v>2083.33</v>
      </c>
      <c r="G36" s="8">
        <v>0</v>
      </c>
      <c r="H36" s="8">
        <v>122934.39999999999</v>
      </c>
      <c r="I36" s="8">
        <v>0</v>
      </c>
      <c r="J36" s="8">
        <v>259152.27</v>
      </c>
      <c r="K36" s="8">
        <v>240000</v>
      </c>
      <c r="L36" s="8">
        <v>19152.27</v>
      </c>
      <c r="M36" s="8">
        <f t="shared" ref="M36:M62" si="6">$N35</f>
        <v>2084479.8300000005</v>
      </c>
      <c r="N36" s="8">
        <f t="shared" si="4"/>
        <v>2103632.1000000006</v>
      </c>
      <c r="O36" s="8">
        <f t="shared" ref="O36:O62" si="7">P35</f>
        <v>250000</v>
      </c>
      <c r="P36" s="8">
        <f t="shared" si="5"/>
        <v>250000</v>
      </c>
      <c r="S36" s="12"/>
    </row>
    <row r="37" spans="1:19" x14ac:dyDescent="0.25">
      <c r="A37" s="7">
        <v>35</v>
      </c>
      <c r="B37" s="8">
        <v>0</v>
      </c>
      <c r="C37" s="8">
        <v>0</v>
      </c>
      <c r="D37" s="8">
        <v>1350000</v>
      </c>
      <c r="E37" s="8">
        <v>928350</v>
      </c>
      <c r="F37" s="8">
        <v>2083.33</v>
      </c>
      <c r="G37" s="8">
        <v>0</v>
      </c>
      <c r="H37" s="8">
        <v>134928</v>
      </c>
      <c r="I37" s="8">
        <v>0</v>
      </c>
      <c r="J37" s="8">
        <v>284638.67</v>
      </c>
      <c r="K37" s="8">
        <v>0</v>
      </c>
      <c r="L37" s="8">
        <v>284638.67</v>
      </c>
      <c r="M37" s="8">
        <f t="shared" si="6"/>
        <v>2103632.1000000006</v>
      </c>
      <c r="N37" s="8">
        <f t="shared" si="4"/>
        <v>2388270.7700000005</v>
      </c>
      <c r="O37" s="8">
        <f t="shared" si="7"/>
        <v>250000</v>
      </c>
      <c r="P37" s="8">
        <f t="shared" si="5"/>
        <v>250000</v>
      </c>
      <c r="S37" s="12"/>
    </row>
    <row r="38" spans="1:19" x14ac:dyDescent="0.25">
      <c r="A38" s="7">
        <v>36</v>
      </c>
      <c r="B38" s="8">
        <v>0</v>
      </c>
      <c r="C38" s="8">
        <v>0</v>
      </c>
      <c r="D38" s="8">
        <v>1350000</v>
      </c>
      <c r="E38" s="8">
        <v>928350</v>
      </c>
      <c r="F38" s="8">
        <v>2083.33</v>
      </c>
      <c r="G38" s="8">
        <v>0</v>
      </c>
      <c r="H38" s="8">
        <v>134928</v>
      </c>
      <c r="I38" s="8">
        <v>0</v>
      </c>
      <c r="J38" s="8">
        <v>284638.67</v>
      </c>
      <c r="K38" s="8">
        <v>240000</v>
      </c>
      <c r="L38" s="8">
        <v>44638.67</v>
      </c>
      <c r="M38" s="8">
        <f t="shared" si="6"/>
        <v>2388270.7700000005</v>
      </c>
      <c r="N38" s="8">
        <f t="shared" si="4"/>
        <v>2432909.4400000004</v>
      </c>
      <c r="O38" s="8">
        <f t="shared" si="7"/>
        <v>250000</v>
      </c>
      <c r="P38" s="8">
        <f t="shared" si="5"/>
        <v>250000</v>
      </c>
      <c r="S38" s="12"/>
    </row>
    <row r="39" spans="1:19" x14ac:dyDescent="0.25">
      <c r="A39" s="7">
        <v>37</v>
      </c>
      <c r="B39" s="8">
        <v>0</v>
      </c>
      <c r="C39" s="8">
        <v>0</v>
      </c>
      <c r="D39" s="8">
        <v>1350000</v>
      </c>
      <c r="E39" s="8">
        <v>928350</v>
      </c>
      <c r="F39" s="8">
        <v>2083.33</v>
      </c>
      <c r="G39" s="8">
        <v>0</v>
      </c>
      <c r="H39" s="8">
        <v>134928</v>
      </c>
      <c r="I39" s="8">
        <v>0</v>
      </c>
      <c r="J39" s="8">
        <v>284638.67</v>
      </c>
      <c r="K39" s="8">
        <v>0</v>
      </c>
      <c r="L39" s="8">
        <v>284638.67</v>
      </c>
      <c r="M39" s="8">
        <f t="shared" si="6"/>
        <v>2432909.4400000004</v>
      </c>
      <c r="N39" s="8">
        <f t="shared" si="4"/>
        <v>2717548.1100000003</v>
      </c>
      <c r="O39" s="8">
        <f t="shared" si="7"/>
        <v>250000</v>
      </c>
      <c r="P39" s="8">
        <f t="shared" si="5"/>
        <v>250000</v>
      </c>
      <c r="S39" s="12"/>
    </row>
    <row r="40" spans="1:19" x14ac:dyDescent="0.25">
      <c r="A40" s="7">
        <v>38</v>
      </c>
      <c r="B40" s="8">
        <v>0</v>
      </c>
      <c r="C40" s="8">
        <v>0</v>
      </c>
      <c r="D40" s="8">
        <v>1350000</v>
      </c>
      <c r="E40" s="8">
        <v>928350</v>
      </c>
      <c r="F40" s="8">
        <v>2083.33</v>
      </c>
      <c r="G40" s="8">
        <v>0</v>
      </c>
      <c r="H40" s="8">
        <v>134928</v>
      </c>
      <c r="I40" s="8">
        <v>0</v>
      </c>
      <c r="J40" s="8">
        <v>284638.67</v>
      </c>
      <c r="K40" s="8">
        <v>240000</v>
      </c>
      <c r="L40" s="8">
        <v>44638.67</v>
      </c>
      <c r="M40" s="8">
        <f t="shared" si="6"/>
        <v>2717548.1100000003</v>
      </c>
      <c r="N40" s="8">
        <f t="shared" si="4"/>
        <v>2762186.7800000003</v>
      </c>
      <c r="O40" s="8">
        <f t="shared" si="7"/>
        <v>250000</v>
      </c>
      <c r="P40" s="8">
        <f t="shared" si="5"/>
        <v>250000</v>
      </c>
      <c r="S40" s="12"/>
    </row>
    <row r="41" spans="1:19" x14ac:dyDescent="0.25">
      <c r="A41" s="7">
        <v>39</v>
      </c>
      <c r="B41" s="8">
        <v>0</v>
      </c>
      <c r="C41" s="8">
        <v>0</v>
      </c>
      <c r="D41" s="8">
        <v>1470000</v>
      </c>
      <c r="E41" s="8">
        <v>1010870</v>
      </c>
      <c r="F41" s="8">
        <v>2083.33</v>
      </c>
      <c r="G41" s="8">
        <v>0</v>
      </c>
      <c r="H41" s="8">
        <v>146921.60000000001</v>
      </c>
      <c r="I41" s="8">
        <v>0</v>
      </c>
      <c r="J41" s="8">
        <v>310125.07</v>
      </c>
      <c r="K41" s="8">
        <v>0</v>
      </c>
      <c r="L41" s="8">
        <v>310125.07</v>
      </c>
      <c r="M41" s="8">
        <f t="shared" si="6"/>
        <v>2762186.7800000003</v>
      </c>
      <c r="N41" s="8">
        <f t="shared" si="4"/>
        <v>3072311.85</v>
      </c>
      <c r="O41" s="8">
        <f t="shared" si="7"/>
        <v>250000</v>
      </c>
      <c r="P41" s="8">
        <f t="shared" si="5"/>
        <v>250000</v>
      </c>
      <c r="S41" s="12"/>
    </row>
    <row r="42" spans="1:19" x14ac:dyDescent="0.25">
      <c r="A42" s="7">
        <v>40</v>
      </c>
      <c r="B42" s="8">
        <v>0</v>
      </c>
      <c r="C42" s="8">
        <v>0</v>
      </c>
      <c r="D42" s="8">
        <v>1350000</v>
      </c>
      <c r="E42" s="8">
        <v>928350</v>
      </c>
      <c r="F42" s="8">
        <v>2083.33</v>
      </c>
      <c r="G42" s="8">
        <v>0</v>
      </c>
      <c r="H42" s="8">
        <v>134928</v>
      </c>
      <c r="I42" s="8">
        <v>0</v>
      </c>
      <c r="J42" s="8">
        <v>284638.67</v>
      </c>
      <c r="K42" s="8">
        <v>300000</v>
      </c>
      <c r="L42" s="8">
        <v>-15361.33</v>
      </c>
      <c r="M42" s="8">
        <f t="shared" si="6"/>
        <v>3072311.85</v>
      </c>
      <c r="N42" s="8">
        <f t="shared" si="4"/>
        <v>3056950.52</v>
      </c>
      <c r="O42" s="8">
        <f t="shared" si="7"/>
        <v>250000</v>
      </c>
      <c r="P42" s="8">
        <f t="shared" si="5"/>
        <v>250000</v>
      </c>
      <c r="S42" s="12"/>
    </row>
    <row r="43" spans="1:19" x14ac:dyDescent="0.25">
      <c r="A43" s="7">
        <v>41</v>
      </c>
      <c r="B43" s="8">
        <v>0</v>
      </c>
      <c r="C43" s="8">
        <v>0</v>
      </c>
      <c r="D43" s="8">
        <v>1470000</v>
      </c>
      <c r="E43" s="8">
        <v>1010870</v>
      </c>
      <c r="F43" s="8">
        <v>2083.33</v>
      </c>
      <c r="G43" s="8">
        <v>0</v>
      </c>
      <c r="H43" s="8">
        <v>146921.60000000001</v>
      </c>
      <c r="I43" s="8">
        <v>0</v>
      </c>
      <c r="J43" s="8">
        <v>310125.07</v>
      </c>
      <c r="K43" s="8">
        <v>0</v>
      </c>
      <c r="L43" s="8">
        <v>310125.07</v>
      </c>
      <c r="M43" s="8">
        <f t="shared" si="6"/>
        <v>3056950.52</v>
      </c>
      <c r="N43" s="8">
        <f t="shared" si="4"/>
        <v>3367075.59</v>
      </c>
      <c r="O43" s="8">
        <f t="shared" si="7"/>
        <v>250000</v>
      </c>
      <c r="P43" s="8">
        <f t="shared" si="5"/>
        <v>250000</v>
      </c>
      <c r="S43" s="12"/>
    </row>
    <row r="44" spans="1:19" x14ac:dyDescent="0.25">
      <c r="A44" s="7">
        <v>42</v>
      </c>
      <c r="B44" s="8">
        <v>0</v>
      </c>
      <c r="C44" s="8">
        <v>0</v>
      </c>
      <c r="D44" s="8">
        <v>1470000</v>
      </c>
      <c r="E44" s="8">
        <v>1010870</v>
      </c>
      <c r="F44" s="8">
        <v>2083.33</v>
      </c>
      <c r="G44" s="8">
        <v>0</v>
      </c>
      <c r="H44" s="8">
        <v>146921.60000000001</v>
      </c>
      <c r="I44" s="8">
        <v>0</v>
      </c>
      <c r="J44" s="8">
        <v>310125.07</v>
      </c>
      <c r="K44" s="8">
        <v>300000</v>
      </c>
      <c r="L44" s="8">
        <v>10125.07</v>
      </c>
      <c r="M44" s="8">
        <f t="shared" si="6"/>
        <v>3367075.59</v>
      </c>
      <c r="N44" s="8">
        <f t="shared" si="4"/>
        <v>3377200.6599999997</v>
      </c>
      <c r="O44" s="8">
        <f t="shared" si="7"/>
        <v>250000</v>
      </c>
      <c r="P44" s="8">
        <f t="shared" si="5"/>
        <v>250000</v>
      </c>
      <c r="S44" s="12"/>
    </row>
    <row r="45" spans="1:19" x14ac:dyDescent="0.25">
      <c r="A45" s="7">
        <v>43</v>
      </c>
      <c r="B45" s="8">
        <v>0</v>
      </c>
      <c r="C45" s="8">
        <v>0</v>
      </c>
      <c r="D45" s="8">
        <v>1500000</v>
      </c>
      <c r="E45" s="8">
        <v>1031500</v>
      </c>
      <c r="F45" s="8">
        <v>2083.33</v>
      </c>
      <c r="G45" s="8">
        <v>0</v>
      </c>
      <c r="H45" s="8">
        <v>149920</v>
      </c>
      <c r="I45" s="8">
        <v>0</v>
      </c>
      <c r="J45" s="8">
        <v>316496.67</v>
      </c>
      <c r="K45" s="8">
        <v>0</v>
      </c>
      <c r="L45" s="8">
        <v>316496.67</v>
      </c>
      <c r="M45" s="8">
        <f t="shared" si="6"/>
        <v>3377200.6599999997</v>
      </c>
      <c r="N45" s="8">
        <f t="shared" si="4"/>
        <v>3693697.3299999996</v>
      </c>
      <c r="O45" s="8">
        <f t="shared" si="7"/>
        <v>250000</v>
      </c>
      <c r="P45" s="8">
        <f t="shared" si="5"/>
        <v>250000</v>
      </c>
      <c r="S45" s="12"/>
    </row>
    <row r="46" spans="1:19" x14ac:dyDescent="0.25">
      <c r="A46" s="7">
        <v>44</v>
      </c>
      <c r="B46" s="8">
        <v>0</v>
      </c>
      <c r="C46" s="8">
        <v>0</v>
      </c>
      <c r="D46" s="8">
        <v>1500000</v>
      </c>
      <c r="E46" s="8">
        <v>1031500</v>
      </c>
      <c r="F46" s="8">
        <v>2083.33</v>
      </c>
      <c r="G46" s="8">
        <v>0</v>
      </c>
      <c r="H46" s="8">
        <v>149920</v>
      </c>
      <c r="I46" s="8">
        <v>0</v>
      </c>
      <c r="J46" s="8">
        <v>316496.67</v>
      </c>
      <c r="K46" s="8">
        <v>300000</v>
      </c>
      <c r="L46" s="8">
        <v>16496.669999999998</v>
      </c>
      <c r="M46" s="8">
        <f t="shared" si="6"/>
        <v>3693697.3299999996</v>
      </c>
      <c r="N46" s="8">
        <f t="shared" si="4"/>
        <v>3710193.9999999995</v>
      </c>
      <c r="O46" s="8">
        <f t="shared" si="7"/>
        <v>250000</v>
      </c>
      <c r="P46" s="8">
        <f t="shared" si="5"/>
        <v>250000</v>
      </c>
      <c r="S46" s="12"/>
    </row>
    <row r="47" spans="1:19" x14ac:dyDescent="0.25">
      <c r="A47" s="7">
        <v>45</v>
      </c>
      <c r="B47" s="8">
        <v>0</v>
      </c>
      <c r="C47" s="8">
        <v>0</v>
      </c>
      <c r="D47" s="8">
        <v>1530000</v>
      </c>
      <c r="E47" s="8">
        <v>1052130</v>
      </c>
      <c r="F47" s="8">
        <v>2083.33</v>
      </c>
      <c r="G47" s="8">
        <v>0</v>
      </c>
      <c r="H47" s="8">
        <v>152918.39999999999</v>
      </c>
      <c r="I47" s="8">
        <v>0</v>
      </c>
      <c r="J47" s="8">
        <v>322868.27</v>
      </c>
      <c r="K47" s="8">
        <v>0</v>
      </c>
      <c r="L47" s="8">
        <v>322868.27</v>
      </c>
      <c r="M47" s="8">
        <f t="shared" si="6"/>
        <v>3710193.9999999995</v>
      </c>
      <c r="N47" s="8">
        <f t="shared" si="4"/>
        <v>4033062.2699999996</v>
      </c>
      <c r="O47" s="8">
        <f t="shared" si="7"/>
        <v>250000</v>
      </c>
      <c r="P47" s="8">
        <f t="shared" si="5"/>
        <v>250000</v>
      </c>
      <c r="S47" s="12"/>
    </row>
    <row r="48" spans="1:19" x14ac:dyDescent="0.25">
      <c r="A48" s="7">
        <v>46</v>
      </c>
      <c r="B48" s="8">
        <v>0</v>
      </c>
      <c r="C48" s="8">
        <v>0</v>
      </c>
      <c r="D48" s="8">
        <v>1530000</v>
      </c>
      <c r="E48" s="8">
        <v>1052130</v>
      </c>
      <c r="F48" s="8">
        <v>2083.33</v>
      </c>
      <c r="G48" s="8">
        <v>0</v>
      </c>
      <c r="H48" s="8">
        <v>152918.39999999999</v>
      </c>
      <c r="I48" s="8">
        <v>0</v>
      </c>
      <c r="J48" s="8">
        <v>322868.27</v>
      </c>
      <c r="K48" s="8">
        <v>240000</v>
      </c>
      <c r="L48" s="8">
        <v>82868.27</v>
      </c>
      <c r="M48" s="8">
        <f t="shared" si="6"/>
        <v>4033062.2699999996</v>
      </c>
      <c r="N48" s="8">
        <f t="shared" si="4"/>
        <v>4115930.5399999996</v>
      </c>
      <c r="O48" s="8">
        <f t="shared" si="7"/>
        <v>250000</v>
      </c>
      <c r="P48" s="8">
        <f t="shared" si="5"/>
        <v>250000</v>
      </c>
      <c r="S48" s="12"/>
    </row>
    <row r="49" spans="1:19" x14ac:dyDescent="0.25">
      <c r="A49" s="7">
        <v>47</v>
      </c>
      <c r="B49" s="8">
        <v>0</v>
      </c>
      <c r="C49" s="8">
        <v>0</v>
      </c>
      <c r="D49" s="8">
        <v>1680000</v>
      </c>
      <c r="E49" s="8">
        <v>1155280</v>
      </c>
      <c r="F49" s="8">
        <v>2083.33</v>
      </c>
      <c r="G49" s="8">
        <v>0</v>
      </c>
      <c r="H49" s="8">
        <v>167910.39999999999</v>
      </c>
      <c r="I49" s="8">
        <v>0</v>
      </c>
      <c r="J49" s="8">
        <v>354726.27</v>
      </c>
      <c r="K49" s="8">
        <v>0</v>
      </c>
      <c r="L49" s="8">
        <v>354726.27</v>
      </c>
      <c r="M49" s="8">
        <f t="shared" si="6"/>
        <v>4115930.5399999996</v>
      </c>
      <c r="N49" s="8">
        <f t="shared" si="4"/>
        <v>4470656.8099999996</v>
      </c>
      <c r="O49" s="8">
        <f t="shared" si="7"/>
        <v>250000</v>
      </c>
      <c r="P49" s="8">
        <f t="shared" si="5"/>
        <v>250000</v>
      </c>
      <c r="S49" s="12"/>
    </row>
    <row r="50" spans="1:19" x14ac:dyDescent="0.25">
      <c r="A50" s="7">
        <v>48</v>
      </c>
      <c r="B50" s="8">
        <v>0</v>
      </c>
      <c r="C50" s="8">
        <v>0</v>
      </c>
      <c r="D50" s="8">
        <v>1560000</v>
      </c>
      <c r="E50" s="8">
        <v>1072760</v>
      </c>
      <c r="F50" s="8">
        <v>2083.33</v>
      </c>
      <c r="G50" s="8">
        <v>0</v>
      </c>
      <c r="H50" s="8">
        <v>155916.79999999999</v>
      </c>
      <c r="I50" s="8">
        <v>0</v>
      </c>
      <c r="J50" s="8">
        <v>329239.87</v>
      </c>
      <c r="K50" s="8">
        <v>360000</v>
      </c>
      <c r="L50" s="8">
        <v>-30760.13</v>
      </c>
      <c r="M50" s="8">
        <f t="shared" si="6"/>
        <v>4470656.8099999996</v>
      </c>
      <c r="N50" s="8">
        <f t="shared" si="4"/>
        <v>4439896.68</v>
      </c>
      <c r="O50" s="8">
        <f t="shared" si="7"/>
        <v>250000</v>
      </c>
      <c r="P50" s="8">
        <f t="shared" si="5"/>
        <v>250000</v>
      </c>
      <c r="Q50" s="12"/>
      <c r="S50" s="12"/>
    </row>
    <row r="51" spans="1:19" x14ac:dyDescent="0.25">
      <c r="A51" s="7">
        <v>49</v>
      </c>
      <c r="B51" s="8">
        <v>0</v>
      </c>
      <c r="C51" s="8">
        <v>0</v>
      </c>
      <c r="D51" s="8">
        <v>1680000</v>
      </c>
      <c r="E51" s="8">
        <v>1155280</v>
      </c>
      <c r="F51" s="8">
        <v>2083.33</v>
      </c>
      <c r="G51" s="8">
        <v>0</v>
      </c>
      <c r="H51" s="8">
        <v>167910.39999999999</v>
      </c>
      <c r="I51" s="8">
        <v>0</v>
      </c>
      <c r="J51" s="8">
        <v>354726.27</v>
      </c>
      <c r="K51" s="8">
        <v>0</v>
      </c>
      <c r="L51" s="8">
        <v>354726.27</v>
      </c>
      <c r="M51" s="8">
        <f t="shared" si="6"/>
        <v>4439896.68</v>
      </c>
      <c r="N51" s="8">
        <f t="shared" si="4"/>
        <v>4794622.9499999993</v>
      </c>
      <c r="O51" s="8">
        <f t="shared" si="7"/>
        <v>250000</v>
      </c>
      <c r="P51" s="8">
        <f t="shared" si="5"/>
        <v>250000</v>
      </c>
      <c r="S51" s="12"/>
    </row>
    <row r="52" spans="1:19" x14ac:dyDescent="0.25">
      <c r="A52" s="7">
        <v>50</v>
      </c>
      <c r="B52" s="8">
        <v>0</v>
      </c>
      <c r="C52" s="8">
        <v>0</v>
      </c>
      <c r="D52" s="8">
        <v>1560000</v>
      </c>
      <c r="E52" s="8">
        <v>1072760</v>
      </c>
      <c r="F52" s="8">
        <v>2083.33</v>
      </c>
      <c r="G52" s="8">
        <v>0</v>
      </c>
      <c r="H52" s="8">
        <v>155916.79999999999</v>
      </c>
      <c r="I52" s="8">
        <v>0</v>
      </c>
      <c r="J52" s="8">
        <v>329239.87</v>
      </c>
      <c r="K52" s="8">
        <v>300000</v>
      </c>
      <c r="L52" s="8">
        <v>29239.87</v>
      </c>
      <c r="M52" s="8">
        <f t="shared" si="6"/>
        <v>4794622.9499999993</v>
      </c>
      <c r="N52" s="8">
        <f t="shared" si="4"/>
        <v>4823862.8199999994</v>
      </c>
      <c r="O52" s="8">
        <f t="shared" si="7"/>
        <v>250000</v>
      </c>
      <c r="P52" s="8">
        <f t="shared" si="5"/>
        <v>250000</v>
      </c>
      <c r="S52" s="12"/>
    </row>
    <row r="53" spans="1:19" x14ac:dyDescent="0.25">
      <c r="A53" s="7">
        <v>51</v>
      </c>
      <c r="B53" s="8">
        <v>0</v>
      </c>
      <c r="C53" s="8">
        <v>0</v>
      </c>
      <c r="D53" s="8">
        <v>1740000</v>
      </c>
      <c r="E53" s="8">
        <v>1196540</v>
      </c>
      <c r="F53" s="8">
        <v>2083.33</v>
      </c>
      <c r="G53" s="8">
        <v>0</v>
      </c>
      <c r="H53" s="8">
        <v>173907.20000000001</v>
      </c>
      <c r="I53" s="8">
        <v>0</v>
      </c>
      <c r="J53" s="8">
        <v>367469.47</v>
      </c>
      <c r="K53" s="8">
        <v>0</v>
      </c>
      <c r="L53" s="8">
        <v>367469.47</v>
      </c>
      <c r="M53" s="8">
        <f t="shared" si="6"/>
        <v>4823862.8199999994</v>
      </c>
      <c r="N53" s="8">
        <f t="shared" si="4"/>
        <v>5191332.2899999991</v>
      </c>
      <c r="O53" s="8">
        <f t="shared" si="7"/>
        <v>250000</v>
      </c>
      <c r="P53" s="8">
        <f t="shared" si="5"/>
        <v>250000</v>
      </c>
      <c r="S53" s="12"/>
    </row>
    <row r="54" spans="1:19" x14ac:dyDescent="0.25">
      <c r="A54" s="7">
        <v>52</v>
      </c>
      <c r="B54" s="8">
        <v>0</v>
      </c>
      <c r="C54" s="8">
        <v>0</v>
      </c>
      <c r="D54" s="8">
        <v>1740000</v>
      </c>
      <c r="E54" s="8">
        <v>1196540</v>
      </c>
      <c r="F54" s="8">
        <v>2083.33</v>
      </c>
      <c r="G54" s="8">
        <v>0</v>
      </c>
      <c r="H54" s="8">
        <v>173907.20000000001</v>
      </c>
      <c r="I54" s="8">
        <v>0</v>
      </c>
      <c r="J54" s="8">
        <v>367469.47</v>
      </c>
      <c r="K54" s="8">
        <v>300000</v>
      </c>
      <c r="L54" s="8">
        <v>67469.47</v>
      </c>
      <c r="M54" s="8">
        <f t="shared" si="6"/>
        <v>5191332.2899999991</v>
      </c>
      <c r="N54" s="8">
        <f t="shared" si="4"/>
        <v>5258801.7599999988</v>
      </c>
      <c r="O54" s="8">
        <f t="shared" si="7"/>
        <v>250000</v>
      </c>
      <c r="P54" s="8">
        <f t="shared" si="5"/>
        <v>250000</v>
      </c>
      <c r="S54" s="12"/>
    </row>
    <row r="55" spans="1:19" x14ac:dyDescent="0.25">
      <c r="A55" s="7">
        <v>53</v>
      </c>
      <c r="B55" s="8">
        <v>0</v>
      </c>
      <c r="C55" s="8">
        <v>0</v>
      </c>
      <c r="D55" s="8">
        <v>1740000</v>
      </c>
      <c r="E55" s="8">
        <v>1196540</v>
      </c>
      <c r="F55" s="8">
        <v>2083.33</v>
      </c>
      <c r="G55" s="8">
        <v>0</v>
      </c>
      <c r="H55" s="8">
        <v>173907.20000000001</v>
      </c>
      <c r="I55" s="8">
        <v>0</v>
      </c>
      <c r="J55" s="8">
        <v>367469.47</v>
      </c>
      <c r="K55" s="8">
        <v>0</v>
      </c>
      <c r="L55" s="8">
        <v>367469.47</v>
      </c>
      <c r="M55" s="8">
        <f t="shared" si="6"/>
        <v>5258801.7599999988</v>
      </c>
      <c r="N55" s="8">
        <f t="shared" si="4"/>
        <v>5626271.2299999986</v>
      </c>
      <c r="O55" s="8">
        <f t="shared" si="7"/>
        <v>250000</v>
      </c>
      <c r="P55" s="8">
        <f t="shared" si="5"/>
        <v>250000</v>
      </c>
      <c r="S55" s="12"/>
    </row>
    <row r="56" spans="1:19" x14ac:dyDescent="0.25">
      <c r="A56" s="7">
        <v>54</v>
      </c>
      <c r="B56" s="8">
        <v>0</v>
      </c>
      <c r="C56" s="8">
        <v>0</v>
      </c>
      <c r="D56" s="8">
        <v>1740000</v>
      </c>
      <c r="E56" s="8">
        <v>1196540</v>
      </c>
      <c r="F56" s="8">
        <v>2083.33</v>
      </c>
      <c r="G56" s="8">
        <v>0</v>
      </c>
      <c r="H56" s="8">
        <v>173907.20000000001</v>
      </c>
      <c r="I56" s="8">
        <v>0</v>
      </c>
      <c r="J56" s="8">
        <v>367469.47</v>
      </c>
      <c r="K56" s="8">
        <v>360000</v>
      </c>
      <c r="L56" s="8">
        <v>7469.47</v>
      </c>
      <c r="M56" s="8">
        <f t="shared" si="6"/>
        <v>5626271.2299999986</v>
      </c>
      <c r="N56" s="8">
        <f t="shared" si="4"/>
        <v>5633740.6999999983</v>
      </c>
      <c r="O56" s="8">
        <f t="shared" si="7"/>
        <v>250000</v>
      </c>
      <c r="P56" s="8">
        <f t="shared" si="5"/>
        <v>250000</v>
      </c>
      <c r="S56" s="12"/>
    </row>
    <row r="57" spans="1:19" x14ac:dyDescent="0.25">
      <c r="A57" s="7">
        <v>55</v>
      </c>
      <c r="B57" s="8">
        <v>0</v>
      </c>
      <c r="C57" s="8">
        <v>0</v>
      </c>
      <c r="D57" s="8">
        <v>1770000</v>
      </c>
      <c r="E57" s="8">
        <v>1217170</v>
      </c>
      <c r="F57" s="8">
        <v>2083.33</v>
      </c>
      <c r="G57" s="8">
        <v>0</v>
      </c>
      <c r="H57" s="8">
        <v>176905.60000000001</v>
      </c>
      <c r="I57" s="8">
        <v>0</v>
      </c>
      <c r="J57" s="8">
        <v>373841.07</v>
      </c>
      <c r="K57" s="8">
        <v>0</v>
      </c>
      <c r="L57" s="8">
        <v>373841.07</v>
      </c>
      <c r="M57" s="8">
        <f t="shared" si="6"/>
        <v>5633740.6999999983</v>
      </c>
      <c r="N57" s="8">
        <f t="shared" si="4"/>
        <v>6007581.7699999986</v>
      </c>
      <c r="O57" s="8">
        <f t="shared" si="7"/>
        <v>250000</v>
      </c>
      <c r="P57" s="8">
        <f t="shared" si="5"/>
        <v>250000</v>
      </c>
      <c r="S57" s="12"/>
    </row>
    <row r="58" spans="1:19" x14ac:dyDescent="0.25">
      <c r="A58" s="7">
        <v>56</v>
      </c>
      <c r="B58" s="8">
        <v>0</v>
      </c>
      <c r="C58" s="8">
        <v>0</v>
      </c>
      <c r="D58" s="8">
        <v>1770000</v>
      </c>
      <c r="E58" s="8">
        <v>1217170</v>
      </c>
      <c r="F58" s="8">
        <v>2083.33</v>
      </c>
      <c r="G58" s="8">
        <v>0</v>
      </c>
      <c r="H58" s="8">
        <v>176905.60000000001</v>
      </c>
      <c r="I58" s="8">
        <v>0</v>
      </c>
      <c r="J58" s="8">
        <v>373841.07</v>
      </c>
      <c r="K58" s="8">
        <v>360000</v>
      </c>
      <c r="L58" s="8">
        <v>13841.07</v>
      </c>
      <c r="M58" s="8">
        <f t="shared" si="6"/>
        <v>6007581.7699999986</v>
      </c>
      <c r="N58" s="8">
        <f t="shared" si="4"/>
        <v>6021422.8399999989</v>
      </c>
      <c r="O58" s="8">
        <f t="shared" si="7"/>
        <v>250000</v>
      </c>
      <c r="P58" s="8">
        <f t="shared" si="5"/>
        <v>250000</v>
      </c>
      <c r="S58" s="12"/>
    </row>
    <row r="59" spans="1:19" x14ac:dyDescent="0.25">
      <c r="A59" s="7">
        <v>57</v>
      </c>
      <c r="B59" s="8">
        <v>0</v>
      </c>
      <c r="C59" s="8">
        <v>0</v>
      </c>
      <c r="D59" s="8">
        <v>1830000</v>
      </c>
      <c r="E59" s="8">
        <v>1258430</v>
      </c>
      <c r="F59" s="8">
        <v>2083.33</v>
      </c>
      <c r="G59" s="8">
        <v>0</v>
      </c>
      <c r="H59" s="8">
        <v>182902.39999999999</v>
      </c>
      <c r="I59" s="8">
        <v>0</v>
      </c>
      <c r="J59" s="8">
        <v>386584.27</v>
      </c>
      <c r="K59" s="8">
        <v>0</v>
      </c>
      <c r="L59" s="8">
        <v>386584.27</v>
      </c>
      <c r="M59" s="8">
        <f t="shared" si="6"/>
        <v>6021422.8399999989</v>
      </c>
      <c r="N59" s="8">
        <f t="shared" si="4"/>
        <v>6408007.1099999994</v>
      </c>
      <c r="O59" s="8">
        <f t="shared" si="7"/>
        <v>250000</v>
      </c>
      <c r="P59" s="8">
        <f t="shared" si="5"/>
        <v>250000</v>
      </c>
      <c r="S59" s="12"/>
    </row>
    <row r="60" spans="1:19" x14ac:dyDescent="0.25">
      <c r="A60" s="7">
        <v>58</v>
      </c>
      <c r="B60" s="8">
        <v>0</v>
      </c>
      <c r="C60" s="8">
        <v>0</v>
      </c>
      <c r="D60" s="8">
        <v>1830000</v>
      </c>
      <c r="E60" s="8">
        <v>1258430</v>
      </c>
      <c r="F60" s="8">
        <v>2083.33</v>
      </c>
      <c r="G60" s="8">
        <v>0</v>
      </c>
      <c r="H60" s="8">
        <v>182902.39999999999</v>
      </c>
      <c r="I60" s="8">
        <v>0</v>
      </c>
      <c r="J60" s="8">
        <v>386584.27</v>
      </c>
      <c r="K60" s="8">
        <v>300000</v>
      </c>
      <c r="L60" s="8">
        <v>86584.27</v>
      </c>
      <c r="M60" s="8">
        <f t="shared" si="6"/>
        <v>6408007.1099999994</v>
      </c>
      <c r="N60" s="8">
        <f t="shared" si="4"/>
        <v>6494591.379999999</v>
      </c>
      <c r="O60" s="8">
        <f t="shared" si="7"/>
        <v>250000</v>
      </c>
      <c r="P60" s="8">
        <f t="shared" si="5"/>
        <v>250000</v>
      </c>
      <c r="S60" s="12"/>
    </row>
    <row r="61" spans="1:19" x14ac:dyDescent="0.25">
      <c r="A61" s="7">
        <v>59</v>
      </c>
      <c r="B61" s="8">
        <v>0</v>
      </c>
      <c r="C61" s="8">
        <v>0</v>
      </c>
      <c r="D61" s="8">
        <v>1890000</v>
      </c>
      <c r="E61" s="8">
        <v>1299690</v>
      </c>
      <c r="F61" s="8">
        <v>2083.33</v>
      </c>
      <c r="G61" s="8">
        <v>0</v>
      </c>
      <c r="H61" s="8">
        <v>188899.20000000001</v>
      </c>
      <c r="I61" s="8">
        <v>0</v>
      </c>
      <c r="J61" s="8">
        <v>399327.47</v>
      </c>
      <c r="K61" s="8">
        <v>0</v>
      </c>
      <c r="L61" s="8">
        <v>399327.47</v>
      </c>
      <c r="M61" s="8">
        <f t="shared" si="6"/>
        <v>6494591.379999999</v>
      </c>
      <c r="N61" s="8">
        <f t="shared" si="4"/>
        <v>6893918.8499999987</v>
      </c>
      <c r="O61" s="8">
        <f t="shared" si="7"/>
        <v>250000</v>
      </c>
      <c r="P61" s="8">
        <f t="shared" si="5"/>
        <v>250000</v>
      </c>
      <c r="S61" s="12"/>
    </row>
    <row r="62" spans="1:19" x14ac:dyDescent="0.25">
      <c r="A62" s="7">
        <v>60</v>
      </c>
      <c r="B62" s="8">
        <v>0</v>
      </c>
      <c r="C62" s="8">
        <v>0</v>
      </c>
      <c r="D62" s="8">
        <v>1890000</v>
      </c>
      <c r="E62" s="8">
        <v>1299690</v>
      </c>
      <c r="F62" s="8">
        <v>2083.33</v>
      </c>
      <c r="G62" s="8">
        <v>0</v>
      </c>
      <c r="H62" s="8">
        <v>188899.20000000001</v>
      </c>
      <c r="I62" s="8">
        <v>0</v>
      </c>
      <c r="J62" s="8">
        <v>399327.47</v>
      </c>
      <c r="K62" s="8">
        <v>360000</v>
      </c>
      <c r="L62" s="8">
        <v>39327.47</v>
      </c>
      <c r="M62" s="8">
        <f t="shared" si="6"/>
        <v>6893918.8499999987</v>
      </c>
      <c r="N62" s="8">
        <f t="shared" si="4"/>
        <v>6933246.3199999984</v>
      </c>
      <c r="O62" s="8">
        <f t="shared" si="7"/>
        <v>250000</v>
      </c>
      <c r="P62" s="8">
        <f t="shared" si="5"/>
        <v>250000</v>
      </c>
      <c r="S62" s="12"/>
    </row>
    <row r="63" spans="1:19" ht="15" customHeight="1" x14ac:dyDescent="0.25">
      <c r="J63" s="12"/>
    </row>
  </sheetData>
  <mergeCells count="1">
    <mergeCell ref="A1:P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defaultColWidth="8.7109375" defaultRowHeight="15" customHeight="1" x14ac:dyDescent="0.25"/>
  <cols>
    <col min="2" max="2" width="10" customWidth="1"/>
    <col min="3" max="3" width="12" customWidth="1"/>
    <col min="4" max="4" width="14.140625" bestFit="1" customWidth="1"/>
    <col min="5" max="5" width="17.7109375" customWidth="1"/>
    <col min="6" max="9" width="12" customWidth="1"/>
    <col min="10" max="10" width="13.140625" customWidth="1"/>
    <col min="11" max="11" width="11.140625" bestFit="1" customWidth="1"/>
    <col min="12" max="12" width="14.85546875" bestFit="1" customWidth="1"/>
    <col min="13" max="13" width="12.7109375" bestFit="1" customWidth="1"/>
    <col min="14" max="14" width="12" customWidth="1"/>
    <col min="15" max="15" width="12.7109375" bestFit="1" customWidth="1"/>
    <col min="16" max="16" width="12" customWidth="1"/>
    <col min="17" max="17" width="12.7109375" bestFit="1" customWidth="1"/>
    <col min="18" max="18" width="19.7109375" customWidth="1"/>
    <col min="19" max="19" width="12" customWidth="1"/>
    <col min="20" max="20" width="15.28515625" customWidth="1"/>
    <col min="21" max="21" width="14.42578125" customWidth="1"/>
    <col min="22" max="25" width="12" customWidth="1"/>
  </cols>
  <sheetData>
    <row r="1" spans="1:25" ht="17.25" customHeight="1" x14ac:dyDescent="0.3">
      <c r="A1" s="25" t="s">
        <v>106</v>
      </c>
      <c r="B1" s="24"/>
      <c r="C1" s="24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5" ht="31.5" customHeight="1" x14ac:dyDescent="0.25">
      <c r="A2" s="17" t="s">
        <v>107</v>
      </c>
      <c r="B2" s="2" t="s">
        <v>1</v>
      </c>
      <c r="C2" s="2" t="s">
        <v>108</v>
      </c>
      <c r="D2" s="2" t="s">
        <v>109</v>
      </c>
      <c r="E2" s="2" t="s">
        <v>110</v>
      </c>
      <c r="F2" s="2" t="s">
        <v>111</v>
      </c>
      <c r="G2" s="2" t="s">
        <v>112</v>
      </c>
      <c r="H2" s="2" t="s">
        <v>113</v>
      </c>
      <c r="I2" s="2" t="s">
        <v>114</v>
      </c>
      <c r="J2" s="2" t="s">
        <v>115</v>
      </c>
      <c r="K2" s="2" t="s">
        <v>116</v>
      </c>
      <c r="L2" s="2" t="s">
        <v>117</v>
      </c>
      <c r="M2" s="13" t="s">
        <v>118</v>
      </c>
      <c r="N2" s="2" t="s">
        <v>119</v>
      </c>
      <c r="O2" s="2" t="s">
        <v>120</v>
      </c>
      <c r="P2" s="2" t="s">
        <v>121</v>
      </c>
      <c r="Q2" s="13" t="s">
        <v>122</v>
      </c>
      <c r="R2" s="2" t="s">
        <v>123</v>
      </c>
      <c r="S2" s="2" t="s">
        <v>124</v>
      </c>
      <c r="T2" s="2"/>
      <c r="U2" s="2"/>
      <c r="V2" s="2"/>
      <c r="W2" s="2"/>
      <c r="X2" s="2"/>
      <c r="Y2" s="2"/>
    </row>
    <row r="3" spans="1:25" x14ac:dyDescent="0.25">
      <c r="A3" s="7">
        <v>1</v>
      </c>
      <c r="B3" s="7">
        <v>1</v>
      </c>
      <c r="C3" s="6">
        <v>4</v>
      </c>
      <c r="D3" s="8">
        <v>120000</v>
      </c>
      <c r="E3" s="8">
        <v>52000</v>
      </c>
      <c r="F3" s="8">
        <v>1160</v>
      </c>
      <c r="G3" s="8">
        <v>960</v>
      </c>
      <c r="H3" s="8">
        <v>5000</v>
      </c>
      <c r="I3" s="8">
        <v>5600</v>
      </c>
      <c r="J3" s="8">
        <v>2000</v>
      </c>
      <c r="K3" s="8">
        <v>3800</v>
      </c>
      <c r="L3" s="8">
        <v>70520</v>
      </c>
      <c r="M3" s="8">
        <v>49480</v>
      </c>
      <c r="N3" s="8">
        <v>12000</v>
      </c>
      <c r="O3" s="8">
        <v>12000</v>
      </c>
      <c r="P3" s="8">
        <v>37480</v>
      </c>
      <c r="Q3" s="8">
        <v>11993.6</v>
      </c>
      <c r="R3" s="8">
        <v>25486.400000000001</v>
      </c>
      <c r="S3" s="8">
        <f t="shared" ref="S3:S34" si="0">$Q3-$R3</f>
        <v>-13492.800000000001</v>
      </c>
      <c r="T3" s="8"/>
      <c r="U3" s="8"/>
      <c r="V3" s="8"/>
      <c r="W3" s="8"/>
      <c r="X3" s="8"/>
      <c r="Y3" s="8"/>
    </row>
    <row r="4" spans="1:25" x14ac:dyDescent="0.25">
      <c r="A4" s="7">
        <v>1</v>
      </c>
      <c r="B4" s="7">
        <v>2</v>
      </c>
      <c r="C4" s="6">
        <v>4</v>
      </c>
      <c r="D4" s="8">
        <v>120000</v>
      </c>
      <c r="E4" s="8">
        <v>52000</v>
      </c>
      <c r="F4" s="8">
        <v>1160</v>
      </c>
      <c r="G4" s="8">
        <v>960</v>
      </c>
      <c r="H4" s="8">
        <v>5000</v>
      </c>
      <c r="I4" s="8">
        <v>5600</v>
      </c>
      <c r="J4" s="8">
        <v>2000</v>
      </c>
      <c r="K4" s="8">
        <v>3800</v>
      </c>
      <c r="L4" s="8">
        <v>70520</v>
      </c>
      <c r="M4" s="8">
        <v>49480</v>
      </c>
      <c r="N4" s="8">
        <v>12000</v>
      </c>
      <c r="O4" s="8">
        <v>12000</v>
      </c>
      <c r="P4" s="8">
        <v>37480</v>
      </c>
      <c r="Q4" s="8">
        <v>11993.6</v>
      </c>
      <c r="R4" s="8">
        <v>25486.400000000001</v>
      </c>
      <c r="S4" s="8">
        <f t="shared" si="0"/>
        <v>-13492.800000000001</v>
      </c>
      <c r="T4" s="8"/>
      <c r="U4" s="8"/>
      <c r="V4" s="8"/>
      <c r="W4" s="8"/>
      <c r="X4" s="8"/>
      <c r="Y4" s="8"/>
    </row>
    <row r="5" spans="1:25" x14ac:dyDescent="0.25">
      <c r="A5" s="7">
        <v>1</v>
      </c>
      <c r="B5" s="7">
        <v>3</v>
      </c>
      <c r="C5" s="6">
        <v>4</v>
      </c>
      <c r="D5" s="8">
        <v>120000</v>
      </c>
      <c r="E5" s="8">
        <v>52000</v>
      </c>
      <c r="F5" s="8">
        <v>1160</v>
      </c>
      <c r="G5" s="8">
        <v>960</v>
      </c>
      <c r="H5" s="8">
        <v>5000</v>
      </c>
      <c r="I5" s="8">
        <v>5600</v>
      </c>
      <c r="J5" s="8">
        <v>2000</v>
      </c>
      <c r="K5" s="8">
        <v>3800</v>
      </c>
      <c r="L5" s="8">
        <v>70520</v>
      </c>
      <c r="M5" s="8">
        <v>49480</v>
      </c>
      <c r="N5" s="8">
        <v>12000</v>
      </c>
      <c r="O5" s="8">
        <v>12000</v>
      </c>
      <c r="P5" s="8">
        <v>37480</v>
      </c>
      <c r="Q5" s="8">
        <v>11993.6</v>
      </c>
      <c r="R5" s="8">
        <v>25486.400000000001</v>
      </c>
      <c r="S5" s="8">
        <f t="shared" si="0"/>
        <v>-13492.800000000001</v>
      </c>
      <c r="T5" s="8"/>
      <c r="U5" s="8"/>
      <c r="V5" s="8"/>
      <c r="W5" s="8"/>
      <c r="X5" s="8"/>
      <c r="Y5" s="8"/>
    </row>
    <row r="6" spans="1:25" x14ac:dyDescent="0.25">
      <c r="A6" s="7">
        <v>1</v>
      </c>
      <c r="B6" s="7">
        <v>4</v>
      </c>
      <c r="C6" s="6">
        <v>4</v>
      </c>
      <c r="D6" s="8">
        <v>120000</v>
      </c>
      <c r="E6" s="8">
        <v>52000</v>
      </c>
      <c r="F6" s="8">
        <v>1160</v>
      </c>
      <c r="G6" s="8">
        <v>960</v>
      </c>
      <c r="H6" s="8">
        <v>5000</v>
      </c>
      <c r="I6" s="8">
        <v>5600</v>
      </c>
      <c r="J6" s="8">
        <v>2000</v>
      </c>
      <c r="K6" s="8">
        <v>3800</v>
      </c>
      <c r="L6" s="8">
        <v>70520</v>
      </c>
      <c r="M6" s="8">
        <v>49480</v>
      </c>
      <c r="N6" s="8">
        <v>12000</v>
      </c>
      <c r="O6" s="8">
        <v>12000</v>
      </c>
      <c r="P6" s="8">
        <v>37480</v>
      </c>
      <c r="Q6" s="8">
        <v>11993.6</v>
      </c>
      <c r="R6" s="8">
        <v>25486.400000000001</v>
      </c>
      <c r="S6" s="8">
        <f t="shared" si="0"/>
        <v>-13492.800000000001</v>
      </c>
      <c r="T6" s="8"/>
      <c r="U6" s="8"/>
      <c r="V6" s="8"/>
      <c r="W6" s="8"/>
      <c r="X6" s="8"/>
      <c r="Y6" s="8"/>
    </row>
    <row r="7" spans="1:25" x14ac:dyDescent="0.25">
      <c r="A7" s="7">
        <v>1</v>
      </c>
      <c r="B7" s="7">
        <v>5</v>
      </c>
      <c r="C7" s="6">
        <v>4</v>
      </c>
      <c r="D7" s="8">
        <v>120000</v>
      </c>
      <c r="E7" s="8">
        <v>52000</v>
      </c>
      <c r="F7" s="8">
        <v>1160</v>
      </c>
      <c r="G7" s="8">
        <v>960</v>
      </c>
      <c r="H7" s="8">
        <v>5000</v>
      </c>
      <c r="I7" s="8">
        <v>5600</v>
      </c>
      <c r="J7" s="8">
        <v>2000</v>
      </c>
      <c r="K7" s="8">
        <v>3800</v>
      </c>
      <c r="L7" s="8">
        <v>70520</v>
      </c>
      <c r="M7" s="8">
        <v>49480</v>
      </c>
      <c r="N7" s="8">
        <v>12000</v>
      </c>
      <c r="O7" s="8">
        <v>12000</v>
      </c>
      <c r="P7" s="8">
        <v>37480</v>
      </c>
      <c r="Q7" s="8">
        <v>11993.6</v>
      </c>
      <c r="R7" s="8">
        <v>25486.400000000001</v>
      </c>
      <c r="S7" s="8">
        <f t="shared" si="0"/>
        <v>-13492.800000000001</v>
      </c>
      <c r="V7" s="8"/>
      <c r="W7" s="8"/>
      <c r="X7" s="8"/>
      <c r="Y7" s="8"/>
    </row>
    <row r="8" spans="1:25" x14ac:dyDescent="0.25">
      <c r="A8" s="7">
        <v>1</v>
      </c>
      <c r="B8" s="7">
        <v>6</v>
      </c>
      <c r="C8" s="6">
        <v>4</v>
      </c>
      <c r="D8" s="8">
        <v>120000</v>
      </c>
      <c r="E8" s="8">
        <v>52000</v>
      </c>
      <c r="F8" s="8">
        <v>1160</v>
      </c>
      <c r="G8" s="8">
        <v>960</v>
      </c>
      <c r="H8" s="8">
        <v>5000</v>
      </c>
      <c r="I8" s="8">
        <v>5600</v>
      </c>
      <c r="J8" s="8">
        <v>2000</v>
      </c>
      <c r="K8" s="8">
        <v>3800</v>
      </c>
      <c r="L8" s="8">
        <v>70520</v>
      </c>
      <c r="M8" s="8">
        <v>49480</v>
      </c>
      <c r="N8" s="8">
        <v>12000</v>
      </c>
      <c r="O8" s="8">
        <v>12000</v>
      </c>
      <c r="P8" s="8">
        <v>37480</v>
      </c>
      <c r="Q8" s="8">
        <v>11993.6</v>
      </c>
      <c r="R8" s="8">
        <v>25486.400000000001</v>
      </c>
      <c r="S8" s="8">
        <f t="shared" si="0"/>
        <v>-13492.800000000001</v>
      </c>
      <c r="V8" s="8"/>
      <c r="W8" s="8"/>
      <c r="X8" s="8"/>
      <c r="Y8" s="8"/>
    </row>
    <row r="9" spans="1:25" x14ac:dyDescent="0.25">
      <c r="A9" s="7">
        <v>1</v>
      </c>
      <c r="B9" s="7">
        <v>7</v>
      </c>
      <c r="C9" s="6">
        <v>4</v>
      </c>
      <c r="D9" s="8">
        <v>120000</v>
      </c>
      <c r="E9" s="8">
        <v>52000</v>
      </c>
      <c r="F9" s="8">
        <v>1160</v>
      </c>
      <c r="G9" s="8">
        <v>960</v>
      </c>
      <c r="H9" s="8">
        <v>5000</v>
      </c>
      <c r="I9" s="8">
        <v>5600</v>
      </c>
      <c r="J9" s="8">
        <v>2000</v>
      </c>
      <c r="K9" s="8">
        <v>3800</v>
      </c>
      <c r="L9" s="8">
        <v>70520</v>
      </c>
      <c r="M9" s="8">
        <v>49480</v>
      </c>
      <c r="N9" s="8">
        <v>12000</v>
      </c>
      <c r="O9" s="8">
        <v>12000</v>
      </c>
      <c r="P9" s="8">
        <v>37480</v>
      </c>
      <c r="Q9" s="8">
        <v>11993.6</v>
      </c>
      <c r="R9" s="8">
        <v>25486.400000000001</v>
      </c>
      <c r="S9" s="8">
        <f t="shared" si="0"/>
        <v>-13492.800000000001</v>
      </c>
      <c r="T9" s="8"/>
      <c r="U9" s="8"/>
      <c r="V9" s="8"/>
      <c r="W9" s="8"/>
      <c r="X9" s="8"/>
      <c r="Y9" s="8"/>
    </row>
    <row r="10" spans="1:25" x14ac:dyDescent="0.25">
      <c r="A10" s="7">
        <v>1</v>
      </c>
      <c r="B10" s="7">
        <v>8</v>
      </c>
      <c r="C10" s="6">
        <v>13</v>
      </c>
      <c r="D10" s="8">
        <v>390000</v>
      </c>
      <c r="E10" s="8">
        <v>169000</v>
      </c>
      <c r="F10" s="8">
        <v>3770</v>
      </c>
      <c r="G10" s="8">
        <v>3120</v>
      </c>
      <c r="H10" s="8">
        <v>16250</v>
      </c>
      <c r="I10" s="8">
        <v>18200</v>
      </c>
      <c r="J10" s="8">
        <v>6500</v>
      </c>
      <c r="K10" s="8">
        <v>12350</v>
      </c>
      <c r="L10" s="8">
        <v>229190</v>
      </c>
      <c r="M10" s="8">
        <v>160810</v>
      </c>
      <c r="N10" s="8">
        <v>39000</v>
      </c>
      <c r="O10" s="8">
        <v>39000</v>
      </c>
      <c r="P10" s="8">
        <v>121810</v>
      </c>
      <c r="Q10" s="8">
        <v>38979.199999999997</v>
      </c>
      <c r="R10" s="8">
        <v>82830.8</v>
      </c>
      <c r="S10" s="8">
        <f t="shared" si="0"/>
        <v>-43851.600000000006</v>
      </c>
      <c r="T10" s="8"/>
      <c r="U10" s="8"/>
      <c r="V10" s="8"/>
      <c r="W10" s="8"/>
      <c r="X10" s="8"/>
      <c r="Y10" s="8"/>
    </row>
    <row r="11" spans="1:25" x14ac:dyDescent="0.25">
      <c r="A11" s="7">
        <v>1</v>
      </c>
      <c r="B11" s="7">
        <v>9</v>
      </c>
      <c r="C11" s="6">
        <v>13</v>
      </c>
      <c r="D11" s="8">
        <v>390000</v>
      </c>
      <c r="E11" s="8">
        <v>169000</v>
      </c>
      <c r="F11" s="8">
        <v>3770</v>
      </c>
      <c r="G11" s="8">
        <v>3120</v>
      </c>
      <c r="H11" s="8">
        <v>16250</v>
      </c>
      <c r="I11" s="8">
        <v>18200</v>
      </c>
      <c r="J11" s="8">
        <v>6500</v>
      </c>
      <c r="K11" s="8">
        <v>12350</v>
      </c>
      <c r="L11" s="8">
        <v>229190</v>
      </c>
      <c r="M11" s="8">
        <v>160810</v>
      </c>
      <c r="N11" s="8">
        <v>39000</v>
      </c>
      <c r="O11" s="8">
        <v>39000</v>
      </c>
      <c r="P11" s="8">
        <v>121810</v>
      </c>
      <c r="Q11" s="8">
        <v>38979.199999999997</v>
      </c>
      <c r="R11" s="8">
        <v>82830.8</v>
      </c>
      <c r="S11" s="8">
        <f t="shared" si="0"/>
        <v>-43851.600000000006</v>
      </c>
      <c r="T11" s="8"/>
      <c r="U11" s="8"/>
      <c r="V11" s="8"/>
      <c r="W11" s="8"/>
      <c r="X11" s="8"/>
      <c r="Y11" s="8"/>
    </row>
    <row r="12" spans="1:25" x14ac:dyDescent="0.25">
      <c r="A12" s="7">
        <v>1</v>
      </c>
      <c r="B12" s="7">
        <v>10</v>
      </c>
      <c r="C12" s="6">
        <v>13</v>
      </c>
      <c r="D12" s="8">
        <v>390000</v>
      </c>
      <c r="E12" s="8">
        <v>169000</v>
      </c>
      <c r="F12" s="8">
        <v>3770</v>
      </c>
      <c r="G12" s="8">
        <v>3120</v>
      </c>
      <c r="H12" s="8">
        <v>16250</v>
      </c>
      <c r="I12" s="8">
        <v>18200</v>
      </c>
      <c r="J12" s="8">
        <v>6500</v>
      </c>
      <c r="K12" s="8">
        <v>12350</v>
      </c>
      <c r="L12" s="8">
        <v>229190</v>
      </c>
      <c r="M12" s="8">
        <v>160810</v>
      </c>
      <c r="N12" s="8">
        <v>39000</v>
      </c>
      <c r="O12" s="8">
        <v>39000</v>
      </c>
      <c r="P12" s="8">
        <v>121810</v>
      </c>
      <c r="Q12" s="8">
        <v>38979.199999999997</v>
      </c>
      <c r="R12" s="8">
        <v>82830.8</v>
      </c>
      <c r="S12" s="8">
        <f t="shared" si="0"/>
        <v>-43851.600000000006</v>
      </c>
      <c r="T12" s="8"/>
      <c r="U12" s="8"/>
      <c r="V12" s="8"/>
      <c r="W12" s="8"/>
      <c r="X12" s="8"/>
      <c r="Y12" s="8"/>
    </row>
    <row r="13" spans="1:25" x14ac:dyDescent="0.25">
      <c r="A13" s="7">
        <v>1</v>
      </c>
      <c r="B13" s="7">
        <v>11</v>
      </c>
      <c r="C13" s="6">
        <v>13</v>
      </c>
      <c r="D13" s="8">
        <v>390000</v>
      </c>
      <c r="E13" s="8">
        <v>169000</v>
      </c>
      <c r="F13" s="8">
        <v>3770</v>
      </c>
      <c r="G13" s="8">
        <v>3120</v>
      </c>
      <c r="H13" s="8">
        <v>16250</v>
      </c>
      <c r="I13" s="8">
        <v>18200</v>
      </c>
      <c r="J13" s="8">
        <v>6500</v>
      </c>
      <c r="K13" s="8">
        <v>12350</v>
      </c>
      <c r="L13" s="8">
        <v>229190</v>
      </c>
      <c r="M13" s="8">
        <v>160810</v>
      </c>
      <c r="N13" s="8">
        <v>39000</v>
      </c>
      <c r="O13" s="8">
        <v>39000</v>
      </c>
      <c r="P13" s="8">
        <v>121810</v>
      </c>
      <c r="Q13" s="8">
        <v>38979.199999999997</v>
      </c>
      <c r="R13" s="8">
        <v>82830.8</v>
      </c>
      <c r="S13" s="8">
        <f t="shared" si="0"/>
        <v>-43851.600000000006</v>
      </c>
      <c r="T13" s="8"/>
      <c r="U13" s="8"/>
      <c r="V13" s="8"/>
      <c r="W13" s="8"/>
      <c r="X13" s="8"/>
      <c r="Y13" s="8"/>
    </row>
    <row r="14" spans="1:25" x14ac:dyDescent="0.25">
      <c r="A14" s="7">
        <v>1</v>
      </c>
      <c r="B14" s="7">
        <v>12</v>
      </c>
      <c r="C14" s="6">
        <v>13</v>
      </c>
      <c r="D14" s="8">
        <v>390000</v>
      </c>
      <c r="E14" s="8">
        <v>169000</v>
      </c>
      <c r="F14" s="8">
        <v>3770</v>
      </c>
      <c r="G14" s="8">
        <v>3120</v>
      </c>
      <c r="H14" s="8">
        <v>16250</v>
      </c>
      <c r="I14" s="8">
        <v>18200</v>
      </c>
      <c r="J14" s="8">
        <v>6500</v>
      </c>
      <c r="K14" s="8">
        <v>12350</v>
      </c>
      <c r="L14" s="8">
        <v>229190</v>
      </c>
      <c r="M14" s="8">
        <v>160810</v>
      </c>
      <c r="N14" s="8">
        <v>39000</v>
      </c>
      <c r="O14" s="8">
        <v>39000</v>
      </c>
      <c r="P14" s="8">
        <v>121810</v>
      </c>
      <c r="Q14" s="8">
        <v>38979.199999999997</v>
      </c>
      <c r="R14" s="8">
        <v>82830.8</v>
      </c>
      <c r="S14" s="8">
        <f t="shared" si="0"/>
        <v>-43851.600000000006</v>
      </c>
      <c r="T14" s="8"/>
      <c r="U14" s="8"/>
      <c r="V14" s="8"/>
      <c r="W14" s="8"/>
      <c r="X14" s="8"/>
      <c r="Y14" s="8"/>
    </row>
    <row r="15" spans="1:25" x14ac:dyDescent="0.25">
      <c r="A15" s="7">
        <v>2</v>
      </c>
      <c r="B15" s="7">
        <v>13</v>
      </c>
      <c r="C15" s="6">
        <v>17</v>
      </c>
      <c r="D15" s="8">
        <v>510000</v>
      </c>
      <c r="E15" s="8">
        <v>221000</v>
      </c>
      <c r="F15" s="8">
        <v>4930</v>
      </c>
      <c r="G15" s="8">
        <v>4080</v>
      </c>
      <c r="H15" s="8">
        <v>21250</v>
      </c>
      <c r="I15" s="8">
        <v>23800</v>
      </c>
      <c r="J15" s="8">
        <v>8500</v>
      </c>
      <c r="K15" s="8">
        <v>16150</v>
      </c>
      <c r="L15" s="8">
        <v>299710</v>
      </c>
      <c r="M15" s="8">
        <v>210290</v>
      </c>
      <c r="N15" s="8">
        <v>51000</v>
      </c>
      <c r="O15" s="8">
        <v>51000</v>
      </c>
      <c r="P15" s="8">
        <v>159290</v>
      </c>
      <c r="Q15" s="8">
        <v>50972.800000000003</v>
      </c>
      <c r="R15" s="8">
        <v>108317.2</v>
      </c>
      <c r="S15" s="8">
        <f t="shared" si="0"/>
        <v>-57344.399999999994</v>
      </c>
      <c r="T15" s="8"/>
      <c r="U15" s="8"/>
      <c r="V15" s="8"/>
      <c r="W15" s="8"/>
      <c r="X15" s="8"/>
      <c r="Y15" s="8"/>
    </row>
    <row r="16" spans="1:25" x14ac:dyDescent="0.25">
      <c r="A16" s="7">
        <v>2</v>
      </c>
      <c r="B16" s="7">
        <v>14</v>
      </c>
      <c r="C16" s="6">
        <v>17</v>
      </c>
      <c r="D16" s="8">
        <v>510000</v>
      </c>
      <c r="E16" s="8">
        <v>221000</v>
      </c>
      <c r="F16" s="8">
        <v>4930</v>
      </c>
      <c r="G16" s="8">
        <v>4080</v>
      </c>
      <c r="H16" s="8">
        <v>21250</v>
      </c>
      <c r="I16" s="8">
        <v>23800</v>
      </c>
      <c r="J16" s="8">
        <v>8500</v>
      </c>
      <c r="K16" s="8">
        <v>16150</v>
      </c>
      <c r="L16" s="8">
        <v>299710</v>
      </c>
      <c r="M16" s="8">
        <v>210290</v>
      </c>
      <c r="N16" s="8">
        <v>51000</v>
      </c>
      <c r="O16" s="8">
        <v>51000</v>
      </c>
      <c r="P16" s="8">
        <v>159290</v>
      </c>
      <c r="Q16" s="8">
        <v>50972.800000000003</v>
      </c>
      <c r="R16" s="8">
        <v>108317.2</v>
      </c>
      <c r="S16" s="8">
        <f t="shared" si="0"/>
        <v>-57344.399999999994</v>
      </c>
      <c r="T16" s="8"/>
      <c r="U16" s="8"/>
      <c r="V16" s="8"/>
      <c r="W16" s="8"/>
      <c r="X16" s="8"/>
      <c r="Y16" s="8"/>
    </row>
    <row r="17" spans="1:25" x14ac:dyDescent="0.25">
      <c r="A17" s="7">
        <v>2</v>
      </c>
      <c r="B17" s="7">
        <v>15</v>
      </c>
      <c r="C17" s="6">
        <v>17</v>
      </c>
      <c r="D17" s="8">
        <v>510000</v>
      </c>
      <c r="E17" s="8">
        <v>221000</v>
      </c>
      <c r="F17" s="8">
        <v>4930</v>
      </c>
      <c r="G17" s="8">
        <v>4080</v>
      </c>
      <c r="H17" s="8">
        <v>21250</v>
      </c>
      <c r="I17" s="8">
        <v>23800</v>
      </c>
      <c r="J17" s="8">
        <v>8500</v>
      </c>
      <c r="K17" s="8">
        <v>16150</v>
      </c>
      <c r="L17" s="8">
        <v>299710</v>
      </c>
      <c r="M17" s="8">
        <v>210290</v>
      </c>
      <c r="N17" s="8">
        <v>51000</v>
      </c>
      <c r="O17" s="8">
        <v>51000</v>
      </c>
      <c r="P17" s="8">
        <v>159290</v>
      </c>
      <c r="Q17" s="8">
        <v>50972.800000000003</v>
      </c>
      <c r="R17" s="8">
        <v>108317.2</v>
      </c>
      <c r="S17" s="8">
        <f t="shared" si="0"/>
        <v>-57344.399999999994</v>
      </c>
      <c r="T17" s="8"/>
      <c r="U17" s="8"/>
      <c r="V17" s="8"/>
      <c r="W17" s="8"/>
      <c r="X17" s="8"/>
      <c r="Y17" s="8"/>
    </row>
    <row r="18" spans="1:25" x14ac:dyDescent="0.25">
      <c r="A18" s="7">
        <v>2</v>
      </c>
      <c r="B18" s="7">
        <v>16</v>
      </c>
      <c r="C18" s="6">
        <v>21</v>
      </c>
      <c r="D18" s="8">
        <v>630000</v>
      </c>
      <c r="E18" s="8">
        <v>273000</v>
      </c>
      <c r="F18" s="8">
        <v>6090</v>
      </c>
      <c r="G18" s="8">
        <v>5040</v>
      </c>
      <c r="H18" s="8">
        <v>26250</v>
      </c>
      <c r="I18" s="8">
        <v>29400</v>
      </c>
      <c r="J18" s="8">
        <v>10500</v>
      </c>
      <c r="K18" s="8">
        <v>19950</v>
      </c>
      <c r="L18" s="8">
        <v>370230</v>
      </c>
      <c r="M18" s="8">
        <v>259770</v>
      </c>
      <c r="N18" s="8">
        <v>63000</v>
      </c>
      <c r="O18" s="8">
        <v>63000</v>
      </c>
      <c r="P18" s="8">
        <v>196770</v>
      </c>
      <c r="Q18" s="8">
        <v>62966.400000000001</v>
      </c>
      <c r="R18" s="8">
        <v>133803.6</v>
      </c>
      <c r="S18" s="8">
        <f t="shared" si="0"/>
        <v>-70837.200000000012</v>
      </c>
      <c r="T18" s="8"/>
      <c r="U18" s="8"/>
      <c r="V18" s="8"/>
      <c r="W18" s="8"/>
      <c r="X18" s="8"/>
      <c r="Y18" s="8"/>
    </row>
    <row r="19" spans="1:25" x14ac:dyDescent="0.25">
      <c r="A19" s="7">
        <v>2</v>
      </c>
      <c r="B19" s="7">
        <v>17</v>
      </c>
      <c r="C19" s="6">
        <v>21</v>
      </c>
      <c r="D19" s="8">
        <v>630000</v>
      </c>
      <c r="E19" s="8">
        <v>273000</v>
      </c>
      <c r="F19" s="8">
        <v>6090</v>
      </c>
      <c r="G19" s="8">
        <v>5040</v>
      </c>
      <c r="H19" s="8">
        <v>26250</v>
      </c>
      <c r="I19" s="8">
        <v>29400</v>
      </c>
      <c r="J19" s="8">
        <v>10500</v>
      </c>
      <c r="K19" s="8">
        <v>19950</v>
      </c>
      <c r="L19" s="8">
        <v>370230</v>
      </c>
      <c r="M19" s="8">
        <v>259770</v>
      </c>
      <c r="N19" s="8">
        <v>63000</v>
      </c>
      <c r="O19" s="8">
        <v>63000</v>
      </c>
      <c r="P19" s="8">
        <v>196770</v>
      </c>
      <c r="Q19" s="8">
        <v>62966.400000000001</v>
      </c>
      <c r="R19" s="8">
        <v>133803.6</v>
      </c>
      <c r="S19" s="8">
        <f t="shared" si="0"/>
        <v>-70837.200000000012</v>
      </c>
      <c r="T19" s="8"/>
      <c r="U19" s="8"/>
      <c r="V19" s="8"/>
      <c r="W19" s="8"/>
      <c r="X19" s="8"/>
      <c r="Y19" s="8"/>
    </row>
    <row r="20" spans="1:25" x14ac:dyDescent="0.25">
      <c r="A20" s="7">
        <v>2</v>
      </c>
      <c r="B20" s="7">
        <v>18</v>
      </c>
      <c r="C20" s="6">
        <v>21</v>
      </c>
      <c r="D20" s="8">
        <v>630000</v>
      </c>
      <c r="E20" s="8">
        <v>273000</v>
      </c>
      <c r="F20" s="8">
        <v>6090</v>
      </c>
      <c r="G20" s="8">
        <v>5040</v>
      </c>
      <c r="H20" s="8">
        <v>26250</v>
      </c>
      <c r="I20" s="8">
        <v>29400</v>
      </c>
      <c r="J20" s="8">
        <v>10500</v>
      </c>
      <c r="K20" s="8">
        <v>19950</v>
      </c>
      <c r="L20" s="8">
        <v>370230</v>
      </c>
      <c r="M20" s="8">
        <v>259770</v>
      </c>
      <c r="N20" s="8">
        <v>63000</v>
      </c>
      <c r="O20" s="8">
        <v>63000</v>
      </c>
      <c r="P20" s="8">
        <v>196770</v>
      </c>
      <c r="Q20" s="8">
        <v>62966.400000000001</v>
      </c>
      <c r="R20" s="8">
        <v>133803.6</v>
      </c>
      <c r="S20" s="8">
        <f t="shared" si="0"/>
        <v>-70837.200000000012</v>
      </c>
      <c r="T20" s="8"/>
      <c r="U20" s="8"/>
      <c r="V20" s="8"/>
      <c r="W20" s="8"/>
      <c r="X20" s="8"/>
      <c r="Y20" s="8"/>
    </row>
    <row r="21" spans="1:25" x14ac:dyDescent="0.25">
      <c r="A21" s="7">
        <v>2</v>
      </c>
      <c r="B21" s="7">
        <v>19</v>
      </c>
      <c r="C21" s="6">
        <v>25</v>
      </c>
      <c r="D21" s="8">
        <v>750000</v>
      </c>
      <c r="E21" s="8">
        <v>325000</v>
      </c>
      <c r="F21" s="8">
        <v>7250</v>
      </c>
      <c r="G21" s="8">
        <v>6000</v>
      </c>
      <c r="H21" s="8">
        <v>31250</v>
      </c>
      <c r="I21" s="8">
        <v>35000</v>
      </c>
      <c r="J21" s="8">
        <v>12500</v>
      </c>
      <c r="K21" s="8">
        <v>23750</v>
      </c>
      <c r="L21" s="8">
        <v>440750</v>
      </c>
      <c r="M21" s="8">
        <v>309250</v>
      </c>
      <c r="N21" s="8">
        <v>75000</v>
      </c>
      <c r="O21" s="8">
        <v>75000</v>
      </c>
      <c r="P21" s="8">
        <v>234250</v>
      </c>
      <c r="Q21" s="8">
        <v>74960</v>
      </c>
      <c r="R21" s="8">
        <v>159290</v>
      </c>
      <c r="S21" s="8">
        <f t="shared" si="0"/>
        <v>-84330</v>
      </c>
      <c r="T21" s="8"/>
      <c r="U21" s="8"/>
      <c r="V21" s="8"/>
      <c r="W21" s="8"/>
      <c r="X21" s="8"/>
      <c r="Y21" s="8"/>
    </row>
    <row r="22" spans="1:25" x14ac:dyDescent="0.25">
      <c r="A22" s="7">
        <v>2</v>
      </c>
      <c r="B22" s="7">
        <v>20</v>
      </c>
      <c r="C22" s="6">
        <v>25</v>
      </c>
      <c r="D22" s="8">
        <v>750000</v>
      </c>
      <c r="E22" s="8">
        <v>325000</v>
      </c>
      <c r="F22" s="8">
        <v>7250</v>
      </c>
      <c r="G22" s="8">
        <v>6000</v>
      </c>
      <c r="H22" s="8">
        <v>31250</v>
      </c>
      <c r="I22" s="8">
        <v>35000</v>
      </c>
      <c r="J22" s="8">
        <v>12500</v>
      </c>
      <c r="K22" s="8">
        <v>23750</v>
      </c>
      <c r="L22" s="8">
        <v>440750</v>
      </c>
      <c r="M22" s="8">
        <v>309250</v>
      </c>
      <c r="N22" s="8">
        <v>75000</v>
      </c>
      <c r="O22" s="8">
        <v>75000</v>
      </c>
      <c r="P22" s="8">
        <v>234250</v>
      </c>
      <c r="Q22" s="8">
        <v>74960</v>
      </c>
      <c r="R22" s="8">
        <v>159290</v>
      </c>
      <c r="S22" s="8">
        <f t="shared" si="0"/>
        <v>-84330</v>
      </c>
      <c r="T22" s="8"/>
      <c r="U22" s="8"/>
      <c r="V22" s="8"/>
      <c r="W22" s="8"/>
      <c r="X22" s="8"/>
      <c r="Y22" s="8"/>
    </row>
    <row r="23" spans="1:25" x14ac:dyDescent="0.25">
      <c r="A23" s="7">
        <v>2</v>
      </c>
      <c r="B23" s="7">
        <v>21</v>
      </c>
      <c r="C23" s="6">
        <v>29</v>
      </c>
      <c r="D23" s="8">
        <v>870000</v>
      </c>
      <c r="E23" s="8">
        <v>377000</v>
      </c>
      <c r="F23" s="8">
        <v>8410</v>
      </c>
      <c r="G23" s="8">
        <v>6960</v>
      </c>
      <c r="H23" s="8">
        <v>36250</v>
      </c>
      <c r="I23" s="8">
        <v>40600</v>
      </c>
      <c r="J23" s="8">
        <v>14500</v>
      </c>
      <c r="K23" s="8">
        <v>27550</v>
      </c>
      <c r="L23" s="8">
        <v>511270</v>
      </c>
      <c r="M23" s="8">
        <v>358730</v>
      </c>
      <c r="N23" s="8">
        <v>87000</v>
      </c>
      <c r="O23" s="8">
        <v>87000</v>
      </c>
      <c r="P23" s="8">
        <v>271730</v>
      </c>
      <c r="Q23" s="8">
        <v>86953.600000000006</v>
      </c>
      <c r="R23" s="8">
        <v>184776.4</v>
      </c>
      <c r="S23" s="8">
        <f t="shared" si="0"/>
        <v>-97822.799999999988</v>
      </c>
      <c r="T23" s="8"/>
      <c r="U23" s="8"/>
      <c r="V23" s="8"/>
      <c r="W23" s="8"/>
      <c r="X23" s="8"/>
      <c r="Y23" s="8"/>
    </row>
    <row r="24" spans="1:25" x14ac:dyDescent="0.25">
      <c r="A24" s="7">
        <v>2</v>
      </c>
      <c r="B24" s="7">
        <v>22</v>
      </c>
      <c r="C24" s="6">
        <v>29</v>
      </c>
      <c r="D24" s="8">
        <v>870000</v>
      </c>
      <c r="E24" s="8">
        <v>377000</v>
      </c>
      <c r="F24" s="8">
        <v>8410</v>
      </c>
      <c r="G24" s="8">
        <v>6960</v>
      </c>
      <c r="H24" s="8">
        <v>36250</v>
      </c>
      <c r="I24" s="8">
        <v>40600</v>
      </c>
      <c r="J24" s="8">
        <v>14500</v>
      </c>
      <c r="K24" s="8">
        <v>27550</v>
      </c>
      <c r="L24" s="8">
        <v>511270</v>
      </c>
      <c r="M24" s="8">
        <v>358730</v>
      </c>
      <c r="N24" s="8">
        <v>87000</v>
      </c>
      <c r="O24" s="8">
        <v>87000</v>
      </c>
      <c r="P24" s="8">
        <v>271730</v>
      </c>
      <c r="Q24" s="8">
        <v>86953.600000000006</v>
      </c>
      <c r="R24" s="8">
        <v>184776.4</v>
      </c>
      <c r="S24" s="8">
        <f t="shared" si="0"/>
        <v>-97822.799999999988</v>
      </c>
      <c r="T24" s="8"/>
      <c r="U24" s="8"/>
      <c r="V24" s="8"/>
      <c r="W24" s="8"/>
      <c r="X24" s="8"/>
      <c r="Y24" s="8"/>
    </row>
    <row r="25" spans="1:25" x14ac:dyDescent="0.25">
      <c r="A25" s="7">
        <v>2</v>
      </c>
      <c r="B25" s="7">
        <v>23</v>
      </c>
      <c r="C25" s="6">
        <v>29</v>
      </c>
      <c r="D25" s="8">
        <v>870000</v>
      </c>
      <c r="E25" s="8">
        <v>377000</v>
      </c>
      <c r="F25" s="8">
        <v>8410</v>
      </c>
      <c r="G25" s="8">
        <v>6960</v>
      </c>
      <c r="H25" s="8">
        <v>36250</v>
      </c>
      <c r="I25" s="8">
        <v>40600</v>
      </c>
      <c r="J25" s="8">
        <v>14500</v>
      </c>
      <c r="K25" s="8">
        <v>27550</v>
      </c>
      <c r="L25" s="8">
        <v>511270</v>
      </c>
      <c r="M25" s="8">
        <v>358730</v>
      </c>
      <c r="N25" s="8">
        <v>87000</v>
      </c>
      <c r="O25" s="8">
        <v>87000</v>
      </c>
      <c r="P25" s="8">
        <v>271730</v>
      </c>
      <c r="Q25" s="8">
        <v>86953.600000000006</v>
      </c>
      <c r="R25" s="8">
        <v>184776.4</v>
      </c>
      <c r="S25" s="8">
        <f t="shared" si="0"/>
        <v>-97822.799999999988</v>
      </c>
      <c r="T25" s="8"/>
      <c r="U25" s="8"/>
      <c r="V25" s="8"/>
      <c r="W25" s="8"/>
      <c r="X25" s="8"/>
      <c r="Y25" s="8"/>
    </row>
    <row r="26" spans="1:25" x14ac:dyDescent="0.25">
      <c r="A26" s="7">
        <v>2</v>
      </c>
      <c r="B26" s="7">
        <v>24</v>
      </c>
      <c r="C26" s="6">
        <v>33</v>
      </c>
      <c r="D26" s="8">
        <v>990000</v>
      </c>
      <c r="E26" s="8">
        <v>429000</v>
      </c>
      <c r="F26" s="8">
        <v>9570</v>
      </c>
      <c r="G26" s="8">
        <v>7920</v>
      </c>
      <c r="H26" s="8">
        <v>41250</v>
      </c>
      <c r="I26" s="8">
        <v>46200</v>
      </c>
      <c r="J26" s="8">
        <v>16500</v>
      </c>
      <c r="K26" s="8">
        <v>31350</v>
      </c>
      <c r="L26" s="8">
        <v>581790</v>
      </c>
      <c r="M26" s="8">
        <v>408210</v>
      </c>
      <c r="N26" s="8">
        <v>99000</v>
      </c>
      <c r="O26" s="8">
        <v>99000</v>
      </c>
      <c r="P26" s="8">
        <v>309210</v>
      </c>
      <c r="Q26" s="8">
        <v>98947.199999999997</v>
      </c>
      <c r="R26" s="8">
        <v>210262.8</v>
      </c>
      <c r="S26" s="8">
        <f t="shared" si="0"/>
        <v>-111315.59999999999</v>
      </c>
      <c r="T26" s="8"/>
      <c r="U26" s="8"/>
      <c r="V26" s="8"/>
      <c r="W26" s="8"/>
      <c r="X26" s="8"/>
      <c r="Y26" s="8"/>
    </row>
    <row r="27" spans="1:25" x14ac:dyDescent="0.25">
      <c r="A27" s="7">
        <v>3</v>
      </c>
      <c r="B27" s="7">
        <v>25</v>
      </c>
      <c r="C27" s="6">
        <v>33</v>
      </c>
      <c r="D27" s="8">
        <v>990000</v>
      </c>
      <c r="E27" s="8">
        <v>429000</v>
      </c>
      <c r="F27" s="8">
        <v>9570</v>
      </c>
      <c r="G27" s="8">
        <v>7920</v>
      </c>
      <c r="H27" s="8">
        <v>41250</v>
      </c>
      <c r="I27" s="8">
        <v>46200</v>
      </c>
      <c r="J27" s="8">
        <v>16500</v>
      </c>
      <c r="K27" s="8">
        <v>31350</v>
      </c>
      <c r="L27" s="8">
        <v>581790</v>
      </c>
      <c r="M27" s="8">
        <v>408210</v>
      </c>
      <c r="N27" s="8">
        <v>99000</v>
      </c>
      <c r="O27" s="8">
        <v>99000</v>
      </c>
      <c r="P27" s="8">
        <v>309210</v>
      </c>
      <c r="Q27" s="8">
        <v>98947.199999999997</v>
      </c>
      <c r="R27" s="8">
        <v>210262.8</v>
      </c>
      <c r="S27" s="8">
        <f t="shared" si="0"/>
        <v>-111315.59999999999</v>
      </c>
      <c r="T27" s="8"/>
      <c r="U27" s="8"/>
      <c r="V27" s="8"/>
      <c r="W27" s="8"/>
      <c r="X27" s="8"/>
      <c r="Y27" s="8"/>
    </row>
    <row r="28" spans="1:25" x14ac:dyDescent="0.25">
      <c r="A28" s="7">
        <v>3</v>
      </c>
      <c r="B28" s="7">
        <v>26</v>
      </c>
      <c r="C28" s="6">
        <v>37</v>
      </c>
      <c r="D28" s="8">
        <v>1110000</v>
      </c>
      <c r="E28" s="8">
        <v>481000</v>
      </c>
      <c r="F28" s="8">
        <v>10730</v>
      </c>
      <c r="G28" s="8">
        <v>8880</v>
      </c>
      <c r="H28" s="8">
        <v>46250</v>
      </c>
      <c r="I28" s="8">
        <v>51800</v>
      </c>
      <c r="J28" s="8">
        <v>18500</v>
      </c>
      <c r="K28" s="8">
        <v>35150</v>
      </c>
      <c r="L28" s="8">
        <v>652310</v>
      </c>
      <c r="M28" s="8">
        <v>457690</v>
      </c>
      <c r="N28" s="8">
        <v>111000</v>
      </c>
      <c r="O28" s="8">
        <v>111000</v>
      </c>
      <c r="P28" s="8">
        <v>346690</v>
      </c>
      <c r="Q28" s="8">
        <v>110940.8</v>
      </c>
      <c r="R28" s="8">
        <v>235749.2</v>
      </c>
      <c r="S28" s="8">
        <f t="shared" si="0"/>
        <v>-124808.40000000001</v>
      </c>
      <c r="T28" s="8"/>
      <c r="U28" s="8"/>
      <c r="V28" s="8"/>
      <c r="W28" s="8"/>
      <c r="X28" s="8"/>
      <c r="Y28" s="8"/>
    </row>
    <row r="29" spans="1:25" x14ac:dyDescent="0.25">
      <c r="A29" s="7">
        <v>3</v>
      </c>
      <c r="B29" s="7">
        <v>27</v>
      </c>
      <c r="C29" s="6">
        <v>37</v>
      </c>
      <c r="D29" s="8">
        <v>1110000</v>
      </c>
      <c r="E29" s="8">
        <v>481000</v>
      </c>
      <c r="F29" s="8">
        <v>10730</v>
      </c>
      <c r="G29" s="8">
        <v>8880</v>
      </c>
      <c r="H29" s="8">
        <v>46250</v>
      </c>
      <c r="I29" s="8">
        <v>51800</v>
      </c>
      <c r="J29" s="8">
        <v>18500</v>
      </c>
      <c r="K29" s="8">
        <v>35150</v>
      </c>
      <c r="L29" s="8">
        <v>652310</v>
      </c>
      <c r="M29" s="8">
        <v>457690</v>
      </c>
      <c r="N29" s="8">
        <v>111000</v>
      </c>
      <c r="O29" s="8">
        <v>111000</v>
      </c>
      <c r="P29" s="8">
        <v>346690</v>
      </c>
      <c r="Q29" s="8">
        <v>110940.8</v>
      </c>
      <c r="R29" s="8">
        <v>235749.2</v>
      </c>
      <c r="S29" s="8">
        <f t="shared" si="0"/>
        <v>-124808.40000000001</v>
      </c>
      <c r="T29" s="8"/>
      <c r="U29" s="8"/>
      <c r="V29" s="8"/>
      <c r="W29" s="8"/>
      <c r="X29" s="8"/>
      <c r="Y29" s="8"/>
    </row>
    <row r="30" spans="1:25" x14ac:dyDescent="0.25">
      <c r="A30" s="7">
        <v>3</v>
      </c>
      <c r="B30" s="7">
        <v>28</v>
      </c>
      <c r="C30" s="6">
        <v>37</v>
      </c>
      <c r="D30" s="8">
        <v>1110000</v>
      </c>
      <c r="E30" s="8">
        <v>481000</v>
      </c>
      <c r="F30" s="8">
        <v>10730</v>
      </c>
      <c r="G30" s="8">
        <v>8880</v>
      </c>
      <c r="H30" s="8">
        <v>46250</v>
      </c>
      <c r="I30" s="8">
        <v>51800</v>
      </c>
      <c r="J30" s="8">
        <v>18500</v>
      </c>
      <c r="K30" s="8">
        <v>35150</v>
      </c>
      <c r="L30" s="8">
        <v>652310</v>
      </c>
      <c r="M30" s="8">
        <v>457690</v>
      </c>
      <c r="N30" s="8">
        <v>111000</v>
      </c>
      <c r="O30" s="8">
        <v>111000</v>
      </c>
      <c r="P30" s="8">
        <v>346690</v>
      </c>
      <c r="Q30" s="8">
        <v>110940.8</v>
      </c>
      <c r="R30" s="8">
        <v>235749.2</v>
      </c>
      <c r="S30" s="8">
        <f t="shared" si="0"/>
        <v>-124808.40000000001</v>
      </c>
      <c r="T30" s="8"/>
      <c r="U30" s="8"/>
      <c r="V30" s="8"/>
      <c r="W30" s="8"/>
      <c r="X30" s="8"/>
      <c r="Y30" s="8"/>
    </row>
    <row r="31" spans="1:25" x14ac:dyDescent="0.25">
      <c r="A31" s="7">
        <v>3</v>
      </c>
      <c r="B31" s="7">
        <v>29</v>
      </c>
      <c r="C31" s="6">
        <v>42</v>
      </c>
      <c r="D31" s="8">
        <v>1260000</v>
      </c>
      <c r="E31" s="8">
        <v>546000</v>
      </c>
      <c r="F31" s="8">
        <v>12180</v>
      </c>
      <c r="G31" s="8">
        <v>10080</v>
      </c>
      <c r="H31" s="8">
        <v>52500</v>
      </c>
      <c r="I31" s="8">
        <v>58800</v>
      </c>
      <c r="J31" s="8">
        <v>21000</v>
      </c>
      <c r="K31" s="8">
        <v>39900</v>
      </c>
      <c r="L31" s="8">
        <v>740460</v>
      </c>
      <c r="M31" s="8">
        <v>519540</v>
      </c>
      <c r="N31" s="8">
        <v>126000</v>
      </c>
      <c r="O31" s="8">
        <v>126000</v>
      </c>
      <c r="P31" s="8">
        <v>393540</v>
      </c>
      <c r="Q31" s="8">
        <v>125932.8</v>
      </c>
      <c r="R31" s="8">
        <v>267607.2</v>
      </c>
      <c r="S31" s="8">
        <f t="shared" si="0"/>
        <v>-141674.40000000002</v>
      </c>
      <c r="T31" s="8"/>
      <c r="U31" s="8"/>
      <c r="V31" s="8"/>
      <c r="W31" s="8"/>
      <c r="X31" s="8"/>
      <c r="Y31" s="8"/>
    </row>
    <row r="32" spans="1:25" x14ac:dyDescent="0.25">
      <c r="A32" s="7">
        <v>3</v>
      </c>
      <c r="B32" s="7">
        <v>30</v>
      </c>
      <c r="C32" s="6">
        <v>42</v>
      </c>
      <c r="D32" s="8">
        <v>1260000</v>
      </c>
      <c r="E32" s="8">
        <v>546000</v>
      </c>
      <c r="F32" s="8">
        <v>12180</v>
      </c>
      <c r="G32" s="8">
        <v>10080</v>
      </c>
      <c r="H32" s="8">
        <v>52500</v>
      </c>
      <c r="I32" s="8">
        <v>58800</v>
      </c>
      <c r="J32" s="8">
        <v>21000</v>
      </c>
      <c r="K32" s="8">
        <v>39900</v>
      </c>
      <c r="L32" s="8">
        <v>740460</v>
      </c>
      <c r="M32" s="8">
        <v>519540</v>
      </c>
      <c r="N32" s="8">
        <v>126000</v>
      </c>
      <c r="O32" s="8">
        <v>126000</v>
      </c>
      <c r="P32" s="8">
        <v>393540</v>
      </c>
      <c r="Q32" s="8">
        <v>125932.8</v>
      </c>
      <c r="R32" s="8">
        <v>267607.2</v>
      </c>
      <c r="S32" s="8">
        <f t="shared" si="0"/>
        <v>-141674.40000000002</v>
      </c>
      <c r="T32" s="8"/>
      <c r="U32" s="8"/>
      <c r="V32" s="8"/>
      <c r="W32" s="8"/>
      <c r="X32" s="8"/>
      <c r="Y32" s="8"/>
    </row>
    <row r="33" spans="1:25" x14ac:dyDescent="0.25">
      <c r="A33" s="7">
        <v>3</v>
      </c>
      <c r="B33" s="7">
        <v>31</v>
      </c>
      <c r="C33" s="6">
        <v>46</v>
      </c>
      <c r="D33" s="8">
        <v>1380000</v>
      </c>
      <c r="E33" s="8">
        <v>598000</v>
      </c>
      <c r="F33" s="8">
        <v>13340</v>
      </c>
      <c r="G33" s="8">
        <v>11040</v>
      </c>
      <c r="H33" s="8">
        <v>57500</v>
      </c>
      <c r="I33" s="8">
        <v>64400</v>
      </c>
      <c r="J33" s="8">
        <v>23000</v>
      </c>
      <c r="K33" s="8">
        <v>43700</v>
      </c>
      <c r="L33" s="8">
        <v>810980</v>
      </c>
      <c r="M33" s="8">
        <v>569020</v>
      </c>
      <c r="N33" s="8">
        <v>138000</v>
      </c>
      <c r="O33" s="8">
        <v>138000</v>
      </c>
      <c r="P33" s="8">
        <v>431020</v>
      </c>
      <c r="Q33" s="8">
        <v>137926.39999999999</v>
      </c>
      <c r="R33" s="8">
        <v>293093.59999999998</v>
      </c>
      <c r="S33" s="8">
        <f t="shared" si="0"/>
        <v>-155167.19999999998</v>
      </c>
      <c r="T33" s="8"/>
      <c r="U33" s="8"/>
      <c r="V33" s="8"/>
      <c r="W33" s="8"/>
      <c r="X33" s="8"/>
      <c r="Y33" s="8"/>
    </row>
    <row r="34" spans="1:25" x14ac:dyDescent="0.25">
      <c r="A34" s="7">
        <v>3</v>
      </c>
      <c r="B34" s="7">
        <v>32</v>
      </c>
      <c r="C34" s="6">
        <v>37</v>
      </c>
      <c r="D34" s="8">
        <v>1110000</v>
      </c>
      <c r="E34" s="8">
        <v>481000</v>
      </c>
      <c r="F34" s="8">
        <v>10730</v>
      </c>
      <c r="G34" s="8">
        <v>8880</v>
      </c>
      <c r="H34" s="8">
        <v>46250</v>
      </c>
      <c r="I34" s="8">
        <v>51800</v>
      </c>
      <c r="J34" s="8">
        <v>18500</v>
      </c>
      <c r="K34" s="8">
        <v>35150</v>
      </c>
      <c r="L34" s="8">
        <v>652310</v>
      </c>
      <c r="M34" s="8">
        <v>457690</v>
      </c>
      <c r="N34" s="8">
        <v>111000</v>
      </c>
      <c r="O34" s="8">
        <v>111000</v>
      </c>
      <c r="P34" s="8">
        <v>346690</v>
      </c>
      <c r="Q34" s="8">
        <v>110940.8</v>
      </c>
      <c r="R34" s="8">
        <v>235749.2</v>
      </c>
      <c r="S34" s="8">
        <f t="shared" si="0"/>
        <v>-124808.40000000001</v>
      </c>
      <c r="T34" s="8"/>
      <c r="U34" s="8"/>
      <c r="V34" s="8"/>
      <c r="W34" s="8"/>
      <c r="X34" s="8"/>
      <c r="Y34" s="8"/>
    </row>
    <row r="35" spans="1:25" x14ac:dyDescent="0.25">
      <c r="A35" s="7">
        <v>3</v>
      </c>
      <c r="B35" s="7">
        <v>33</v>
      </c>
      <c r="C35" s="6">
        <v>41</v>
      </c>
      <c r="D35" s="8">
        <v>1230000</v>
      </c>
      <c r="E35" s="8">
        <v>533000</v>
      </c>
      <c r="F35" s="8">
        <v>11890</v>
      </c>
      <c r="G35" s="8">
        <v>9840</v>
      </c>
      <c r="H35" s="8">
        <v>51250</v>
      </c>
      <c r="I35" s="8">
        <v>57400</v>
      </c>
      <c r="J35" s="8">
        <v>20500</v>
      </c>
      <c r="K35" s="8">
        <v>38950</v>
      </c>
      <c r="L35" s="8">
        <v>722830</v>
      </c>
      <c r="M35" s="8">
        <v>507170</v>
      </c>
      <c r="N35" s="8">
        <v>123000</v>
      </c>
      <c r="O35" s="8">
        <v>123000</v>
      </c>
      <c r="P35" s="8">
        <v>384170</v>
      </c>
      <c r="Q35" s="8">
        <v>122934.39999999999</v>
      </c>
      <c r="R35" s="8">
        <v>261235.6</v>
      </c>
      <c r="S35" s="8">
        <f t="shared" ref="S35:S62" si="1">$Q35-$R35</f>
        <v>-138301.20000000001</v>
      </c>
      <c r="T35" s="8"/>
      <c r="U35" s="8"/>
      <c r="V35" s="8"/>
      <c r="W35" s="8"/>
      <c r="X35" s="8"/>
      <c r="Y35" s="8"/>
    </row>
    <row r="36" spans="1:25" x14ac:dyDescent="0.25">
      <c r="A36" s="7">
        <v>3</v>
      </c>
      <c r="B36" s="7">
        <v>34</v>
      </c>
      <c r="C36" s="6">
        <v>41</v>
      </c>
      <c r="D36" s="8">
        <v>1230000</v>
      </c>
      <c r="E36" s="8">
        <v>533000</v>
      </c>
      <c r="F36" s="8">
        <v>11890</v>
      </c>
      <c r="G36" s="8">
        <v>9840</v>
      </c>
      <c r="H36" s="8">
        <v>51250</v>
      </c>
      <c r="I36" s="8">
        <v>57400</v>
      </c>
      <c r="J36" s="8">
        <v>20500</v>
      </c>
      <c r="K36" s="8">
        <v>38950</v>
      </c>
      <c r="L36" s="8">
        <v>722830</v>
      </c>
      <c r="M36" s="8">
        <v>507170</v>
      </c>
      <c r="N36" s="8">
        <v>123000</v>
      </c>
      <c r="O36" s="8">
        <v>123000</v>
      </c>
      <c r="P36" s="8">
        <v>384170</v>
      </c>
      <c r="Q36" s="8">
        <v>122934.39999999999</v>
      </c>
      <c r="R36" s="8">
        <v>261235.6</v>
      </c>
      <c r="S36" s="8">
        <f t="shared" si="1"/>
        <v>-138301.20000000001</v>
      </c>
      <c r="T36" s="8"/>
      <c r="U36" s="8"/>
      <c r="V36" s="8"/>
      <c r="W36" s="8"/>
      <c r="X36" s="8"/>
      <c r="Y36" s="8"/>
    </row>
    <row r="37" spans="1:25" x14ac:dyDescent="0.25">
      <c r="A37" s="7">
        <v>3</v>
      </c>
      <c r="B37" s="7">
        <v>35</v>
      </c>
      <c r="C37" s="6">
        <v>45</v>
      </c>
      <c r="D37" s="8">
        <v>1350000</v>
      </c>
      <c r="E37" s="8">
        <v>585000</v>
      </c>
      <c r="F37" s="8">
        <v>13050</v>
      </c>
      <c r="G37" s="8">
        <v>10800</v>
      </c>
      <c r="H37" s="8">
        <v>56250</v>
      </c>
      <c r="I37" s="8">
        <v>63000</v>
      </c>
      <c r="J37" s="8">
        <v>22500</v>
      </c>
      <c r="K37" s="8">
        <v>42750</v>
      </c>
      <c r="L37" s="8">
        <v>793350</v>
      </c>
      <c r="M37" s="8">
        <v>556650</v>
      </c>
      <c r="N37" s="8">
        <v>135000</v>
      </c>
      <c r="O37" s="8">
        <v>135000</v>
      </c>
      <c r="P37" s="8">
        <v>421650</v>
      </c>
      <c r="Q37" s="8">
        <v>134928</v>
      </c>
      <c r="R37" s="8">
        <v>286722</v>
      </c>
      <c r="S37" s="8">
        <f t="shared" si="1"/>
        <v>-151794</v>
      </c>
      <c r="T37" s="8"/>
      <c r="U37" s="8"/>
      <c r="V37" s="8"/>
      <c r="W37" s="8"/>
      <c r="X37" s="8"/>
      <c r="Y37" s="8"/>
    </row>
    <row r="38" spans="1:25" x14ac:dyDescent="0.25">
      <c r="A38" s="7">
        <v>3</v>
      </c>
      <c r="B38" s="7">
        <v>36</v>
      </c>
      <c r="C38" s="6">
        <v>45</v>
      </c>
      <c r="D38" s="8">
        <v>1350000</v>
      </c>
      <c r="E38" s="8">
        <v>585000</v>
      </c>
      <c r="F38" s="8">
        <v>13050</v>
      </c>
      <c r="G38" s="8">
        <v>10800</v>
      </c>
      <c r="H38" s="8">
        <v>56250</v>
      </c>
      <c r="I38" s="8">
        <v>63000</v>
      </c>
      <c r="J38" s="8">
        <v>22500</v>
      </c>
      <c r="K38" s="8">
        <v>42750</v>
      </c>
      <c r="L38" s="8">
        <v>793350</v>
      </c>
      <c r="M38" s="8">
        <v>556650</v>
      </c>
      <c r="N38" s="8">
        <v>135000</v>
      </c>
      <c r="O38" s="8">
        <v>135000</v>
      </c>
      <c r="P38" s="8">
        <v>421650</v>
      </c>
      <c r="Q38" s="8">
        <v>134928</v>
      </c>
      <c r="R38" s="8">
        <v>286722</v>
      </c>
      <c r="S38" s="8">
        <f t="shared" si="1"/>
        <v>-151794</v>
      </c>
      <c r="T38" s="8"/>
      <c r="U38" s="8"/>
      <c r="V38" s="8"/>
      <c r="W38" s="8"/>
      <c r="X38" s="8"/>
      <c r="Y38" s="8"/>
    </row>
    <row r="39" spans="1:25" x14ac:dyDescent="0.25">
      <c r="A39" s="7">
        <v>4</v>
      </c>
      <c r="B39" s="7">
        <v>37</v>
      </c>
      <c r="C39" s="6">
        <v>45</v>
      </c>
      <c r="D39" s="8">
        <v>1350000</v>
      </c>
      <c r="E39" s="8">
        <v>585000</v>
      </c>
      <c r="F39" s="8">
        <v>13050</v>
      </c>
      <c r="G39" s="8">
        <v>10800</v>
      </c>
      <c r="H39" s="8">
        <v>56250</v>
      </c>
      <c r="I39" s="8">
        <v>63000</v>
      </c>
      <c r="J39" s="8">
        <v>22500</v>
      </c>
      <c r="K39" s="8">
        <v>42750</v>
      </c>
      <c r="L39" s="8">
        <v>793350</v>
      </c>
      <c r="M39" s="8">
        <v>556650</v>
      </c>
      <c r="N39" s="8">
        <v>135000</v>
      </c>
      <c r="O39" s="8">
        <v>135000</v>
      </c>
      <c r="P39" s="8">
        <v>421650</v>
      </c>
      <c r="Q39" s="8">
        <v>134928</v>
      </c>
      <c r="R39" s="8">
        <v>286722</v>
      </c>
      <c r="S39" s="8">
        <f t="shared" si="1"/>
        <v>-151794</v>
      </c>
      <c r="T39" s="8"/>
      <c r="U39" s="8"/>
      <c r="V39" s="8"/>
      <c r="W39" s="8"/>
      <c r="X39" s="8"/>
      <c r="Y39" s="8"/>
    </row>
    <row r="40" spans="1:25" x14ac:dyDescent="0.25">
      <c r="A40" s="7">
        <v>4</v>
      </c>
      <c r="B40" s="7">
        <v>38</v>
      </c>
      <c r="C40" s="6">
        <v>45</v>
      </c>
      <c r="D40" s="8">
        <v>1350000</v>
      </c>
      <c r="E40" s="8">
        <v>585000</v>
      </c>
      <c r="F40" s="8">
        <v>13050</v>
      </c>
      <c r="G40" s="8">
        <v>10800</v>
      </c>
      <c r="H40" s="8">
        <v>56250</v>
      </c>
      <c r="I40" s="8">
        <v>63000</v>
      </c>
      <c r="J40" s="8">
        <v>22500</v>
      </c>
      <c r="K40" s="8">
        <v>42750</v>
      </c>
      <c r="L40" s="8">
        <v>793350</v>
      </c>
      <c r="M40" s="8">
        <v>556650</v>
      </c>
      <c r="N40" s="8">
        <v>135000</v>
      </c>
      <c r="O40" s="8">
        <v>135000</v>
      </c>
      <c r="P40" s="8">
        <v>421650</v>
      </c>
      <c r="Q40" s="8">
        <v>134928</v>
      </c>
      <c r="R40" s="8">
        <v>286722</v>
      </c>
      <c r="S40" s="8">
        <f t="shared" si="1"/>
        <v>-151794</v>
      </c>
      <c r="T40" s="8"/>
      <c r="U40" s="8"/>
      <c r="V40" s="8"/>
      <c r="W40" s="8"/>
      <c r="X40" s="8"/>
      <c r="Y40" s="8"/>
    </row>
    <row r="41" spans="1:25" x14ac:dyDescent="0.25">
      <c r="A41" s="7">
        <v>4</v>
      </c>
      <c r="B41" s="7">
        <v>39</v>
      </c>
      <c r="C41" s="6">
        <v>49</v>
      </c>
      <c r="D41" s="8">
        <v>1470000</v>
      </c>
      <c r="E41" s="8">
        <v>637000</v>
      </c>
      <c r="F41" s="8">
        <v>14210</v>
      </c>
      <c r="G41" s="8">
        <v>11760</v>
      </c>
      <c r="H41" s="8">
        <v>61250</v>
      </c>
      <c r="I41" s="8">
        <v>68600</v>
      </c>
      <c r="J41" s="8">
        <v>24500</v>
      </c>
      <c r="K41" s="8">
        <v>46550</v>
      </c>
      <c r="L41" s="8">
        <v>863870</v>
      </c>
      <c r="M41" s="8">
        <v>606130</v>
      </c>
      <c r="N41" s="8">
        <v>147000</v>
      </c>
      <c r="O41" s="8">
        <v>147000</v>
      </c>
      <c r="P41" s="8">
        <v>459130</v>
      </c>
      <c r="Q41" s="8">
        <v>146921.60000000001</v>
      </c>
      <c r="R41" s="8">
        <v>312208.40000000002</v>
      </c>
      <c r="S41" s="8">
        <f t="shared" si="1"/>
        <v>-165286.80000000002</v>
      </c>
      <c r="T41" s="8"/>
      <c r="U41" s="8"/>
      <c r="V41" s="8"/>
      <c r="W41" s="8"/>
      <c r="X41" s="8"/>
      <c r="Y41" s="8"/>
    </row>
    <row r="42" spans="1:25" x14ac:dyDescent="0.25">
      <c r="A42" s="7">
        <v>4</v>
      </c>
      <c r="B42" s="7">
        <v>40</v>
      </c>
      <c r="C42" s="6">
        <v>45</v>
      </c>
      <c r="D42" s="8">
        <v>1350000</v>
      </c>
      <c r="E42" s="8">
        <v>585000</v>
      </c>
      <c r="F42" s="8">
        <v>13050</v>
      </c>
      <c r="G42" s="8">
        <v>10800</v>
      </c>
      <c r="H42" s="8">
        <v>56250</v>
      </c>
      <c r="I42" s="8">
        <v>63000</v>
      </c>
      <c r="J42" s="8">
        <v>22500</v>
      </c>
      <c r="K42" s="8">
        <v>42750</v>
      </c>
      <c r="L42" s="8">
        <v>793350</v>
      </c>
      <c r="M42" s="8">
        <v>556650</v>
      </c>
      <c r="N42" s="8">
        <v>135000</v>
      </c>
      <c r="O42" s="8">
        <v>135000</v>
      </c>
      <c r="P42" s="8">
        <v>421650</v>
      </c>
      <c r="Q42" s="8">
        <v>134928</v>
      </c>
      <c r="R42" s="8">
        <v>286722</v>
      </c>
      <c r="S42" s="8">
        <f t="shared" si="1"/>
        <v>-151794</v>
      </c>
      <c r="T42" s="8"/>
      <c r="U42" s="8"/>
      <c r="V42" s="8"/>
      <c r="W42" s="8"/>
      <c r="X42" s="8"/>
      <c r="Y42" s="8"/>
    </row>
    <row r="43" spans="1:25" x14ac:dyDescent="0.25">
      <c r="A43" s="7">
        <v>4</v>
      </c>
      <c r="B43" s="7">
        <v>41</v>
      </c>
      <c r="C43" s="6">
        <v>49</v>
      </c>
      <c r="D43" s="8">
        <v>1470000</v>
      </c>
      <c r="E43" s="8">
        <v>637000</v>
      </c>
      <c r="F43" s="8">
        <v>14210</v>
      </c>
      <c r="G43" s="8">
        <v>11760</v>
      </c>
      <c r="H43" s="8">
        <v>61250</v>
      </c>
      <c r="I43" s="8">
        <v>68600</v>
      </c>
      <c r="J43" s="8">
        <v>24500</v>
      </c>
      <c r="K43" s="8">
        <v>46550</v>
      </c>
      <c r="L43" s="8">
        <v>863870</v>
      </c>
      <c r="M43" s="8">
        <v>606130</v>
      </c>
      <c r="N43" s="8">
        <v>147000</v>
      </c>
      <c r="O43" s="8">
        <v>147000</v>
      </c>
      <c r="P43" s="8">
        <v>459130</v>
      </c>
      <c r="Q43" s="8">
        <v>146921.60000000001</v>
      </c>
      <c r="R43" s="8">
        <v>312208.40000000002</v>
      </c>
      <c r="S43" s="8">
        <f t="shared" si="1"/>
        <v>-165286.80000000002</v>
      </c>
      <c r="T43" s="8"/>
      <c r="U43" s="8"/>
      <c r="V43" s="8"/>
      <c r="W43" s="8"/>
      <c r="X43" s="8"/>
      <c r="Y43" s="8"/>
    </row>
    <row r="44" spans="1:25" x14ac:dyDescent="0.25">
      <c r="A44" s="7">
        <v>4</v>
      </c>
      <c r="B44" s="7">
        <v>42</v>
      </c>
      <c r="C44" s="6">
        <v>49</v>
      </c>
      <c r="D44" s="8">
        <v>1470000</v>
      </c>
      <c r="E44" s="8">
        <v>637000</v>
      </c>
      <c r="F44" s="8">
        <v>14210</v>
      </c>
      <c r="G44" s="8">
        <v>11760</v>
      </c>
      <c r="H44" s="8">
        <v>61250</v>
      </c>
      <c r="I44" s="8">
        <v>68600</v>
      </c>
      <c r="J44" s="8">
        <v>24500</v>
      </c>
      <c r="K44" s="8">
        <v>46550</v>
      </c>
      <c r="L44" s="8">
        <v>863870</v>
      </c>
      <c r="M44" s="8">
        <v>606130</v>
      </c>
      <c r="N44" s="8">
        <v>147000</v>
      </c>
      <c r="O44" s="8">
        <v>147000</v>
      </c>
      <c r="P44" s="8">
        <v>459130</v>
      </c>
      <c r="Q44" s="8">
        <v>146921.60000000001</v>
      </c>
      <c r="R44" s="8">
        <v>312208.40000000002</v>
      </c>
      <c r="S44" s="8">
        <f t="shared" si="1"/>
        <v>-165286.80000000002</v>
      </c>
      <c r="T44" s="8"/>
      <c r="U44" s="8"/>
      <c r="V44" s="8"/>
      <c r="W44" s="8"/>
      <c r="X44" s="8"/>
      <c r="Y44" s="8"/>
    </row>
    <row r="45" spans="1:25" x14ac:dyDescent="0.25">
      <c r="A45" s="7">
        <v>4</v>
      </c>
      <c r="B45" s="7">
        <v>43</v>
      </c>
      <c r="C45" s="6">
        <v>50</v>
      </c>
      <c r="D45" s="8">
        <v>1500000</v>
      </c>
      <c r="E45" s="8">
        <v>650000</v>
      </c>
      <c r="F45" s="8">
        <v>14500</v>
      </c>
      <c r="G45" s="8">
        <v>12000</v>
      </c>
      <c r="H45" s="8">
        <v>62500</v>
      </c>
      <c r="I45" s="8">
        <v>70000</v>
      </c>
      <c r="J45" s="8">
        <v>25000</v>
      </c>
      <c r="K45" s="8">
        <v>47500</v>
      </c>
      <c r="L45" s="8">
        <v>881500</v>
      </c>
      <c r="M45" s="8">
        <v>618500</v>
      </c>
      <c r="N45" s="8">
        <v>150000</v>
      </c>
      <c r="O45" s="8">
        <v>150000</v>
      </c>
      <c r="P45" s="8">
        <v>468500</v>
      </c>
      <c r="Q45" s="8">
        <v>149920</v>
      </c>
      <c r="R45" s="8">
        <v>318580</v>
      </c>
      <c r="S45" s="8">
        <f t="shared" si="1"/>
        <v>-168660</v>
      </c>
      <c r="T45" s="8"/>
      <c r="U45" s="8"/>
      <c r="V45" s="8"/>
      <c r="W45" s="8"/>
      <c r="X45" s="8"/>
      <c r="Y45" s="8"/>
    </row>
    <row r="46" spans="1:25" x14ac:dyDescent="0.25">
      <c r="A46" s="7">
        <v>4</v>
      </c>
      <c r="B46" s="7">
        <v>44</v>
      </c>
      <c r="C46" s="6">
        <v>50</v>
      </c>
      <c r="D46" s="8">
        <v>1500000</v>
      </c>
      <c r="E46" s="8">
        <v>650000</v>
      </c>
      <c r="F46" s="8">
        <v>14500</v>
      </c>
      <c r="G46" s="8">
        <v>12000</v>
      </c>
      <c r="H46" s="8">
        <v>62500</v>
      </c>
      <c r="I46" s="8">
        <v>70000</v>
      </c>
      <c r="J46" s="8">
        <v>25000</v>
      </c>
      <c r="K46" s="8">
        <v>47500</v>
      </c>
      <c r="L46" s="8">
        <v>881500</v>
      </c>
      <c r="M46" s="8">
        <v>618500</v>
      </c>
      <c r="N46" s="8">
        <v>150000</v>
      </c>
      <c r="O46" s="8">
        <v>150000</v>
      </c>
      <c r="P46" s="8">
        <v>468500</v>
      </c>
      <c r="Q46" s="8">
        <v>149920</v>
      </c>
      <c r="R46" s="8">
        <v>318580</v>
      </c>
      <c r="S46" s="8">
        <f t="shared" si="1"/>
        <v>-168660</v>
      </c>
      <c r="T46" s="8"/>
      <c r="U46" s="8"/>
      <c r="V46" s="8"/>
      <c r="W46" s="8"/>
      <c r="X46" s="8"/>
      <c r="Y46" s="8"/>
    </row>
    <row r="47" spans="1:25" x14ac:dyDescent="0.25">
      <c r="A47" s="7">
        <v>4</v>
      </c>
      <c r="B47" s="7">
        <v>45</v>
      </c>
      <c r="C47" s="6">
        <v>51</v>
      </c>
      <c r="D47" s="8">
        <v>1530000</v>
      </c>
      <c r="E47" s="8">
        <v>663000</v>
      </c>
      <c r="F47" s="8">
        <v>14790</v>
      </c>
      <c r="G47" s="8">
        <v>12240</v>
      </c>
      <c r="H47" s="8">
        <v>63750</v>
      </c>
      <c r="I47" s="8">
        <v>71400</v>
      </c>
      <c r="J47" s="8">
        <v>25500</v>
      </c>
      <c r="K47" s="8">
        <v>48450</v>
      </c>
      <c r="L47" s="8">
        <v>899130</v>
      </c>
      <c r="M47" s="8">
        <v>630870</v>
      </c>
      <c r="N47" s="8">
        <v>153000</v>
      </c>
      <c r="O47" s="8">
        <v>153000</v>
      </c>
      <c r="P47" s="8">
        <v>477870</v>
      </c>
      <c r="Q47" s="8">
        <v>152918.39999999999</v>
      </c>
      <c r="R47" s="8">
        <v>324951.59999999998</v>
      </c>
      <c r="S47" s="8">
        <f t="shared" si="1"/>
        <v>-172033.19999999998</v>
      </c>
      <c r="T47" s="8"/>
      <c r="U47" s="8"/>
      <c r="V47" s="8"/>
      <c r="W47" s="8"/>
      <c r="X47" s="8"/>
      <c r="Y47" s="8"/>
    </row>
    <row r="48" spans="1:25" x14ac:dyDescent="0.25">
      <c r="A48" s="7">
        <v>4</v>
      </c>
      <c r="B48" s="7">
        <v>46</v>
      </c>
      <c r="C48" s="6">
        <v>51</v>
      </c>
      <c r="D48" s="8">
        <v>1530000</v>
      </c>
      <c r="E48" s="8">
        <v>663000</v>
      </c>
      <c r="F48" s="8">
        <v>14790</v>
      </c>
      <c r="G48" s="8">
        <v>12240</v>
      </c>
      <c r="H48" s="8">
        <v>63750</v>
      </c>
      <c r="I48" s="8">
        <v>71400</v>
      </c>
      <c r="J48" s="8">
        <v>25500</v>
      </c>
      <c r="K48" s="8">
        <v>48450</v>
      </c>
      <c r="L48" s="8">
        <v>899130</v>
      </c>
      <c r="M48" s="8">
        <v>630870</v>
      </c>
      <c r="N48" s="8">
        <v>153000</v>
      </c>
      <c r="O48" s="8">
        <v>153000</v>
      </c>
      <c r="P48" s="8">
        <v>477870</v>
      </c>
      <c r="Q48" s="8">
        <v>152918.39999999999</v>
      </c>
      <c r="R48" s="8">
        <v>324951.59999999998</v>
      </c>
      <c r="S48" s="8">
        <f t="shared" si="1"/>
        <v>-172033.19999999998</v>
      </c>
      <c r="T48" s="8"/>
      <c r="U48" s="8"/>
      <c r="V48" s="8"/>
      <c r="W48" s="8"/>
      <c r="X48" s="8"/>
      <c r="Y48" s="8"/>
    </row>
    <row r="49" spans="1:25" x14ac:dyDescent="0.25">
      <c r="A49" s="7">
        <v>4</v>
      </c>
      <c r="B49" s="7">
        <v>47</v>
      </c>
      <c r="C49" s="6">
        <v>56</v>
      </c>
      <c r="D49" s="8">
        <v>1680000</v>
      </c>
      <c r="E49" s="8">
        <v>728000</v>
      </c>
      <c r="F49" s="8">
        <v>16240</v>
      </c>
      <c r="G49" s="8">
        <v>13440</v>
      </c>
      <c r="H49" s="8">
        <v>70000</v>
      </c>
      <c r="I49" s="8">
        <v>78400</v>
      </c>
      <c r="J49" s="8">
        <v>28000</v>
      </c>
      <c r="K49" s="8">
        <v>53200</v>
      </c>
      <c r="L49" s="8">
        <v>987280</v>
      </c>
      <c r="M49" s="8">
        <v>692720</v>
      </c>
      <c r="N49" s="8">
        <v>168000</v>
      </c>
      <c r="O49" s="8">
        <v>168000</v>
      </c>
      <c r="P49" s="8">
        <v>524720</v>
      </c>
      <c r="Q49" s="8">
        <v>167910.39999999999</v>
      </c>
      <c r="R49" s="8">
        <v>356809.6</v>
      </c>
      <c r="S49" s="8">
        <f t="shared" si="1"/>
        <v>-188899.19999999998</v>
      </c>
      <c r="T49" s="8"/>
      <c r="U49" s="8"/>
      <c r="V49" s="8"/>
      <c r="W49" s="8"/>
      <c r="X49" s="8"/>
      <c r="Y49" s="8"/>
    </row>
    <row r="50" spans="1:25" x14ac:dyDescent="0.25">
      <c r="A50" s="7">
        <v>4</v>
      </c>
      <c r="B50" s="7">
        <v>48</v>
      </c>
      <c r="C50" s="6">
        <v>52</v>
      </c>
      <c r="D50" s="8">
        <v>1560000</v>
      </c>
      <c r="E50" s="8">
        <v>676000</v>
      </c>
      <c r="F50" s="8">
        <v>15080</v>
      </c>
      <c r="G50" s="8">
        <v>12480</v>
      </c>
      <c r="H50" s="8">
        <v>65000</v>
      </c>
      <c r="I50" s="8">
        <v>72800</v>
      </c>
      <c r="J50" s="8">
        <v>26000</v>
      </c>
      <c r="K50" s="8">
        <v>49400</v>
      </c>
      <c r="L50" s="8">
        <v>916760</v>
      </c>
      <c r="M50" s="8">
        <v>643240</v>
      </c>
      <c r="N50" s="8">
        <v>156000</v>
      </c>
      <c r="O50" s="8">
        <v>156000</v>
      </c>
      <c r="P50" s="8">
        <v>487240</v>
      </c>
      <c r="Q50" s="8">
        <v>155916.79999999999</v>
      </c>
      <c r="R50" s="8">
        <v>331323.2</v>
      </c>
      <c r="S50" s="8">
        <f t="shared" si="1"/>
        <v>-175406.40000000002</v>
      </c>
      <c r="T50" s="8"/>
      <c r="U50" s="8"/>
      <c r="V50" s="8"/>
      <c r="W50" s="8"/>
      <c r="X50" s="8"/>
      <c r="Y50" s="8"/>
    </row>
    <row r="51" spans="1:25" x14ac:dyDescent="0.25">
      <c r="A51" s="7">
        <v>5</v>
      </c>
      <c r="B51" s="7">
        <v>49</v>
      </c>
      <c r="C51" s="6">
        <v>56</v>
      </c>
      <c r="D51" s="8">
        <v>1680000</v>
      </c>
      <c r="E51" s="8">
        <v>728000</v>
      </c>
      <c r="F51" s="8">
        <v>16240</v>
      </c>
      <c r="G51" s="8">
        <v>13440</v>
      </c>
      <c r="H51" s="8">
        <v>70000</v>
      </c>
      <c r="I51" s="8">
        <v>78400</v>
      </c>
      <c r="J51" s="8">
        <v>28000</v>
      </c>
      <c r="K51" s="8">
        <v>53200</v>
      </c>
      <c r="L51" s="8">
        <v>987280</v>
      </c>
      <c r="M51" s="8">
        <v>692720</v>
      </c>
      <c r="N51" s="8">
        <v>168000</v>
      </c>
      <c r="O51" s="8">
        <v>168000</v>
      </c>
      <c r="P51" s="8">
        <v>524720</v>
      </c>
      <c r="Q51" s="8">
        <v>167910.39999999999</v>
      </c>
      <c r="R51" s="8">
        <v>356809.6</v>
      </c>
      <c r="S51" s="8">
        <f t="shared" si="1"/>
        <v>-188899.19999999998</v>
      </c>
      <c r="T51" s="8"/>
      <c r="U51" s="8"/>
      <c r="V51" s="8"/>
      <c r="W51" s="8"/>
      <c r="X51" s="8"/>
      <c r="Y51" s="8"/>
    </row>
    <row r="52" spans="1:25" x14ac:dyDescent="0.25">
      <c r="A52" s="7">
        <v>5</v>
      </c>
      <c r="B52" s="7">
        <v>50</v>
      </c>
      <c r="C52" s="6">
        <v>52</v>
      </c>
      <c r="D52" s="8">
        <v>1560000</v>
      </c>
      <c r="E52" s="8">
        <v>676000</v>
      </c>
      <c r="F52" s="8">
        <v>15080</v>
      </c>
      <c r="G52" s="8">
        <v>12480</v>
      </c>
      <c r="H52" s="8">
        <v>65000</v>
      </c>
      <c r="I52" s="8">
        <v>72800</v>
      </c>
      <c r="J52" s="8">
        <v>26000</v>
      </c>
      <c r="K52" s="8">
        <v>49400</v>
      </c>
      <c r="L52" s="8">
        <v>916760</v>
      </c>
      <c r="M52" s="8">
        <v>643240</v>
      </c>
      <c r="N52" s="8">
        <v>156000</v>
      </c>
      <c r="O52" s="8">
        <v>156000</v>
      </c>
      <c r="P52" s="8">
        <v>487240</v>
      </c>
      <c r="Q52" s="8">
        <v>155916.79999999999</v>
      </c>
      <c r="R52" s="8">
        <v>331323.2</v>
      </c>
      <c r="S52" s="8">
        <f t="shared" si="1"/>
        <v>-175406.40000000002</v>
      </c>
      <c r="T52" s="8"/>
      <c r="U52" s="8"/>
      <c r="V52" s="8"/>
      <c r="W52" s="8"/>
      <c r="X52" s="8"/>
      <c r="Y52" s="8"/>
    </row>
    <row r="53" spans="1:25" x14ac:dyDescent="0.25">
      <c r="A53" s="7">
        <v>5</v>
      </c>
      <c r="B53" s="7">
        <v>51</v>
      </c>
      <c r="C53" s="6">
        <v>58</v>
      </c>
      <c r="D53" s="8">
        <v>1740000</v>
      </c>
      <c r="E53" s="8">
        <v>754000</v>
      </c>
      <c r="F53" s="8">
        <v>16820</v>
      </c>
      <c r="G53" s="8">
        <v>13920</v>
      </c>
      <c r="H53" s="8">
        <v>72500</v>
      </c>
      <c r="I53" s="8">
        <v>81200</v>
      </c>
      <c r="J53" s="8">
        <v>29000</v>
      </c>
      <c r="K53" s="8">
        <v>55100</v>
      </c>
      <c r="L53" s="8">
        <v>1022540</v>
      </c>
      <c r="M53" s="8">
        <v>717460</v>
      </c>
      <c r="N53" s="8">
        <v>174000</v>
      </c>
      <c r="O53" s="8">
        <v>174000</v>
      </c>
      <c r="P53" s="8">
        <v>543460</v>
      </c>
      <c r="Q53" s="8">
        <v>173907.20000000001</v>
      </c>
      <c r="R53" s="8">
        <v>369552.8</v>
      </c>
      <c r="S53" s="8">
        <f t="shared" si="1"/>
        <v>-195645.59999999998</v>
      </c>
      <c r="T53" s="8"/>
      <c r="U53" s="8"/>
      <c r="V53" s="8"/>
      <c r="W53" s="8"/>
      <c r="X53" s="8"/>
      <c r="Y53" s="8"/>
    </row>
    <row r="54" spans="1:25" x14ac:dyDescent="0.25">
      <c r="A54" s="7">
        <v>5</v>
      </c>
      <c r="B54" s="7">
        <v>52</v>
      </c>
      <c r="C54" s="6">
        <v>58</v>
      </c>
      <c r="D54" s="8">
        <v>1740000</v>
      </c>
      <c r="E54" s="8">
        <v>754000</v>
      </c>
      <c r="F54" s="8">
        <v>16820</v>
      </c>
      <c r="G54" s="8">
        <v>13920</v>
      </c>
      <c r="H54" s="8">
        <v>72500</v>
      </c>
      <c r="I54" s="8">
        <v>81200</v>
      </c>
      <c r="J54" s="8">
        <v>29000</v>
      </c>
      <c r="K54" s="8">
        <v>55100</v>
      </c>
      <c r="L54" s="8">
        <v>1022540</v>
      </c>
      <c r="M54" s="8">
        <v>717460</v>
      </c>
      <c r="N54" s="8">
        <v>174000</v>
      </c>
      <c r="O54" s="8">
        <v>174000</v>
      </c>
      <c r="P54" s="8">
        <v>543460</v>
      </c>
      <c r="Q54" s="8">
        <v>173907.20000000001</v>
      </c>
      <c r="R54" s="8">
        <v>369552.8</v>
      </c>
      <c r="S54" s="8">
        <f t="shared" si="1"/>
        <v>-195645.59999999998</v>
      </c>
      <c r="T54" s="8"/>
      <c r="U54" s="8"/>
      <c r="V54" s="8"/>
      <c r="W54" s="8"/>
      <c r="X54" s="8"/>
      <c r="Y54" s="8"/>
    </row>
    <row r="55" spans="1:25" x14ac:dyDescent="0.25">
      <c r="A55" s="7">
        <v>5</v>
      </c>
      <c r="B55" s="7">
        <v>53</v>
      </c>
      <c r="C55" s="6">
        <v>58</v>
      </c>
      <c r="D55" s="8">
        <v>1740000</v>
      </c>
      <c r="E55" s="8">
        <v>754000</v>
      </c>
      <c r="F55" s="8">
        <v>16820</v>
      </c>
      <c r="G55" s="8">
        <v>13920</v>
      </c>
      <c r="H55" s="8">
        <v>72500</v>
      </c>
      <c r="I55" s="8">
        <v>81200</v>
      </c>
      <c r="J55" s="8">
        <v>29000</v>
      </c>
      <c r="K55" s="8">
        <v>55100</v>
      </c>
      <c r="L55" s="8">
        <v>1022540</v>
      </c>
      <c r="M55" s="8">
        <v>717460</v>
      </c>
      <c r="N55" s="8">
        <v>174000</v>
      </c>
      <c r="O55" s="8">
        <v>174000</v>
      </c>
      <c r="P55" s="8">
        <v>543460</v>
      </c>
      <c r="Q55" s="8">
        <v>173907.20000000001</v>
      </c>
      <c r="R55" s="8">
        <v>369552.8</v>
      </c>
      <c r="S55" s="8">
        <f t="shared" si="1"/>
        <v>-195645.59999999998</v>
      </c>
      <c r="T55" s="8"/>
      <c r="U55" s="8"/>
      <c r="V55" s="8"/>
      <c r="W55" s="8"/>
      <c r="X55" s="8"/>
      <c r="Y55" s="8"/>
    </row>
    <row r="56" spans="1:25" x14ac:dyDescent="0.25">
      <c r="A56" s="7">
        <v>5</v>
      </c>
      <c r="B56" s="7">
        <v>54</v>
      </c>
      <c r="C56" s="6">
        <v>58</v>
      </c>
      <c r="D56" s="8">
        <v>1740000</v>
      </c>
      <c r="E56" s="8">
        <v>754000</v>
      </c>
      <c r="F56" s="8">
        <v>16820</v>
      </c>
      <c r="G56" s="8">
        <v>13920</v>
      </c>
      <c r="H56" s="8">
        <v>72500</v>
      </c>
      <c r="I56" s="8">
        <v>81200</v>
      </c>
      <c r="J56" s="8">
        <v>29000</v>
      </c>
      <c r="K56" s="8">
        <v>55100</v>
      </c>
      <c r="L56" s="8">
        <v>1022540</v>
      </c>
      <c r="M56" s="8">
        <v>717460</v>
      </c>
      <c r="N56" s="8">
        <v>174000</v>
      </c>
      <c r="O56" s="8">
        <v>174000</v>
      </c>
      <c r="P56" s="8">
        <v>543460</v>
      </c>
      <c r="Q56" s="8">
        <v>173907.20000000001</v>
      </c>
      <c r="R56" s="8">
        <v>369552.8</v>
      </c>
      <c r="S56" s="8">
        <f t="shared" si="1"/>
        <v>-195645.59999999998</v>
      </c>
      <c r="T56" s="8"/>
      <c r="U56" s="8"/>
      <c r="V56" s="8"/>
      <c r="W56" s="8"/>
      <c r="X56" s="8"/>
      <c r="Y56" s="8"/>
    </row>
    <row r="57" spans="1:25" x14ac:dyDescent="0.25">
      <c r="A57" s="7">
        <v>5</v>
      </c>
      <c r="B57" s="7">
        <v>55</v>
      </c>
      <c r="C57" s="6">
        <v>59</v>
      </c>
      <c r="D57" s="8">
        <v>1770000</v>
      </c>
      <c r="E57" s="8">
        <v>767000</v>
      </c>
      <c r="F57" s="8">
        <v>17110</v>
      </c>
      <c r="G57" s="8">
        <v>14160</v>
      </c>
      <c r="H57" s="8">
        <v>73750</v>
      </c>
      <c r="I57" s="8">
        <v>82600</v>
      </c>
      <c r="J57" s="8">
        <v>29500</v>
      </c>
      <c r="K57" s="8">
        <v>56050</v>
      </c>
      <c r="L57" s="8">
        <v>1040170</v>
      </c>
      <c r="M57" s="8">
        <v>729830</v>
      </c>
      <c r="N57" s="8">
        <v>177000</v>
      </c>
      <c r="O57" s="8">
        <v>177000</v>
      </c>
      <c r="P57" s="8">
        <v>552830</v>
      </c>
      <c r="Q57" s="8">
        <v>176905.60000000001</v>
      </c>
      <c r="R57" s="8">
        <v>375924.4</v>
      </c>
      <c r="S57" s="8">
        <f t="shared" si="1"/>
        <v>-199018.80000000002</v>
      </c>
      <c r="T57" s="8"/>
      <c r="U57" s="8"/>
      <c r="V57" s="8"/>
      <c r="W57" s="8"/>
      <c r="X57" s="8"/>
      <c r="Y57" s="8"/>
    </row>
    <row r="58" spans="1:25" x14ac:dyDescent="0.25">
      <c r="A58" s="7">
        <v>5</v>
      </c>
      <c r="B58" s="7">
        <v>56</v>
      </c>
      <c r="C58" s="6">
        <v>59</v>
      </c>
      <c r="D58" s="8">
        <v>1770000</v>
      </c>
      <c r="E58" s="8">
        <v>767000</v>
      </c>
      <c r="F58" s="8">
        <v>17110</v>
      </c>
      <c r="G58" s="8">
        <v>14160</v>
      </c>
      <c r="H58" s="8">
        <v>73750</v>
      </c>
      <c r="I58" s="8">
        <v>82600</v>
      </c>
      <c r="J58" s="8">
        <v>29500</v>
      </c>
      <c r="K58" s="8">
        <v>56050</v>
      </c>
      <c r="L58" s="8">
        <v>1040170</v>
      </c>
      <c r="M58" s="8">
        <v>729830</v>
      </c>
      <c r="N58" s="8">
        <v>177000</v>
      </c>
      <c r="O58" s="8">
        <v>177000</v>
      </c>
      <c r="P58" s="8">
        <v>552830</v>
      </c>
      <c r="Q58" s="8">
        <v>176905.60000000001</v>
      </c>
      <c r="R58" s="8">
        <v>375924.4</v>
      </c>
      <c r="S58" s="8">
        <f t="shared" si="1"/>
        <v>-199018.80000000002</v>
      </c>
      <c r="T58" s="8"/>
      <c r="U58" s="8"/>
      <c r="V58" s="8"/>
      <c r="W58" s="8"/>
      <c r="X58" s="8"/>
      <c r="Y58" s="8"/>
    </row>
    <row r="59" spans="1:25" x14ac:dyDescent="0.25">
      <c r="A59" s="7">
        <v>5</v>
      </c>
      <c r="B59" s="7">
        <v>57</v>
      </c>
      <c r="C59" s="6">
        <v>61</v>
      </c>
      <c r="D59" s="8">
        <v>1830000</v>
      </c>
      <c r="E59" s="8">
        <v>793000</v>
      </c>
      <c r="F59" s="8">
        <v>17690</v>
      </c>
      <c r="G59" s="8">
        <v>14640</v>
      </c>
      <c r="H59" s="8">
        <v>76250</v>
      </c>
      <c r="I59" s="8">
        <v>85400</v>
      </c>
      <c r="J59" s="8">
        <v>30500</v>
      </c>
      <c r="K59" s="8">
        <v>57950</v>
      </c>
      <c r="L59" s="8">
        <v>1075430</v>
      </c>
      <c r="M59" s="8">
        <v>754570</v>
      </c>
      <c r="N59" s="8">
        <v>183000</v>
      </c>
      <c r="O59" s="8">
        <v>183000</v>
      </c>
      <c r="P59" s="8">
        <v>571570</v>
      </c>
      <c r="Q59" s="8">
        <v>182902.39999999999</v>
      </c>
      <c r="R59" s="8">
        <v>388667.6</v>
      </c>
      <c r="S59" s="8">
        <f t="shared" si="1"/>
        <v>-205765.19999999998</v>
      </c>
      <c r="T59" s="8"/>
      <c r="U59" s="8"/>
      <c r="V59" s="8"/>
      <c r="W59" s="8"/>
      <c r="X59" s="8"/>
      <c r="Y59" s="8"/>
    </row>
    <row r="60" spans="1:25" x14ac:dyDescent="0.25">
      <c r="A60" s="7">
        <v>5</v>
      </c>
      <c r="B60" s="7">
        <v>58</v>
      </c>
      <c r="C60" s="6">
        <v>61</v>
      </c>
      <c r="D60" s="8">
        <v>1830000</v>
      </c>
      <c r="E60" s="8">
        <v>793000</v>
      </c>
      <c r="F60" s="8">
        <v>17690</v>
      </c>
      <c r="G60" s="8">
        <v>14640</v>
      </c>
      <c r="H60" s="8">
        <v>76250</v>
      </c>
      <c r="I60" s="8">
        <v>85400</v>
      </c>
      <c r="J60" s="8">
        <v>30500</v>
      </c>
      <c r="K60" s="8">
        <v>57950</v>
      </c>
      <c r="L60" s="8">
        <v>1075430</v>
      </c>
      <c r="M60" s="8">
        <v>754570</v>
      </c>
      <c r="N60" s="8">
        <v>183000</v>
      </c>
      <c r="O60" s="8">
        <v>183000</v>
      </c>
      <c r="P60" s="8">
        <v>571570</v>
      </c>
      <c r="Q60" s="8">
        <v>182902.39999999999</v>
      </c>
      <c r="R60" s="8">
        <v>388667.6</v>
      </c>
      <c r="S60" s="8">
        <f t="shared" si="1"/>
        <v>-205765.19999999998</v>
      </c>
      <c r="T60" s="8"/>
      <c r="U60" s="8"/>
      <c r="V60" s="8"/>
      <c r="W60" s="8"/>
      <c r="X60" s="8"/>
      <c r="Y60" s="8"/>
    </row>
    <row r="61" spans="1:25" x14ac:dyDescent="0.25">
      <c r="A61" s="7">
        <v>5</v>
      </c>
      <c r="B61" s="7">
        <v>59</v>
      </c>
      <c r="C61" s="6">
        <v>63</v>
      </c>
      <c r="D61" s="8">
        <v>1890000</v>
      </c>
      <c r="E61" s="8">
        <v>819000</v>
      </c>
      <c r="F61" s="8">
        <v>18270</v>
      </c>
      <c r="G61" s="8">
        <v>15120</v>
      </c>
      <c r="H61" s="8">
        <v>78750</v>
      </c>
      <c r="I61" s="8">
        <v>88200</v>
      </c>
      <c r="J61" s="8">
        <v>31500</v>
      </c>
      <c r="K61" s="8">
        <v>59850</v>
      </c>
      <c r="L61" s="8">
        <v>1110690</v>
      </c>
      <c r="M61" s="8">
        <v>779310</v>
      </c>
      <c r="N61" s="8">
        <v>189000</v>
      </c>
      <c r="O61" s="8">
        <v>189000</v>
      </c>
      <c r="P61" s="8">
        <v>590310</v>
      </c>
      <c r="Q61" s="8">
        <v>188899.20000000001</v>
      </c>
      <c r="R61" s="8">
        <v>401410.8</v>
      </c>
      <c r="S61" s="8">
        <f t="shared" si="1"/>
        <v>-212511.59999999998</v>
      </c>
      <c r="T61" s="8"/>
      <c r="U61" s="8"/>
      <c r="V61" s="8"/>
      <c r="W61" s="8"/>
      <c r="X61" s="8"/>
      <c r="Y61" s="8"/>
    </row>
    <row r="62" spans="1:25" x14ac:dyDescent="0.25">
      <c r="A62" s="7">
        <v>5</v>
      </c>
      <c r="B62" s="7">
        <v>60</v>
      </c>
      <c r="C62" s="6">
        <v>63</v>
      </c>
      <c r="D62" s="8">
        <v>1890000</v>
      </c>
      <c r="E62" s="8">
        <v>819000</v>
      </c>
      <c r="F62" s="8">
        <v>18270</v>
      </c>
      <c r="G62" s="8">
        <v>15120</v>
      </c>
      <c r="H62" s="8">
        <v>78750</v>
      </c>
      <c r="I62" s="8">
        <v>88200</v>
      </c>
      <c r="J62" s="8">
        <v>31500</v>
      </c>
      <c r="K62" s="8">
        <v>59850</v>
      </c>
      <c r="L62" s="8">
        <v>1110690</v>
      </c>
      <c r="M62" s="8">
        <v>779310</v>
      </c>
      <c r="N62" s="8">
        <v>189000</v>
      </c>
      <c r="O62" s="8">
        <v>189000</v>
      </c>
      <c r="P62" s="8">
        <v>590310</v>
      </c>
      <c r="Q62" s="8">
        <v>188899.20000000001</v>
      </c>
      <c r="R62" s="8">
        <v>401410.8</v>
      </c>
      <c r="S62" s="8">
        <f t="shared" si="1"/>
        <v>-212511.59999999998</v>
      </c>
      <c r="T62" s="8"/>
      <c r="U62" s="8"/>
      <c r="V62" s="8"/>
      <c r="W62" s="8"/>
      <c r="X62" s="8"/>
      <c r="Y62" s="8"/>
    </row>
  </sheetData>
  <mergeCells count="1">
    <mergeCell ref="A1:C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defaultColWidth="8.7109375" defaultRowHeight="15" customHeight="1" x14ac:dyDescent="0.25"/>
  <cols>
    <col min="2" max="2" width="10" customWidth="1"/>
    <col min="3" max="3" width="20.28515625" bestFit="1" customWidth="1"/>
    <col min="4" max="4" width="18.42578125" customWidth="1"/>
    <col min="5" max="5" width="21.42578125" customWidth="1"/>
    <col min="6" max="6" width="16" customWidth="1"/>
    <col min="7" max="7" width="21.7109375" customWidth="1"/>
    <col min="8" max="8" width="16" customWidth="1"/>
    <col min="9" max="11" width="18.140625" customWidth="1"/>
    <col min="12" max="12" width="16" customWidth="1"/>
    <col min="13" max="20" width="18.42578125" customWidth="1"/>
    <col min="21" max="22" width="23.5703125" customWidth="1"/>
    <col min="23" max="23" width="20.42578125" customWidth="1"/>
    <col min="24" max="24" width="12.5703125" bestFit="1" customWidth="1"/>
  </cols>
  <sheetData>
    <row r="1" spans="1:24" ht="17.25" customHeight="1" x14ac:dyDescent="0.3">
      <c r="B1" s="23" t="s">
        <v>125</v>
      </c>
      <c r="C1" s="24"/>
      <c r="D1" s="24"/>
      <c r="E1" s="24"/>
      <c r="F1" s="24"/>
      <c r="G1" s="24"/>
      <c r="H1" s="24"/>
      <c r="I1" s="11"/>
      <c r="J1" s="11"/>
      <c r="K1" s="11"/>
      <c r="L1" s="11"/>
    </row>
    <row r="2" spans="1:24" ht="58.5" customHeight="1" x14ac:dyDescent="0.25">
      <c r="A2" s="17" t="s">
        <v>107</v>
      </c>
      <c r="B2" s="2" t="s">
        <v>1</v>
      </c>
      <c r="C2" s="2" t="s">
        <v>126</v>
      </c>
      <c r="D2" s="2" t="s">
        <v>127</v>
      </c>
      <c r="E2" s="2" t="s">
        <v>128</v>
      </c>
      <c r="F2" s="2" t="s">
        <v>129</v>
      </c>
      <c r="G2" s="2" t="s">
        <v>130</v>
      </c>
      <c r="H2" s="2" t="s">
        <v>131</v>
      </c>
      <c r="I2" s="2" t="s">
        <v>132</v>
      </c>
      <c r="J2" s="2" t="s">
        <v>99</v>
      </c>
      <c r="K2" s="2" t="s">
        <v>100</v>
      </c>
      <c r="L2" s="2" t="s">
        <v>133</v>
      </c>
      <c r="M2" s="16" t="s">
        <v>134</v>
      </c>
      <c r="N2" s="13" t="s">
        <v>135</v>
      </c>
      <c r="O2" s="13" t="s">
        <v>136</v>
      </c>
      <c r="P2" s="13" t="s">
        <v>122</v>
      </c>
      <c r="Q2" s="13" t="s">
        <v>137</v>
      </c>
      <c r="R2" s="13" t="s">
        <v>138</v>
      </c>
      <c r="S2" s="13" t="s">
        <v>98</v>
      </c>
      <c r="T2" s="13" t="s">
        <v>139</v>
      </c>
      <c r="U2" s="13" t="s">
        <v>140</v>
      </c>
      <c r="V2" s="13" t="s">
        <v>103</v>
      </c>
      <c r="W2" s="13" t="s">
        <v>141</v>
      </c>
    </row>
    <row r="3" spans="1:24" x14ac:dyDescent="0.25">
      <c r="A3" s="7">
        <v>1</v>
      </c>
      <c r="B3" s="7">
        <v>1</v>
      </c>
      <c r="C3" s="8">
        <v>250000</v>
      </c>
      <c r="D3" s="8">
        <v>250000</v>
      </c>
      <c r="E3" s="8">
        <v>0</v>
      </c>
      <c r="F3" s="6">
        <v>4</v>
      </c>
      <c r="G3" s="6">
        <v>0</v>
      </c>
      <c r="H3" s="8">
        <v>0</v>
      </c>
      <c r="I3" s="8">
        <v>0</v>
      </c>
      <c r="J3" s="14">
        <v>25486.400000000001</v>
      </c>
      <c r="K3" s="14">
        <v>0</v>
      </c>
      <c r="L3" s="14">
        <v>120000</v>
      </c>
      <c r="M3" s="15">
        <f>Cash_Flow!$E3</f>
        <v>82520</v>
      </c>
      <c r="N3" s="15">
        <f>Income_Statement!$M3</f>
        <v>49480</v>
      </c>
      <c r="O3" s="15">
        <f>(Cash_Flow!$F3+Cash_Flow!$G3)</f>
        <v>0</v>
      </c>
      <c r="P3" s="15">
        <f>Income_Statement!$P3</f>
        <v>37480</v>
      </c>
      <c r="Q3" s="15">
        <f>Income_Statement!$P3</f>
        <v>37480</v>
      </c>
      <c r="R3" s="15">
        <f>Income_Statement!$Q3</f>
        <v>11993.6</v>
      </c>
      <c r="S3" s="15">
        <f>Income_Statement!$R3</f>
        <v>25486.400000000001</v>
      </c>
      <c r="T3" s="15">
        <f>Income_Statement!$Q3</f>
        <v>11993.6</v>
      </c>
      <c r="U3" s="15">
        <f>Cash_Flow!$I3</f>
        <v>0</v>
      </c>
      <c r="V3" s="15">
        <f>Cash_Flow!$N3</f>
        <v>25486.400000000001</v>
      </c>
      <c r="W3" s="15">
        <f>Cash_Flow!$N3</f>
        <v>25486.400000000001</v>
      </c>
      <c r="X3" s="12"/>
    </row>
    <row r="4" spans="1:24" x14ac:dyDescent="0.25">
      <c r="A4" s="7">
        <v>1</v>
      </c>
      <c r="B4" s="7">
        <v>2</v>
      </c>
      <c r="C4" s="8">
        <v>250000</v>
      </c>
      <c r="D4" s="8">
        <v>250000</v>
      </c>
      <c r="E4" s="8">
        <v>0</v>
      </c>
      <c r="F4" s="6">
        <v>4</v>
      </c>
      <c r="G4" s="6">
        <v>0</v>
      </c>
      <c r="H4" s="8">
        <v>0</v>
      </c>
      <c r="I4" s="8">
        <v>0</v>
      </c>
      <c r="J4" s="14">
        <v>25486.400000000001</v>
      </c>
      <c r="K4" s="14">
        <v>0</v>
      </c>
      <c r="L4" s="14">
        <v>240000</v>
      </c>
      <c r="M4" s="15">
        <f>$M3+Cash_Flow!$E4</f>
        <v>165040</v>
      </c>
      <c r="N4" s="15">
        <f>$N3+Income_Statement!$M4</f>
        <v>98960</v>
      </c>
      <c r="O4" s="15">
        <f>IF(Cash_Flow!$F4&lt;=0,0,$O3+(Cash_Flow!$F4+Cash_Flow!$G4))</f>
        <v>0</v>
      </c>
      <c r="P4" s="15">
        <f>Income_Statement!$P4</f>
        <v>37480</v>
      </c>
      <c r="Q4" s="15">
        <f>$Q3+Income_Statement!$P4</f>
        <v>74960</v>
      </c>
      <c r="R4" s="15">
        <f>$R3+Income_Statement!$Q4</f>
        <v>23987.200000000001</v>
      </c>
      <c r="S4" s="15">
        <f>Income_Statement!$R4</f>
        <v>25486.400000000001</v>
      </c>
      <c r="T4" s="15">
        <f>Income_Statement!$Q4</f>
        <v>11993.6</v>
      </c>
      <c r="U4" s="15">
        <f>$U3+Cash_Flow!$I4</f>
        <v>0</v>
      </c>
      <c r="V4" s="15">
        <f>Cash_Flow!$N4</f>
        <v>50972.800000000003</v>
      </c>
      <c r="W4" s="15">
        <f>($W3+Cash_Flow!$J4)-(Cash_Flow!$B4+Cash_Flow!$C4)</f>
        <v>50972.800000000003</v>
      </c>
    </row>
    <row r="5" spans="1:24" x14ac:dyDescent="0.25">
      <c r="A5" s="7">
        <v>1</v>
      </c>
      <c r="B5" s="7">
        <v>3</v>
      </c>
      <c r="C5" s="8">
        <v>250000</v>
      </c>
      <c r="D5" s="8">
        <v>250000</v>
      </c>
      <c r="E5" s="8">
        <v>0</v>
      </c>
      <c r="F5" s="6">
        <v>4</v>
      </c>
      <c r="G5" s="6">
        <v>0</v>
      </c>
      <c r="H5" s="8">
        <v>0</v>
      </c>
      <c r="I5" s="8">
        <v>0</v>
      </c>
      <c r="J5" s="14">
        <v>25486.400000000001</v>
      </c>
      <c r="K5" s="14">
        <v>0</v>
      </c>
      <c r="L5" s="14">
        <v>360000</v>
      </c>
      <c r="M5" s="15">
        <f>$M4+Cash_Flow!$E5</f>
        <v>247560</v>
      </c>
      <c r="N5" s="15">
        <f>$N4+Income_Statement!$M5</f>
        <v>148440</v>
      </c>
      <c r="O5" s="15">
        <f>IF(Cash_Flow!$F5&lt;=0,0,$O4+(Cash_Flow!$F5+Cash_Flow!$G5))</f>
        <v>0</v>
      </c>
      <c r="P5" s="15">
        <f>Income_Statement!$P5</f>
        <v>37480</v>
      </c>
      <c r="Q5" s="15">
        <f>$Q4+Income_Statement!$P5</f>
        <v>112440</v>
      </c>
      <c r="R5" s="15">
        <f>$R4+Income_Statement!$Q5</f>
        <v>35980.800000000003</v>
      </c>
      <c r="S5" s="15">
        <f>Income_Statement!$R5</f>
        <v>25486.400000000001</v>
      </c>
      <c r="T5" s="15">
        <f>Income_Statement!$Q5</f>
        <v>11993.6</v>
      </c>
      <c r="U5" s="15">
        <f>$U4+Cash_Flow!$I5</f>
        <v>0</v>
      </c>
      <c r="V5" s="15">
        <f>Cash_Flow!$N5</f>
        <v>76459.200000000012</v>
      </c>
      <c r="W5" s="15">
        <f>($W4+Cash_Flow!$J5)-(Cash_Flow!$B5+Cash_Flow!$C5)</f>
        <v>76459.200000000012</v>
      </c>
    </row>
    <row r="6" spans="1:24" x14ac:dyDescent="0.25">
      <c r="A6" s="7">
        <v>1</v>
      </c>
      <c r="B6" s="7">
        <v>4</v>
      </c>
      <c r="C6" s="8">
        <v>250000</v>
      </c>
      <c r="D6" s="8">
        <v>250000</v>
      </c>
      <c r="E6" s="8">
        <v>0</v>
      </c>
      <c r="F6" s="6">
        <v>4</v>
      </c>
      <c r="G6" s="6">
        <v>0</v>
      </c>
      <c r="H6" s="8">
        <v>0</v>
      </c>
      <c r="I6" s="8">
        <v>0</v>
      </c>
      <c r="J6" s="14">
        <v>25486.400000000001</v>
      </c>
      <c r="K6" s="14">
        <v>0</v>
      </c>
      <c r="L6" s="14">
        <v>480000</v>
      </c>
      <c r="M6" s="15">
        <f>$M5+Cash_Flow!$E6</f>
        <v>330080</v>
      </c>
      <c r="N6" s="15">
        <f>$N5+Income_Statement!$M6</f>
        <v>197920</v>
      </c>
      <c r="O6" s="15">
        <f>IF(Cash_Flow!$F6&lt;=0,0,$O5+(Cash_Flow!$F6+Cash_Flow!$G6))</f>
        <v>0</v>
      </c>
      <c r="P6" s="15">
        <f>Income_Statement!$P6</f>
        <v>37480</v>
      </c>
      <c r="Q6" s="15">
        <f>$Q5+Income_Statement!$P6</f>
        <v>149920</v>
      </c>
      <c r="R6" s="15">
        <f>$R5+Income_Statement!$Q6</f>
        <v>47974.400000000001</v>
      </c>
      <c r="S6" s="15">
        <f>Income_Statement!$R6</f>
        <v>25486.400000000001</v>
      </c>
      <c r="T6" s="15">
        <f>Income_Statement!$Q6</f>
        <v>11993.6</v>
      </c>
      <c r="U6" s="15">
        <f>$U5+Cash_Flow!$I6</f>
        <v>0</v>
      </c>
      <c r="V6" s="15">
        <f>Cash_Flow!$N6</f>
        <v>101945.60000000001</v>
      </c>
      <c r="W6" s="15">
        <f>($W5+Cash_Flow!$J6)-(Cash_Flow!$B6+Cash_Flow!$C6)</f>
        <v>101945.60000000001</v>
      </c>
    </row>
    <row r="7" spans="1:24" x14ac:dyDescent="0.25">
      <c r="A7" s="7">
        <v>1</v>
      </c>
      <c r="B7" s="7">
        <v>5</v>
      </c>
      <c r="C7" s="8">
        <v>500000</v>
      </c>
      <c r="D7" s="8">
        <v>0</v>
      </c>
      <c r="E7" s="8">
        <v>250000</v>
      </c>
      <c r="F7" s="6">
        <v>4</v>
      </c>
      <c r="G7" s="6">
        <v>9</v>
      </c>
      <c r="H7" s="8">
        <v>240000</v>
      </c>
      <c r="I7" s="8">
        <v>540000</v>
      </c>
      <c r="J7" s="14">
        <v>523403.07</v>
      </c>
      <c r="K7" s="14">
        <v>540000</v>
      </c>
      <c r="L7" s="14">
        <v>600000</v>
      </c>
      <c r="M7" s="15">
        <f>$M6+Cash_Flow!$E7</f>
        <v>412600</v>
      </c>
      <c r="N7" s="15">
        <f>$N6+Income_Statement!$M7</f>
        <v>247400</v>
      </c>
      <c r="O7" s="15">
        <f>IF(Cash_Flow!$F7&lt;=0,0,$O6+(Cash_Flow!$F7+Cash_Flow!$G7))</f>
        <v>2083.33</v>
      </c>
      <c r="P7" s="15">
        <f>Income_Statement!$P7</f>
        <v>37480</v>
      </c>
      <c r="Q7" s="15">
        <f>$Q6+Income_Statement!$P7</f>
        <v>187400</v>
      </c>
      <c r="R7" s="15">
        <f>$R6+Income_Statement!$Q7</f>
        <v>59968</v>
      </c>
      <c r="S7" s="15">
        <f>Income_Statement!$R7</f>
        <v>25486.400000000001</v>
      </c>
      <c r="T7" s="15">
        <f>Income_Statement!$Q7</f>
        <v>11993.6</v>
      </c>
      <c r="U7" s="15">
        <f>$U6+Cash_Flow!$I7</f>
        <v>0</v>
      </c>
      <c r="V7" s="15">
        <f>Cash_Flow!$N7</f>
        <v>85348.670000000013</v>
      </c>
      <c r="W7" s="15">
        <f>($W6+Cash_Flow!$J7)-(Cash_Flow!$B7+Cash_Flow!$C7)</f>
        <v>125348.67000000004</v>
      </c>
    </row>
    <row r="8" spans="1:24" x14ac:dyDescent="0.25">
      <c r="A8" s="7">
        <v>1</v>
      </c>
      <c r="B8" s="7">
        <v>6</v>
      </c>
      <c r="C8" s="8">
        <v>500000</v>
      </c>
      <c r="D8" s="8">
        <v>0</v>
      </c>
      <c r="E8" s="8">
        <v>250000</v>
      </c>
      <c r="F8" s="6">
        <v>4</v>
      </c>
      <c r="G8" s="6">
        <v>9</v>
      </c>
      <c r="H8" s="8">
        <v>240000</v>
      </c>
      <c r="I8" s="8">
        <v>540000</v>
      </c>
      <c r="J8" s="14">
        <v>23403.07</v>
      </c>
      <c r="K8" s="14">
        <v>0</v>
      </c>
      <c r="L8" s="14">
        <v>720000</v>
      </c>
      <c r="M8" s="15">
        <f>$M7+Cash_Flow!$E8</f>
        <v>495120</v>
      </c>
      <c r="N8" s="15">
        <f>$N7+Income_Statement!$M8</f>
        <v>296880</v>
      </c>
      <c r="O8" s="15">
        <f>IF(Cash_Flow!$F8&lt;=0,0,$O7+(Cash_Flow!$F8+Cash_Flow!$G8))</f>
        <v>4166.66</v>
      </c>
      <c r="P8" s="15">
        <f>Income_Statement!$P8</f>
        <v>37480</v>
      </c>
      <c r="Q8" s="15">
        <f>$Q7+Income_Statement!$P8</f>
        <v>224880</v>
      </c>
      <c r="R8" s="15">
        <f>$R7+Income_Statement!$Q8</f>
        <v>71961.600000000006</v>
      </c>
      <c r="S8" s="15">
        <f>Income_Statement!$R8</f>
        <v>25486.400000000001</v>
      </c>
      <c r="T8" s="15">
        <f>Income_Statement!$Q8</f>
        <v>11993.6</v>
      </c>
      <c r="U8" s="15">
        <f>$U7+Cash_Flow!$I8</f>
        <v>0</v>
      </c>
      <c r="V8" s="15">
        <f>Cash_Flow!$N8</f>
        <v>108751.74000000002</v>
      </c>
      <c r="W8" s="15">
        <f>($W7+Cash_Flow!$J8)-(Cash_Flow!$B8+Cash_Flow!$C8)</f>
        <v>148751.74000000005</v>
      </c>
    </row>
    <row r="9" spans="1:24" x14ac:dyDescent="0.25">
      <c r="A9" s="7">
        <v>1</v>
      </c>
      <c r="B9" s="7">
        <v>7</v>
      </c>
      <c r="C9" s="8">
        <v>500000</v>
      </c>
      <c r="D9" s="8">
        <v>0</v>
      </c>
      <c r="E9" s="8">
        <v>250000</v>
      </c>
      <c r="F9" s="6">
        <v>4</v>
      </c>
      <c r="G9" s="6">
        <v>9</v>
      </c>
      <c r="H9" s="8">
        <v>240000</v>
      </c>
      <c r="I9" s="8">
        <v>540000</v>
      </c>
      <c r="J9" s="14">
        <v>23403.07</v>
      </c>
      <c r="K9" s="14">
        <v>0</v>
      </c>
      <c r="L9" s="14">
        <v>840000</v>
      </c>
      <c r="M9" s="15">
        <f>$M8+Cash_Flow!$E9</f>
        <v>577640</v>
      </c>
      <c r="N9" s="15">
        <f>$N8+Income_Statement!$M9</f>
        <v>346360</v>
      </c>
      <c r="O9" s="15">
        <f>IF(Cash_Flow!$F9&lt;=0,0,$O8+(Cash_Flow!$F9+Cash_Flow!$G9))</f>
        <v>6249.99</v>
      </c>
      <c r="P9" s="15">
        <f>Income_Statement!$P9</f>
        <v>37480</v>
      </c>
      <c r="Q9" s="15">
        <f>$Q8+Income_Statement!$P9</f>
        <v>262360</v>
      </c>
      <c r="R9" s="15">
        <f>$R8+Income_Statement!$Q9</f>
        <v>83955.200000000012</v>
      </c>
      <c r="S9" s="15">
        <f>Income_Statement!$R9</f>
        <v>25486.400000000001</v>
      </c>
      <c r="T9" s="15">
        <f>Income_Statement!$Q9</f>
        <v>11993.6</v>
      </c>
      <c r="U9" s="15">
        <f>$U8+Cash_Flow!$I9</f>
        <v>0</v>
      </c>
      <c r="V9" s="15">
        <f>Cash_Flow!$N9</f>
        <v>132154.81000000003</v>
      </c>
      <c r="W9" s="15">
        <f>($W8+Cash_Flow!$J9)-(Cash_Flow!$B9+Cash_Flow!$C9)</f>
        <v>172154.81000000006</v>
      </c>
    </row>
    <row r="10" spans="1:24" x14ac:dyDescent="0.25">
      <c r="A10" s="7">
        <v>1</v>
      </c>
      <c r="B10" s="7">
        <v>8</v>
      </c>
      <c r="C10" s="8">
        <v>500000</v>
      </c>
      <c r="D10" s="8">
        <v>0</v>
      </c>
      <c r="E10" s="8">
        <v>250000</v>
      </c>
      <c r="F10" s="6">
        <v>13</v>
      </c>
      <c r="G10" s="6">
        <v>9</v>
      </c>
      <c r="H10" s="8">
        <v>780000</v>
      </c>
      <c r="I10" s="8">
        <v>540000</v>
      </c>
      <c r="J10" s="14">
        <v>80747.47</v>
      </c>
      <c r="K10" s="14">
        <v>0</v>
      </c>
      <c r="L10" s="14">
        <v>1230000</v>
      </c>
      <c r="M10" s="15">
        <f>$M9+Cash_Flow!$E10</f>
        <v>845830</v>
      </c>
      <c r="N10" s="15">
        <f>$N9+Income_Statement!$M10</f>
        <v>507170</v>
      </c>
      <c r="O10" s="15">
        <f>IF(Cash_Flow!$F10&lt;=0,0,$O9+(Cash_Flow!$F10+Cash_Flow!$G10))</f>
        <v>8333.32</v>
      </c>
      <c r="P10" s="15">
        <f>Income_Statement!$P10</f>
        <v>121810</v>
      </c>
      <c r="Q10" s="15">
        <f>$Q9+Income_Statement!$P10</f>
        <v>384170</v>
      </c>
      <c r="R10" s="15">
        <f>$R9+Income_Statement!$Q10</f>
        <v>122934.40000000001</v>
      </c>
      <c r="S10" s="15">
        <f>Income_Statement!$R10</f>
        <v>82830.8</v>
      </c>
      <c r="T10" s="15">
        <f>Income_Statement!$Q10</f>
        <v>38979.199999999997</v>
      </c>
      <c r="U10" s="15">
        <f>$U9+Cash_Flow!$I10</f>
        <v>0</v>
      </c>
      <c r="V10" s="15">
        <f>Cash_Flow!$N10</f>
        <v>212902.28000000003</v>
      </c>
      <c r="W10" s="15">
        <f>($W9+Cash_Flow!$J10)-(Cash_Flow!$B10+Cash_Flow!$C10)</f>
        <v>252902.28000000006</v>
      </c>
    </row>
    <row r="11" spans="1:24" x14ac:dyDescent="0.25">
      <c r="A11" s="7">
        <v>1</v>
      </c>
      <c r="B11" s="7">
        <v>9</v>
      </c>
      <c r="C11" s="8">
        <v>500000</v>
      </c>
      <c r="D11" s="8">
        <v>0</v>
      </c>
      <c r="E11" s="8">
        <v>250000</v>
      </c>
      <c r="F11" s="6">
        <v>13</v>
      </c>
      <c r="G11" s="6">
        <v>9</v>
      </c>
      <c r="H11" s="8">
        <v>780000</v>
      </c>
      <c r="I11" s="8">
        <v>540000</v>
      </c>
      <c r="J11" s="14">
        <v>80747.47</v>
      </c>
      <c r="K11" s="14">
        <v>0</v>
      </c>
      <c r="L11" s="14">
        <v>1620000</v>
      </c>
      <c r="M11" s="15">
        <f>$M10+Cash_Flow!$E11</f>
        <v>1114020</v>
      </c>
      <c r="N11" s="15">
        <f>$N10+Income_Statement!$M11</f>
        <v>667980</v>
      </c>
      <c r="O11" s="15">
        <f>IF(Cash_Flow!$F11&lt;=0,0,$O10+(Cash_Flow!$F11+Cash_Flow!$G11))</f>
        <v>10416.65</v>
      </c>
      <c r="P11" s="15">
        <f>Income_Statement!$P11</f>
        <v>121810</v>
      </c>
      <c r="Q11" s="15">
        <f>$Q10+Income_Statement!$P11</f>
        <v>505980</v>
      </c>
      <c r="R11" s="15">
        <f>$R10+Income_Statement!$Q11</f>
        <v>161913.60000000001</v>
      </c>
      <c r="S11" s="15">
        <f>Income_Statement!$R11</f>
        <v>82830.8</v>
      </c>
      <c r="T11" s="15">
        <f>Income_Statement!$Q11</f>
        <v>38979.199999999997</v>
      </c>
      <c r="U11" s="15">
        <f>$U10+Cash_Flow!$I11</f>
        <v>0</v>
      </c>
      <c r="V11" s="15">
        <f>Cash_Flow!$N11</f>
        <v>293649.75</v>
      </c>
      <c r="W11" s="15">
        <f>($W10+Cash_Flow!$J11)-(Cash_Flow!$B11+Cash_Flow!$C11)</f>
        <v>333649.75000000006</v>
      </c>
    </row>
    <row r="12" spans="1:24" x14ac:dyDescent="0.25">
      <c r="A12" s="7">
        <v>1</v>
      </c>
      <c r="B12" s="7">
        <v>10</v>
      </c>
      <c r="C12" s="8">
        <v>500000</v>
      </c>
      <c r="D12" s="8">
        <v>0</v>
      </c>
      <c r="E12" s="8">
        <v>250000</v>
      </c>
      <c r="F12" s="6">
        <v>13</v>
      </c>
      <c r="G12" s="6">
        <v>13</v>
      </c>
      <c r="H12" s="8">
        <v>780000</v>
      </c>
      <c r="I12" s="8">
        <v>780000</v>
      </c>
      <c r="J12" s="14">
        <v>80747.47</v>
      </c>
      <c r="K12" s="14">
        <v>240000</v>
      </c>
      <c r="L12" s="14">
        <v>2010000</v>
      </c>
      <c r="M12" s="15">
        <f>$M11+Cash_Flow!$E12</f>
        <v>1382210</v>
      </c>
      <c r="N12" s="15">
        <f>$N11+Income_Statement!$M12</f>
        <v>828790</v>
      </c>
      <c r="O12" s="15">
        <f>IF(Cash_Flow!$F12&lt;=0,0,$O11+(Cash_Flow!$F12+Cash_Flow!$G12))</f>
        <v>12499.98</v>
      </c>
      <c r="P12" s="15">
        <f>Income_Statement!$P12</f>
        <v>121810</v>
      </c>
      <c r="Q12" s="15">
        <f>$Q11+Income_Statement!$P12</f>
        <v>627790</v>
      </c>
      <c r="R12" s="15">
        <f>$R11+Income_Statement!$Q12</f>
        <v>200892.79999999999</v>
      </c>
      <c r="S12" s="15">
        <f>Income_Statement!$R12</f>
        <v>82830.8</v>
      </c>
      <c r="T12" s="15">
        <f>Income_Statement!$Q12</f>
        <v>38979.199999999997</v>
      </c>
      <c r="U12" s="15">
        <f>$U11+Cash_Flow!$I12</f>
        <v>0</v>
      </c>
      <c r="V12" s="15">
        <f>Cash_Flow!$N12</f>
        <v>134397.22</v>
      </c>
      <c r="W12" s="15">
        <f>($W11+Cash_Flow!$J12)-(Cash_Flow!$B12+Cash_Flow!$C12)</f>
        <v>414397.22000000009</v>
      </c>
    </row>
    <row r="13" spans="1:24" x14ac:dyDescent="0.25">
      <c r="A13" s="7">
        <v>1</v>
      </c>
      <c r="B13" s="7">
        <v>11</v>
      </c>
      <c r="C13" s="8">
        <v>500000</v>
      </c>
      <c r="D13" s="8">
        <v>0</v>
      </c>
      <c r="E13" s="8">
        <v>250000</v>
      </c>
      <c r="F13" s="6">
        <v>13</v>
      </c>
      <c r="G13" s="6">
        <v>13</v>
      </c>
      <c r="H13" s="8">
        <v>780000</v>
      </c>
      <c r="I13" s="8">
        <v>780000</v>
      </c>
      <c r="J13" s="14">
        <v>80747.47</v>
      </c>
      <c r="K13" s="14">
        <v>0</v>
      </c>
      <c r="L13" s="14">
        <v>2400000</v>
      </c>
      <c r="M13" s="15">
        <f>$M12+Cash_Flow!$E13</f>
        <v>1650400</v>
      </c>
      <c r="N13" s="15">
        <f>$N12+Income_Statement!$M13</f>
        <v>989600</v>
      </c>
      <c r="O13" s="15">
        <f>IF(Cash_Flow!$F13&lt;=0,0,$O12+(Cash_Flow!$F13+Cash_Flow!$G13))</f>
        <v>14583.31</v>
      </c>
      <c r="P13" s="15">
        <f>Income_Statement!$P13</f>
        <v>121810</v>
      </c>
      <c r="Q13" s="15">
        <f>$Q12+Income_Statement!$P13</f>
        <v>749600</v>
      </c>
      <c r="R13" s="15">
        <f>$R12+Income_Statement!$Q13</f>
        <v>239872</v>
      </c>
      <c r="S13" s="15">
        <f>Income_Statement!$R13</f>
        <v>82830.8</v>
      </c>
      <c r="T13" s="15">
        <f>Income_Statement!$Q13</f>
        <v>38979.199999999997</v>
      </c>
      <c r="U13" s="15">
        <f>$U12+Cash_Flow!$I13</f>
        <v>0</v>
      </c>
      <c r="V13" s="15">
        <f>Cash_Flow!$N13</f>
        <v>215144.69</v>
      </c>
      <c r="W13" s="15">
        <f>($W12+Cash_Flow!$J13)-(Cash_Flow!$B13+Cash_Flow!$C13)</f>
        <v>495144.69000000006</v>
      </c>
    </row>
    <row r="14" spans="1:24" x14ac:dyDescent="0.25">
      <c r="A14" s="7">
        <v>1</v>
      </c>
      <c r="B14" s="7">
        <v>12</v>
      </c>
      <c r="C14" s="8">
        <v>500000</v>
      </c>
      <c r="D14" s="8">
        <v>0</v>
      </c>
      <c r="E14" s="8">
        <v>250000</v>
      </c>
      <c r="F14" s="6">
        <v>13</v>
      </c>
      <c r="G14" s="6">
        <v>13</v>
      </c>
      <c r="H14" s="8">
        <v>780000</v>
      </c>
      <c r="I14" s="8">
        <v>780000</v>
      </c>
      <c r="J14" s="14">
        <v>80747.47</v>
      </c>
      <c r="K14" s="14">
        <v>0</v>
      </c>
      <c r="L14" s="14">
        <v>2790000</v>
      </c>
      <c r="M14" s="15">
        <f>$M13+Cash_Flow!$E14</f>
        <v>1918590</v>
      </c>
      <c r="N14" s="15">
        <f>$N13+Income_Statement!$M14</f>
        <v>1150410</v>
      </c>
      <c r="O14" s="15">
        <f>IF(Cash_Flow!$F14&lt;=0,0,$O13+(Cash_Flow!$F14+Cash_Flow!$G14))</f>
        <v>16666.64</v>
      </c>
      <c r="P14" s="15">
        <f>Income_Statement!$P14</f>
        <v>121810</v>
      </c>
      <c r="Q14" s="15">
        <f>$Q13+Income_Statement!$P14</f>
        <v>871410</v>
      </c>
      <c r="R14" s="15">
        <f>$R13+Income_Statement!$Q14</f>
        <v>278851.20000000001</v>
      </c>
      <c r="S14" s="15">
        <f>Income_Statement!$R14</f>
        <v>82830.8</v>
      </c>
      <c r="T14" s="15">
        <f>Income_Statement!$Q14</f>
        <v>38979.199999999997</v>
      </c>
      <c r="U14" s="15">
        <f>$U13+Cash_Flow!$I14</f>
        <v>0</v>
      </c>
      <c r="V14" s="15">
        <f>Cash_Flow!$N14</f>
        <v>295892.16000000003</v>
      </c>
      <c r="W14" s="15">
        <f>($W13+Cash_Flow!$J14)-(Cash_Flow!$B14+Cash_Flow!$C14)</f>
        <v>575892.16</v>
      </c>
    </row>
    <row r="15" spans="1:24" x14ac:dyDescent="0.25">
      <c r="A15" s="7">
        <v>2</v>
      </c>
      <c r="B15" s="7">
        <v>13</v>
      </c>
      <c r="C15" s="8">
        <v>500000</v>
      </c>
      <c r="D15" s="8">
        <v>0</v>
      </c>
      <c r="E15" s="8">
        <v>250000</v>
      </c>
      <c r="F15" s="6">
        <v>17</v>
      </c>
      <c r="G15" s="6">
        <v>17</v>
      </c>
      <c r="H15" s="8">
        <v>1020000</v>
      </c>
      <c r="I15" s="8">
        <v>1020000</v>
      </c>
      <c r="J15" s="14">
        <v>106233.87</v>
      </c>
      <c r="K15" s="14">
        <v>240000</v>
      </c>
      <c r="L15" s="14">
        <v>3300000</v>
      </c>
      <c r="M15" s="15">
        <f>$M14+Cash_Flow!$E15</f>
        <v>2269300</v>
      </c>
      <c r="N15" s="15">
        <f>$N14+Income_Statement!$M15</f>
        <v>1360700</v>
      </c>
      <c r="O15" s="15">
        <f>IF(Cash_Flow!$F15&lt;=0,0,$O14+(Cash_Flow!$F15+Cash_Flow!$G15))</f>
        <v>18749.97</v>
      </c>
      <c r="P15" s="15">
        <f>Income_Statement!$P15</f>
        <v>159290</v>
      </c>
      <c r="Q15" s="15">
        <f>$Q14+Income_Statement!$P15</f>
        <v>1030700</v>
      </c>
      <c r="R15" s="15">
        <f>$R14+Income_Statement!$Q15</f>
        <v>329824</v>
      </c>
      <c r="S15" s="15">
        <f>Income_Statement!$R15</f>
        <v>108317.2</v>
      </c>
      <c r="T15" s="15">
        <f>Income_Statement!$Q15</f>
        <v>50972.800000000003</v>
      </c>
      <c r="U15" s="15">
        <f>$U14+Cash_Flow!$I15</f>
        <v>0</v>
      </c>
      <c r="V15" s="15">
        <f>Cash_Flow!$N15</f>
        <v>162126.03000000003</v>
      </c>
      <c r="W15" s="15">
        <f>($W14+Cash_Flow!$J15)-(Cash_Flow!$B15+Cash_Flow!$C15)</f>
        <v>682126.03</v>
      </c>
    </row>
    <row r="16" spans="1:24" x14ac:dyDescent="0.25">
      <c r="A16" s="7">
        <v>2</v>
      </c>
      <c r="B16" s="7">
        <v>14</v>
      </c>
      <c r="C16" s="8">
        <v>500000</v>
      </c>
      <c r="D16" s="8">
        <v>0</v>
      </c>
      <c r="E16" s="8">
        <v>250000</v>
      </c>
      <c r="F16" s="6">
        <v>17</v>
      </c>
      <c r="G16" s="6">
        <v>17</v>
      </c>
      <c r="H16" s="8">
        <v>1020000</v>
      </c>
      <c r="I16" s="8">
        <v>1020000</v>
      </c>
      <c r="J16" s="14">
        <v>106233.87</v>
      </c>
      <c r="K16" s="14">
        <v>0</v>
      </c>
      <c r="L16" s="14">
        <v>3810000</v>
      </c>
      <c r="M16" s="15">
        <f>$M15+Cash_Flow!$E16</f>
        <v>2620010</v>
      </c>
      <c r="N16" s="15">
        <f>$N15+Income_Statement!$M16</f>
        <v>1570990</v>
      </c>
      <c r="O16" s="15">
        <f>IF(Cash_Flow!$F16&lt;=0,0,$O15+(Cash_Flow!$F16+Cash_Flow!$G16))</f>
        <v>20833.300000000003</v>
      </c>
      <c r="P16" s="15">
        <f>Income_Statement!$P16</f>
        <v>159290</v>
      </c>
      <c r="Q16" s="15">
        <f>$Q15+Income_Statement!$P16</f>
        <v>1189990</v>
      </c>
      <c r="R16" s="15">
        <f>$R15+Income_Statement!$Q16</f>
        <v>380796.8</v>
      </c>
      <c r="S16" s="15">
        <f>Income_Statement!$R16</f>
        <v>108317.2</v>
      </c>
      <c r="T16" s="15">
        <f>Income_Statement!$Q16</f>
        <v>50972.800000000003</v>
      </c>
      <c r="U16" s="15">
        <f>$U15+Cash_Flow!$I16</f>
        <v>0</v>
      </c>
      <c r="V16" s="15">
        <f>Cash_Flow!$N16</f>
        <v>268359.90000000002</v>
      </c>
      <c r="W16" s="15">
        <f>($W15+Cash_Flow!$J16)-(Cash_Flow!$B16+Cash_Flow!$C16)</f>
        <v>788359.9</v>
      </c>
    </row>
    <row r="17" spans="1:23" x14ac:dyDescent="0.25">
      <c r="A17" s="7">
        <v>2</v>
      </c>
      <c r="B17" s="7">
        <v>15</v>
      </c>
      <c r="C17" s="8">
        <v>500000</v>
      </c>
      <c r="D17" s="8">
        <v>0</v>
      </c>
      <c r="E17" s="8">
        <v>250000</v>
      </c>
      <c r="F17" s="6">
        <v>17</v>
      </c>
      <c r="G17" s="6">
        <v>17</v>
      </c>
      <c r="H17" s="8">
        <v>1020000</v>
      </c>
      <c r="I17" s="8">
        <v>1020000</v>
      </c>
      <c r="J17" s="14">
        <v>106233.87</v>
      </c>
      <c r="K17" s="14">
        <v>0</v>
      </c>
      <c r="L17" s="14">
        <v>4320000</v>
      </c>
      <c r="M17" s="15">
        <f>$M16+Cash_Flow!$E17</f>
        <v>2970720</v>
      </c>
      <c r="N17" s="15">
        <f>$N16+Income_Statement!$M17</f>
        <v>1781280</v>
      </c>
      <c r="O17" s="15">
        <f>IF(Cash_Flow!$F17&lt;=0,0,$O16+(Cash_Flow!$F17+Cash_Flow!$G17))</f>
        <v>22916.630000000005</v>
      </c>
      <c r="P17" s="15">
        <f>Income_Statement!$P17</f>
        <v>159290</v>
      </c>
      <c r="Q17" s="15">
        <f>$Q16+Income_Statement!$P17</f>
        <v>1349280</v>
      </c>
      <c r="R17" s="15">
        <f>$R16+Income_Statement!$Q17</f>
        <v>431769.59999999998</v>
      </c>
      <c r="S17" s="15">
        <f>Income_Statement!$R17</f>
        <v>108317.2</v>
      </c>
      <c r="T17" s="15">
        <f>Income_Statement!$Q17</f>
        <v>50972.800000000003</v>
      </c>
      <c r="U17" s="15">
        <f>$U16+Cash_Flow!$I17</f>
        <v>0</v>
      </c>
      <c r="V17" s="15">
        <f>Cash_Flow!$N17</f>
        <v>374593.77</v>
      </c>
      <c r="W17" s="15">
        <f>($W16+Cash_Flow!$J17)-(Cash_Flow!$B17+Cash_Flow!$C17)</f>
        <v>894593.77</v>
      </c>
    </row>
    <row r="18" spans="1:23" x14ac:dyDescent="0.25">
      <c r="A18" s="7">
        <v>2</v>
      </c>
      <c r="B18" s="7">
        <v>16</v>
      </c>
      <c r="C18" s="8">
        <v>500000</v>
      </c>
      <c r="D18" s="8">
        <v>0</v>
      </c>
      <c r="E18" s="8">
        <v>250000</v>
      </c>
      <c r="F18" s="6">
        <v>21</v>
      </c>
      <c r="G18" s="6">
        <v>21</v>
      </c>
      <c r="H18" s="8">
        <v>1260000</v>
      </c>
      <c r="I18" s="8">
        <v>1260000</v>
      </c>
      <c r="J18" s="14">
        <v>131720.26999999999</v>
      </c>
      <c r="K18" s="14">
        <v>240000</v>
      </c>
      <c r="L18" s="14">
        <v>4950000</v>
      </c>
      <c r="M18" s="15">
        <f>$M17+Cash_Flow!$E18</f>
        <v>3403950</v>
      </c>
      <c r="N18" s="15">
        <f>$N17+Income_Statement!$M18</f>
        <v>2041050</v>
      </c>
      <c r="O18" s="15">
        <f>IF(Cash_Flow!$F18&lt;=0,0,$O17+(Cash_Flow!$F18+Cash_Flow!$G18))</f>
        <v>24999.960000000006</v>
      </c>
      <c r="P18" s="15">
        <f>Income_Statement!$P18</f>
        <v>196770</v>
      </c>
      <c r="Q18" s="15">
        <f>$Q17+Income_Statement!$P18</f>
        <v>1546050</v>
      </c>
      <c r="R18" s="15">
        <f>$R17+Income_Statement!$Q18</f>
        <v>494736</v>
      </c>
      <c r="S18" s="15">
        <f>Income_Statement!$R18</f>
        <v>133803.6</v>
      </c>
      <c r="T18" s="15">
        <f>Income_Statement!$Q18</f>
        <v>62966.400000000001</v>
      </c>
      <c r="U18" s="15">
        <f>$U17+Cash_Flow!$I18</f>
        <v>0</v>
      </c>
      <c r="V18" s="15">
        <f>Cash_Flow!$N18</f>
        <v>266314.04000000004</v>
      </c>
      <c r="W18" s="15">
        <f>($W17+Cash_Flow!$J18)-(Cash_Flow!$B18+Cash_Flow!$C18)</f>
        <v>1026314.04</v>
      </c>
    </row>
    <row r="19" spans="1:23" x14ac:dyDescent="0.25">
      <c r="A19" s="7">
        <v>2</v>
      </c>
      <c r="B19" s="7">
        <v>17</v>
      </c>
      <c r="C19" s="8">
        <v>500000</v>
      </c>
      <c r="D19" s="8">
        <v>0</v>
      </c>
      <c r="E19" s="8">
        <v>250000</v>
      </c>
      <c r="F19" s="6">
        <v>21</v>
      </c>
      <c r="G19" s="6">
        <v>21</v>
      </c>
      <c r="H19" s="8">
        <v>1260000</v>
      </c>
      <c r="I19" s="8">
        <v>1260000</v>
      </c>
      <c r="J19" s="14">
        <v>131720.26999999999</v>
      </c>
      <c r="K19" s="14">
        <v>0</v>
      </c>
      <c r="L19" s="14">
        <v>5580000</v>
      </c>
      <c r="M19" s="15">
        <f>$M18+Cash_Flow!$E19</f>
        <v>3837180</v>
      </c>
      <c r="N19" s="15">
        <f>$N18+Income_Statement!$M19</f>
        <v>2300820</v>
      </c>
      <c r="O19" s="15">
        <f>IF(Cash_Flow!$F19&lt;=0,0,$O18+(Cash_Flow!$F19+Cash_Flow!$G19))</f>
        <v>27083.290000000008</v>
      </c>
      <c r="P19" s="15">
        <f>Income_Statement!$P19</f>
        <v>196770</v>
      </c>
      <c r="Q19" s="15">
        <f>$Q18+Income_Statement!$P19</f>
        <v>1742820</v>
      </c>
      <c r="R19" s="15">
        <f>$R18+Income_Statement!$Q19</f>
        <v>557702.40000000002</v>
      </c>
      <c r="S19" s="15">
        <f>Income_Statement!$R19</f>
        <v>133803.6</v>
      </c>
      <c r="T19" s="15">
        <f>Income_Statement!$Q19</f>
        <v>62966.400000000001</v>
      </c>
      <c r="U19" s="15">
        <f>$U18+Cash_Flow!$I19</f>
        <v>0</v>
      </c>
      <c r="V19" s="15">
        <f>Cash_Flow!$N19</f>
        <v>398034.31000000006</v>
      </c>
      <c r="W19" s="15">
        <f>($W18+Cash_Flow!$J19)-(Cash_Flow!$B19+Cash_Flow!$C19)</f>
        <v>1158034.31</v>
      </c>
    </row>
    <row r="20" spans="1:23" x14ac:dyDescent="0.25">
      <c r="A20" s="7">
        <v>2</v>
      </c>
      <c r="B20" s="7">
        <v>18</v>
      </c>
      <c r="C20" s="8">
        <v>500000</v>
      </c>
      <c r="D20" s="8">
        <v>0</v>
      </c>
      <c r="E20" s="8">
        <v>250000</v>
      </c>
      <c r="F20" s="6">
        <v>21</v>
      </c>
      <c r="G20" s="6">
        <v>25</v>
      </c>
      <c r="H20" s="8">
        <v>1260000</v>
      </c>
      <c r="I20" s="8">
        <v>1500000</v>
      </c>
      <c r="J20" s="14">
        <v>131720.26999999999</v>
      </c>
      <c r="K20" s="14">
        <v>240000</v>
      </c>
      <c r="L20" s="14">
        <v>6210000</v>
      </c>
      <c r="M20" s="15">
        <f>$M19+Cash_Flow!$E20</f>
        <v>4270410</v>
      </c>
      <c r="N20" s="15">
        <f>$N19+Income_Statement!$M20</f>
        <v>2560590</v>
      </c>
      <c r="O20" s="15">
        <f>IF(Cash_Flow!$F20&lt;=0,0,$O19+(Cash_Flow!$F20+Cash_Flow!$G20))</f>
        <v>29166.62000000001</v>
      </c>
      <c r="P20" s="15">
        <f>Income_Statement!$P20</f>
        <v>196770</v>
      </c>
      <c r="Q20" s="15">
        <f>$Q19+Income_Statement!$P20</f>
        <v>1939590</v>
      </c>
      <c r="R20" s="15">
        <f>$R19+Income_Statement!$Q20</f>
        <v>620668.80000000005</v>
      </c>
      <c r="S20" s="15">
        <f>Income_Statement!$R20</f>
        <v>133803.6</v>
      </c>
      <c r="T20" s="15">
        <f>Income_Statement!$Q20</f>
        <v>62966.400000000001</v>
      </c>
      <c r="U20" s="15">
        <f>$U19+Cash_Flow!$I20</f>
        <v>0</v>
      </c>
      <c r="V20" s="15">
        <f>Cash_Flow!$N20</f>
        <v>289754.58000000007</v>
      </c>
      <c r="W20" s="15">
        <f>($W19+Cash_Flow!$J20)-(Cash_Flow!$B20+Cash_Flow!$C20)</f>
        <v>1289754.58</v>
      </c>
    </row>
    <row r="21" spans="1:23" x14ac:dyDescent="0.25">
      <c r="A21" s="7">
        <v>2</v>
      </c>
      <c r="B21" s="7">
        <v>19</v>
      </c>
      <c r="C21" s="8">
        <v>500000</v>
      </c>
      <c r="D21" s="8">
        <v>0</v>
      </c>
      <c r="E21" s="8">
        <v>250000</v>
      </c>
      <c r="F21" s="6">
        <v>25</v>
      </c>
      <c r="G21" s="6">
        <v>25</v>
      </c>
      <c r="H21" s="8">
        <v>1500000</v>
      </c>
      <c r="I21" s="8">
        <v>1500000</v>
      </c>
      <c r="J21" s="14">
        <v>157206.67000000001</v>
      </c>
      <c r="K21" s="14">
        <v>0</v>
      </c>
      <c r="L21" s="14">
        <v>6960000</v>
      </c>
      <c r="M21" s="15">
        <f>$M20+Cash_Flow!$E21</f>
        <v>4786160</v>
      </c>
      <c r="N21" s="15">
        <f>$N20+Income_Statement!$M21</f>
        <v>2869840</v>
      </c>
      <c r="O21" s="15">
        <f>IF(Cash_Flow!$F21&lt;=0,0,$O20+(Cash_Flow!$F21+Cash_Flow!$G21))</f>
        <v>31249.950000000012</v>
      </c>
      <c r="P21" s="15">
        <f>Income_Statement!$P21</f>
        <v>234250</v>
      </c>
      <c r="Q21" s="15">
        <f>$Q20+Income_Statement!$P21</f>
        <v>2173840</v>
      </c>
      <c r="R21" s="15">
        <f>$R20+Income_Statement!$Q21</f>
        <v>695628.80000000005</v>
      </c>
      <c r="S21" s="15">
        <f>Income_Statement!$R21</f>
        <v>159290</v>
      </c>
      <c r="T21" s="15">
        <f>Income_Statement!$Q21</f>
        <v>74960</v>
      </c>
      <c r="U21" s="15">
        <f>$U20+Cash_Flow!$I21</f>
        <v>0</v>
      </c>
      <c r="V21" s="15">
        <f>Cash_Flow!$N21</f>
        <v>446961.25000000012</v>
      </c>
      <c r="W21" s="15">
        <f>($W20+Cash_Flow!$J21)-(Cash_Flow!$B21+Cash_Flow!$C21)</f>
        <v>1446961.25</v>
      </c>
    </row>
    <row r="22" spans="1:23" x14ac:dyDescent="0.25">
      <c r="A22" s="7">
        <v>2</v>
      </c>
      <c r="B22" s="7">
        <v>20</v>
      </c>
      <c r="C22" s="8">
        <v>500000</v>
      </c>
      <c r="D22" s="8">
        <v>0</v>
      </c>
      <c r="E22" s="8">
        <v>250000</v>
      </c>
      <c r="F22" s="6">
        <v>25</v>
      </c>
      <c r="G22" s="6">
        <v>25</v>
      </c>
      <c r="H22" s="8">
        <v>1500000</v>
      </c>
      <c r="I22" s="8">
        <v>1500000</v>
      </c>
      <c r="J22" s="14">
        <v>157206.67000000001</v>
      </c>
      <c r="K22" s="14">
        <v>0</v>
      </c>
      <c r="L22" s="14">
        <v>7710000</v>
      </c>
      <c r="M22" s="15">
        <f>$M21+Cash_Flow!$E22</f>
        <v>5301910</v>
      </c>
      <c r="N22" s="15">
        <f>$N21+Income_Statement!$M22</f>
        <v>3179090</v>
      </c>
      <c r="O22" s="15">
        <f>IF(Cash_Flow!$F22&lt;=0,0,$O21+(Cash_Flow!$F22+Cash_Flow!$G22))</f>
        <v>33333.280000000013</v>
      </c>
      <c r="P22" s="15">
        <f>Income_Statement!$P22</f>
        <v>234250</v>
      </c>
      <c r="Q22" s="15">
        <f>$Q21+Income_Statement!$P22</f>
        <v>2408090</v>
      </c>
      <c r="R22" s="15">
        <f>$R21+Income_Statement!$Q22</f>
        <v>770588.8</v>
      </c>
      <c r="S22" s="15">
        <f>Income_Statement!$R22</f>
        <v>159290</v>
      </c>
      <c r="T22" s="15">
        <f>Income_Statement!$Q22</f>
        <v>74960</v>
      </c>
      <c r="U22" s="15">
        <f>$U21+Cash_Flow!$I22</f>
        <v>0</v>
      </c>
      <c r="V22" s="15">
        <f>Cash_Flow!$N22</f>
        <v>604167.92000000016</v>
      </c>
      <c r="W22" s="15">
        <f>($W21+Cash_Flow!$J22)-(Cash_Flow!$B22+Cash_Flow!$C22)</f>
        <v>1604167.92</v>
      </c>
    </row>
    <row r="23" spans="1:23" x14ac:dyDescent="0.25">
      <c r="A23" s="7">
        <v>2</v>
      </c>
      <c r="B23" s="7">
        <v>21</v>
      </c>
      <c r="C23" s="8">
        <v>500000</v>
      </c>
      <c r="D23" s="8">
        <v>0</v>
      </c>
      <c r="E23" s="8">
        <v>250000</v>
      </c>
      <c r="F23" s="6">
        <v>29</v>
      </c>
      <c r="G23" s="6">
        <v>29</v>
      </c>
      <c r="H23" s="8">
        <v>1740000</v>
      </c>
      <c r="I23" s="8">
        <v>1740000</v>
      </c>
      <c r="J23" s="14">
        <v>182693.07</v>
      </c>
      <c r="K23" s="14">
        <v>240000</v>
      </c>
      <c r="L23" s="14">
        <v>8580000</v>
      </c>
      <c r="M23" s="15">
        <f>$M22+Cash_Flow!$E23</f>
        <v>5900180</v>
      </c>
      <c r="N23" s="15">
        <f>$N22+Income_Statement!$M23</f>
        <v>3537820</v>
      </c>
      <c r="O23" s="15">
        <f>IF(Cash_Flow!$F23&lt;=0,0,$O22+(Cash_Flow!$F23+Cash_Flow!$G23))</f>
        <v>35416.610000000015</v>
      </c>
      <c r="P23" s="15">
        <f>Income_Statement!$P23</f>
        <v>271730</v>
      </c>
      <c r="Q23" s="15">
        <f>$Q22+Income_Statement!$P23</f>
        <v>2679820</v>
      </c>
      <c r="R23" s="15">
        <f>$R22+Income_Statement!$Q23</f>
        <v>857542.4</v>
      </c>
      <c r="S23" s="15">
        <f>Income_Statement!$R23</f>
        <v>184776.4</v>
      </c>
      <c r="T23" s="15">
        <f>Income_Statement!$Q23</f>
        <v>86953.600000000006</v>
      </c>
      <c r="U23" s="15">
        <f>$U22+Cash_Flow!$I23</f>
        <v>0</v>
      </c>
      <c r="V23" s="15">
        <f>Cash_Flow!$N23</f>
        <v>546860.99000000011</v>
      </c>
      <c r="W23" s="15">
        <f>($W22+Cash_Flow!$J23)-(Cash_Flow!$B23+Cash_Flow!$C23)</f>
        <v>1786860.99</v>
      </c>
    </row>
    <row r="24" spans="1:23" x14ac:dyDescent="0.25">
      <c r="A24" s="7">
        <v>2</v>
      </c>
      <c r="B24" s="7">
        <v>22</v>
      </c>
      <c r="C24" s="8">
        <v>500000</v>
      </c>
      <c r="D24" s="8">
        <v>0</v>
      </c>
      <c r="E24" s="8">
        <v>250000</v>
      </c>
      <c r="F24" s="6">
        <v>29</v>
      </c>
      <c r="G24" s="6">
        <v>29</v>
      </c>
      <c r="H24" s="8">
        <v>1740000</v>
      </c>
      <c r="I24" s="8">
        <v>1740000</v>
      </c>
      <c r="J24" s="14">
        <v>182693.07</v>
      </c>
      <c r="K24" s="14">
        <v>0</v>
      </c>
      <c r="L24" s="14">
        <v>9450000</v>
      </c>
      <c r="M24" s="15">
        <f>$M23+Cash_Flow!$E24</f>
        <v>6498450</v>
      </c>
      <c r="N24" s="15">
        <f>$N23+Income_Statement!$M24</f>
        <v>3896550</v>
      </c>
      <c r="O24" s="15">
        <f>IF(Cash_Flow!$F24&lt;=0,0,$O23+(Cash_Flow!$F24+Cash_Flow!$G24))</f>
        <v>37499.940000000017</v>
      </c>
      <c r="P24" s="15">
        <f>Income_Statement!$P24</f>
        <v>271730</v>
      </c>
      <c r="Q24" s="15">
        <f>$Q23+Income_Statement!$P24</f>
        <v>2951550</v>
      </c>
      <c r="R24" s="15">
        <f>$R23+Income_Statement!$Q24</f>
        <v>944496</v>
      </c>
      <c r="S24" s="15">
        <f>Income_Statement!$R24</f>
        <v>184776.4</v>
      </c>
      <c r="T24" s="15">
        <f>Income_Statement!$Q24</f>
        <v>86953.600000000006</v>
      </c>
      <c r="U24" s="15">
        <f>$U23+Cash_Flow!$I24</f>
        <v>0</v>
      </c>
      <c r="V24" s="15">
        <f>Cash_Flow!$N24</f>
        <v>729554.06</v>
      </c>
      <c r="W24" s="15">
        <f>($W23+Cash_Flow!$J24)-(Cash_Flow!$B24+Cash_Flow!$C24)</f>
        <v>1969554.06</v>
      </c>
    </row>
    <row r="25" spans="1:23" x14ac:dyDescent="0.25">
      <c r="A25" s="7">
        <v>2</v>
      </c>
      <c r="B25" s="7">
        <v>23</v>
      </c>
      <c r="C25" s="8">
        <v>500000</v>
      </c>
      <c r="D25" s="8">
        <v>0</v>
      </c>
      <c r="E25" s="8">
        <v>250000</v>
      </c>
      <c r="F25" s="6">
        <v>29</v>
      </c>
      <c r="G25" s="6">
        <v>33</v>
      </c>
      <c r="H25" s="8">
        <v>1740000</v>
      </c>
      <c r="I25" s="8">
        <v>1980000</v>
      </c>
      <c r="J25" s="14">
        <v>182693.07</v>
      </c>
      <c r="K25" s="14">
        <v>240000</v>
      </c>
      <c r="L25" s="14">
        <v>10320000</v>
      </c>
      <c r="M25" s="15">
        <f>$M24+Cash_Flow!$E25</f>
        <v>7096720</v>
      </c>
      <c r="N25" s="15">
        <f>$N24+Income_Statement!$M25</f>
        <v>4255280</v>
      </c>
      <c r="O25" s="15">
        <f>IF(Cash_Flow!$F25&lt;=0,0,$O24+(Cash_Flow!$F25+Cash_Flow!$G25))</f>
        <v>39583.270000000019</v>
      </c>
      <c r="P25" s="15">
        <f>Income_Statement!$P25</f>
        <v>271730</v>
      </c>
      <c r="Q25" s="15">
        <f>$Q24+Income_Statement!$P25</f>
        <v>3223280</v>
      </c>
      <c r="R25" s="15">
        <f>$R24+Income_Statement!$Q25</f>
        <v>1031449.6</v>
      </c>
      <c r="S25" s="15">
        <f>Income_Statement!$R25</f>
        <v>184776.4</v>
      </c>
      <c r="T25" s="15">
        <f>Income_Statement!$Q25</f>
        <v>86953.600000000006</v>
      </c>
      <c r="U25" s="15">
        <f>$U24+Cash_Flow!$I25</f>
        <v>0</v>
      </c>
      <c r="V25" s="15">
        <f>Cash_Flow!$N25</f>
        <v>672247.13</v>
      </c>
      <c r="W25" s="15">
        <f>($W24+Cash_Flow!$J25)-(Cash_Flow!$B25+Cash_Flow!$C25)</f>
        <v>2152247.13</v>
      </c>
    </row>
    <row r="26" spans="1:23" x14ac:dyDescent="0.25">
      <c r="A26" s="7">
        <v>2</v>
      </c>
      <c r="B26" s="7">
        <v>24</v>
      </c>
      <c r="C26" s="8">
        <v>500000</v>
      </c>
      <c r="D26" s="8">
        <v>0</v>
      </c>
      <c r="E26" s="8">
        <v>250000</v>
      </c>
      <c r="F26" s="6">
        <v>33</v>
      </c>
      <c r="G26" s="6">
        <v>33</v>
      </c>
      <c r="H26" s="8">
        <v>1980000</v>
      </c>
      <c r="I26" s="8">
        <v>1980000</v>
      </c>
      <c r="J26" s="14">
        <v>208179.47</v>
      </c>
      <c r="K26" s="14">
        <v>0</v>
      </c>
      <c r="L26" s="14">
        <v>11310000</v>
      </c>
      <c r="M26" s="15">
        <f>$M25+Cash_Flow!$E26</f>
        <v>7777510</v>
      </c>
      <c r="N26" s="15">
        <f>$N25+Income_Statement!$M26</f>
        <v>4663490</v>
      </c>
      <c r="O26" s="15">
        <f>IF(Cash_Flow!$F26&lt;=0,0,$O25+(Cash_Flow!$F26+Cash_Flow!$G26))</f>
        <v>41666.60000000002</v>
      </c>
      <c r="P26" s="15">
        <f>Income_Statement!$P26</f>
        <v>309210</v>
      </c>
      <c r="Q26" s="15">
        <f>$Q25+Income_Statement!$P26</f>
        <v>3532490</v>
      </c>
      <c r="R26" s="15">
        <f>$R25+Income_Statement!$Q26</f>
        <v>1130396.8</v>
      </c>
      <c r="S26" s="15">
        <f>Income_Statement!$R26</f>
        <v>210262.8</v>
      </c>
      <c r="T26" s="15">
        <f>Income_Statement!$Q26</f>
        <v>98947.199999999997</v>
      </c>
      <c r="U26" s="15">
        <f>$U25+Cash_Flow!$I26</f>
        <v>0</v>
      </c>
      <c r="V26" s="15">
        <f>Cash_Flow!$N26</f>
        <v>880426.6</v>
      </c>
      <c r="W26" s="15">
        <f>($W25+Cash_Flow!$J26)-(Cash_Flow!$B26+Cash_Flow!$C26)</f>
        <v>2360426.6</v>
      </c>
    </row>
    <row r="27" spans="1:23" x14ac:dyDescent="0.25">
      <c r="A27" s="7">
        <v>3</v>
      </c>
      <c r="B27" s="7">
        <v>25</v>
      </c>
      <c r="C27" s="8">
        <v>500000</v>
      </c>
      <c r="D27" s="8">
        <v>0</v>
      </c>
      <c r="E27" s="8">
        <v>250000</v>
      </c>
      <c r="F27" s="6">
        <v>33</v>
      </c>
      <c r="G27" s="6">
        <v>33</v>
      </c>
      <c r="H27" s="8">
        <v>1980000</v>
      </c>
      <c r="I27" s="8">
        <v>1980000</v>
      </c>
      <c r="J27" s="14">
        <v>208179.47</v>
      </c>
      <c r="K27" s="14">
        <v>0</v>
      </c>
      <c r="L27" s="14">
        <v>12300000</v>
      </c>
      <c r="M27" s="15">
        <f>$M26+Cash_Flow!$E27</f>
        <v>8458300</v>
      </c>
      <c r="N27" s="15">
        <f>$N26+Income_Statement!$M27</f>
        <v>5071700</v>
      </c>
      <c r="O27" s="15">
        <f>IF(Cash_Flow!$F27&lt;=0,0,$O26+(Cash_Flow!$F27+Cash_Flow!$G27))</f>
        <v>43749.930000000022</v>
      </c>
      <c r="P27" s="15">
        <f>Income_Statement!$P27</f>
        <v>309210</v>
      </c>
      <c r="Q27" s="15">
        <f>$Q26+Income_Statement!$P27</f>
        <v>3841700</v>
      </c>
      <c r="R27" s="15">
        <f>$R26+Income_Statement!$Q27</f>
        <v>1229344</v>
      </c>
      <c r="S27" s="15">
        <f>Income_Statement!$R27</f>
        <v>210262.8</v>
      </c>
      <c r="T27" s="15">
        <f>Income_Statement!$Q27</f>
        <v>98947.199999999997</v>
      </c>
      <c r="U27" s="15">
        <f>$U26+Cash_Flow!$I27</f>
        <v>0</v>
      </c>
      <c r="V27" s="15">
        <f>Cash_Flow!$N27</f>
        <v>1088606.07</v>
      </c>
      <c r="W27" s="15">
        <f>($W26+Cash_Flow!$J27)-(Cash_Flow!$B27+Cash_Flow!$C27)</f>
        <v>2568606.0700000003</v>
      </c>
    </row>
    <row r="28" spans="1:23" x14ac:dyDescent="0.25">
      <c r="A28" s="7">
        <v>3</v>
      </c>
      <c r="B28" s="7">
        <v>26</v>
      </c>
      <c r="C28" s="8">
        <v>500000</v>
      </c>
      <c r="D28" s="8">
        <v>0</v>
      </c>
      <c r="E28" s="8">
        <v>250000</v>
      </c>
      <c r="F28" s="6">
        <v>37</v>
      </c>
      <c r="G28" s="6">
        <v>38</v>
      </c>
      <c r="H28" s="8">
        <v>2220000</v>
      </c>
      <c r="I28" s="8">
        <v>2280000</v>
      </c>
      <c r="J28" s="14">
        <v>233665.87</v>
      </c>
      <c r="K28" s="14">
        <v>300000</v>
      </c>
      <c r="L28" s="14">
        <v>13410000</v>
      </c>
      <c r="M28" s="15">
        <f>$M27+Cash_Flow!$E28</f>
        <v>9221610</v>
      </c>
      <c r="N28" s="15">
        <f>$N27+Income_Statement!$M28</f>
        <v>5529390</v>
      </c>
      <c r="O28" s="15">
        <f>IF(Cash_Flow!$F28&lt;=0,0,$O27+(Cash_Flow!$F28+Cash_Flow!$G28))</f>
        <v>45833.260000000024</v>
      </c>
      <c r="P28" s="15">
        <f>Income_Statement!$P28</f>
        <v>346690</v>
      </c>
      <c r="Q28" s="15">
        <f>$Q27+Income_Statement!$P28</f>
        <v>4188390</v>
      </c>
      <c r="R28" s="15">
        <f>$R27+Income_Statement!$Q28</f>
        <v>1340284.8</v>
      </c>
      <c r="S28" s="15">
        <f>Income_Statement!$R28</f>
        <v>235749.2</v>
      </c>
      <c r="T28" s="15">
        <f>Income_Statement!$Q28</f>
        <v>110940.8</v>
      </c>
      <c r="U28" s="15">
        <f>$U27+Cash_Flow!$I28</f>
        <v>0</v>
      </c>
      <c r="V28" s="15">
        <f>Cash_Flow!$N28</f>
        <v>1022271.9400000001</v>
      </c>
      <c r="W28" s="15">
        <f>($W27+Cash_Flow!$J28)-(Cash_Flow!$B28+Cash_Flow!$C28)</f>
        <v>2802271.9400000004</v>
      </c>
    </row>
    <row r="29" spans="1:23" x14ac:dyDescent="0.25">
      <c r="A29" s="7">
        <v>3</v>
      </c>
      <c r="B29" s="7">
        <v>27</v>
      </c>
      <c r="C29" s="8">
        <v>500000</v>
      </c>
      <c r="D29" s="8">
        <v>0</v>
      </c>
      <c r="E29" s="8">
        <v>250000</v>
      </c>
      <c r="F29" s="6">
        <v>37</v>
      </c>
      <c r="G29" s="6">
        <v>38</v>
      </c>
      <c r="H29" s="8">
        <v>2220000</v>
      </c>
      <c r="I29" s="8">
        <v>2280000</v>
      </c>
      <c r="J29" s="14">
        <v>233665.87</v>
      </c>
      <c r="K29" s="14">
        <v>0</v>
      </c>
      <c r="L29" s="14">
        <v>14520000</v>
      </c>
      <c r="M29" s="15">
        <f>$M28+Cash_Flow!$E29</f>
        <v>9984920</v>
      </c>
      <c r="N29" s="15">
        <f>$N28+Income_Statement!$M29</f>
        <v>5987080</v>
      </c>
      <c r="O29" s="15">
        <f>IF(Cash_Flow!$F29&lt;=0,0,$O28+(Cash_Flow!$F29+Cash_Flow!$G29))</f>
        <v>47916.590000000026</v>
      </c>
      <c r="P29" s="15">
        <f>Income_Statement!$P29</f>
        <v>346690</v>
      </c>
      <c r="Q29" s="15">
        <f>$Q28+Income_Statement!$P29</f>
        <v>4535080</v>
      </c>
      <c r="R29" s="15">
        <f>$R28+Income_Statement!$Q29</f>
        <v>1451225.6</v>
      </c>
      <c r="S29" s="15">
        <f>Income_Statement!$R29</f>
        <v>235749.2</v>
      </c>
      <c r="T29" s="15">
        <f>Income_Statement!$Q29</f>
        <v>110940.8</v>
      </c>
      <c r="U29" s="15">
        <f>$U28+Cash_Flow!$I29</f>
        <v>0</v>
      </c>
      <c r="V29" s="15">
        <f>Cash_Flow!$N29</f>
        <v>1255937.81</v>
      </c>
      <c r="W29" s="15">
        <f>($W28+Cash_Flow!$J29)-(Cash_Flow!$B29+Cash_Flow!$C29)</f>
        <v>3035937.8100000005</v>
      </c>
    </row>
    <row r="30" spans="1:23" x14ac:dyDescent="0.25">
      <c r="A30" s="7">
        <v>3</v>
      </c>
      <c r="B30" s="7">
        <v>28</v>
      </c>
      <c r="C30" s="8">
        <v>500000</v>
      </c>
      <c r="D30" s="8">
        <v>0</v>
      </c>
      <c r="E30" s="8">
        <v>250000</v>
      </c>
      <c r="F30" s="6">
        <v>37</v>
      </c>
      <c r="G30" s="6">
        <v>42</v>
      </c>
      <c r="H30" s="8">
        <v>2220000</v>
      </c>
      <c r="I30" s="8">
        <v>2520000</v>
      </c>
      <c r="J30" s="14">
        <v>233665.87</v>
      </c>
      <c r="K30" s="14">
        <v>240000</v>
      </c>
      <c r="L30" s="14">
        <v>15630000</v>
      </c>
      <c r="M30" s="15">
        <f>$M29+Cash_Flow!$E30</f>
        <v>10748230</v>
      </c>
      <c r="N30" s="15">
        <f>$N29+Income_Statement!$M30</f>
        <v>6444770</v>
      </c>
      <c r="O30" s="15">
        <f>IF(Cash_Flow!$F30&lt;=0,0,$O29+(Cash_Flow!$F30+Cash_Flow!$G30))</f>
        <v>49999.920000000027</v>
      </c>
      <c r="P30" s="15">
        <f>Income_Statement!$P30</f>
        <v>346690</v>
      </c>
      <c r="Q30" s="15">
        <f>$Q29+Income_Statement!$P30</f>
        <v>4881770</v>
      </c>
      <c r="R30" s="15">
        <f>$R29+Income_Statement!$Q30</f>
        <v>1562166.4000000001</v>
      </c>
      <c r="S30" s="15">
        <f>Income_Statement!$R30</f>
        <v>235749.2</v>
      </c>
      <c r="T30" s="15">
        <f>Income_Statement!$Q30</f>
        <v>110940.8</v>
      </c>
      <c r="U30" s="15">
        <f>$U29+Cash_Flow!$I30</f>
        <v>0</v>
      </c>
      <c r="V30" s="15">
        <f>Cash_Flow!$N30</f>
        <v>1249603.6800000002</v>
      </c>
      <c r="W30" s="15">
        <f>($W29+Cash_Flow!$J30)-(Cash_Flow!$B30+Cash_Flow!$C30)</f>
        <v>3269603.6800000006</v>
      </c>
    </row>
    <row r="31" spans="1:23" x14ac:dyDescent="0.25">
      <c r="A31" s="7">
        <v>3</v>
      </c>
      <c r="B31" s="7">
        <v>29</v>
      </c>
      <c r="C31" s="8">
        <v>500000</v>
      </c>
      <c r="D31" s="8">
        <v>0</v>
      </c>
      <c r="E31" s="8">
        <v>250000</v>
      </c>
      <c r="F31" s="6">
        <v>42</v>
      </c>
      <c r="G31" s="6">
        <v>42</v>
      </c>
      <c r="H31" s="8">
        <v>2520000</v>
      </c>
      <c r="I31" s="8">
        <v>2520000</v>
      </c>
      <c r="J31" s="14">
        <v>265523.87</v>
      </c>
      <c r="K31" s="14">
        <v>0</v>
      </c>
      <c r="L31" s="14">
        <v>16890000</v>
      </c>
      <c r="M31" s="15">
        <f>$M30+Cash_Flow!$E31</f>
        <v>11614690</v>
      </c>
      <c r="N31" s="15">
        <f>$N30+Income_Statement!$M31</f>
        <v>6964310</v>
      </c>
      <c r="O31" s="15">
        <f>IF(Cash_Flow!$F31&lt;=0,0,$O30+(Cash_Flow!$F31+Cash_Flow!$G31))</f>
        <v>52083.250000000029</v>
      </c>
      <c r="P31" s="15">
        <f>Income_Statement!$P31</f>
        <v>393540</v>
      </c>
      <c r="Q31" s="15">
        <f>$Q30+Income_Statement!$P31</f>
        <v>5275310</v>
      </c>
      <c r="R31" s="15">
        <f>$R30+Income_Statement!$Q31</f>
        <v>1688099.2000000002</v>
      </c>
      <c r="S31" s="15">
        <f>Income_Statement!$R31</f>
        <v>267607.2</v>
      </c>
      <c r="T31" s="15">
        <f>Income_Statement!$Q31</f>
        <v>125932.8</v>
      </c>
      <c r="U31" s="15">
        <f>$U30+Cash_Flow!$I31</f>
        <v>0</v>
      </c>
      <c r="V31" s="15">
        <f>Cash_Flow!$N31</f>
        <v>1515127.5500000003</v>
      </c>
      <c r="W31" s="15">
        <f>($W30+Cash_Flow!$J31)-(Cash_Flow!$B31+Cash_Flow!$C31)</f>
        <v>3535127.5500000007</v>
      </c>
    </row>
    <row r="32" spans="1:23" x14ac:dyDescent="0.25">
      <c r="A32" s="7">
        <v>3</v>
      </c>
      <c r="B32" s="7">
        <v>30</v>
      </c>
      <c r="C32" s="8">
        <v>500000</v>
      </c>
      <c r="D32" s="8">
        <v>0</v>
      </c>
      <c r="E32" s="8">
        <v>250000</v>
      </c>
      <c r="F32" s="6">
        <v>42</v>
      </c>
      <c r="G32" s="6">
        <v>46</v>
      </c>
      <c r="H32" s="8">
        <v>2520000</v>
      </c>
      <c r="I32" s="8">
        <v>2760000</v>
      </c>
      <c r="J32" s="14">
        <v>265523.87</v>
      </c>
      <c r="K32" s="14">
        <v>240000</v>
      </c>
      <c r="L32" s="14">
        <v>18150000</v>
      </c>
      <c r="M32" s="15">
        <f>$M31+Cash_Flow!$E32</f>
        <v>12481150</v>
      </c>
      <c r="N32" s="15">
        <f>$N31+Income_Statement!$M32</f>
        <v>7483850</v>
      </c>
      <c r="O32" s="15">
        <f>IF(Cash_Flow!$F32&lt;=0,0,$O31+(Cash_Flow!$F32+Cash_Flow!$G32))</f>
        <v>54166.580000000031</v>
      </c>
      <c r="P32" s="15">
        <f>Income_Statement!$P32</f>
        <v>393540</v>
      </c>
      <c r="Q32" s="15">
        <f>$Q31+Income_Statement!$P32</f>
        <v>5668850</v>
      </c>
      <c r="R32" s="15">
        <f>$R31+Income_Statement!$Q32</f>
        <v>1814032.0000000002</v>
      </c>
      <c r="S32" s="15">
        <f>Income_Statement!$R32</f>
        <v>267607.2</v>
      </c>
      <c r="T32" s="15">
        <f>Income_Statement!$Q32</f>
        <v>125932.8</v>
      </c>
      <c r="U32" s="15">
        <f>$U31+Cash_Flow!$I32</f>
        <v>0</v>
      </c>
      <c r="V32" s="15">
        <f>Cash_Flow!$N32</f>
        <v>1540651.4200000004</v>
      </c>
      <c r="W32" s="15">
        <f>($W31+Cash_Flow!$J32)-(Cash_Flow!$B32+Cash_Flow!$C32)</f>
        <v>3800651.4200000009</v>
      </c>
    </row>
    <row r="33" spans="1:23" x14ac:dyDescent="0.25">
      <c r="A33" s="7">
        <v>3</v>
      </c>
      <c r="B33" s="7">
        <v>31</v>
      </c>
      <c r="C33" s="8">
        <v>500000</v>
      </c>
      <c r="D33" s="8">
        <v>0</v>
      </c>
      <c r="E33" s="8">
        <v>250000</v>
      </c>
      <c r="F33" s="6">
        <v>46</v>
      </c>
      <c r="G33" s="6">
        <v>46</v>
      </c>
      <c r="H33" s="8">
        <v>2760000</v>
      </c>
      <c r="I33" s="8">
        <v>2760000</v>
      </c>
      <c r="J33" s="14">
        <v>291010.27</v>
      </c>
      <c r="K33" s="14">
        <v>0</v>
      </c>
      <c r="L33" s="14">
        <v>19530000</v>
      </c>
      <c r="M33" s="15">
        <f>$M32+Cash_Flow!$E33</f>
        <v>13430130</v>
      </c>
      <c r="N33" s="15">
        <f>$N32+Income_Statement!$M33</f>
        <v>8052870</v>
      </c>
      <c r="O33" s="15">
        <f>IF(Cash_Flow!$F33&lt;=0,0,$O32+(Cash_Flow!$F33+Cash_Flow!$G33))</f>
        <v>56249.910000000033</v>
      </c>
      <c r="P33" s="15">
        <f>Income_Statement!$P33</f>
        <v>431020</v>
      </c>
      <c r="Q33" s="15">
        <f>$Q32+Income_Statement!$P33</f>
        <v>6099870</v>
      </c>
      <c r="R33" s="15">
        <f>$R32+Income_Statement!$Q33</f>
        <v>1951958.4000000001</v>
      </c>
      <c r="S33" s="15">
        <f>Income_Statement!$R33</f>
        <v>293093.59999999998</v>
      </c>
      <c r="T33" s="15">
        <f>Income_Statement!$Q33</f>
        <v>137926.39999999999</v>
      </c>
      <c r="U33" s="15">
        <f>$U32+Cash_Flow!$I33</f>
        <v>0</v>
      </c>
      <c r="V33" s="15">
        <f>Cash_Flow!$N33</f>
        <v>1831661.6900000004</v>
      </c>
      <c r="W33" s="15">
        <f>($W32+Cash_Flow!$J33)-(Cash_Flow!$B33+Cash_Flow!$C33)</f>
        <v>4091661.6900000009</v>
      </c>
    </row>
    <row r="34" spans="1:23" x14ac:dyDescent="0.25">
      <c r="A34" s="7">
        <v>3</v>
      </c>
      <c r="B34" s="7">
        <v>32</v>
      </c>
      <c r="C34" s="8">
        <v>500000</v>
      </c>
      <c r="D34" s="8">
        <v>0</v>
      </c>
      <c r="E34" s="8">
        <v>250000</v>
      </c>
      <c r="F34" s="6">
        <v>37</v>
      </c>
      <c r="G34" s="6">
        <v>50</v>
      </c>
      <c r="H34" s="8">
        <v>2220000</v>
      </c>
      <c r="I34" s="8">
        <v>3000000</v>
      </c>
      <c r="J34" s="14">
        <v>233665.87</v>
      </c>
      <c r="K34" s="14">
        <v>240000</v>
      </c>
      <c r="L34" s="14">
        <v>20640000</v>
      </c>
      <c r="M34" s="15">
        <f>$M33+Cash_Flow!$E34</f>
        <v>14193440</v>
      </c>
      <c r="N34" s="15">
        <f>$N33+Income_Statement!$M34</f>
        <v>8510560</v>
      </c>
      <c r="O34" s="15">
        <f>IF(Cash_Flow!$F34&lt;=0,0,$O33+(Cash_Flow!$F34+Cash_Flow!$G34))</f>
        <v>58333.240000000034</v>
      </c>
      <c r="P34" s="15">
        <f>Income_Statement!$P34</f>
        <v>346690</v>
      </c>
      <c r="Q34" s="15">
        <f>$Q33+Income_Statement!$P34</f>
        <v>6446560</v>
      </c>
      <c r="R34" s="15">
        <f>$R33+Income_Statement!$Q34</f>
        <v>2062899.2000000002</v>
      </c>
      <c r="S34" s="15">
        <f>Income_Statement!$R34</f>
        <v>235749.2</v>
      </c>
      <c r="T34" s="15">
        <f>Income_Statement!$Q34</f>
        <v>110940.8</v>
      </c>
      <c r="U34" s="15">
        <f>$U33+Cash_Flow!$I34</f>
        <v>0</v>
      </c>
      <c r="V34" s="15">
        <f>Cash_Flow!$N34</f>
        <v>1825327.5600000005</v>
      </c>
      <c r="W34" s="15">
        <f>($W33+Cash_Flow!$J34)-(Cash_Flow!$B34+Cash_Flow!$C34)</f>
        <v>4325327.5600000005</v>
      </c>
    </row>
    <row r="35" spans="1:23" x14ac:dyDescent="0.25">
      <c r="A35" s="7">
        <v>3</v>
      </c>
      <c r="B35" s="7">
        <v>33</v>
      </c>
      <c r="C35" s="8">
        <v>500000</v>
      </c>
      <c r="D35" s="8">
        <v>0</v>
      </c>
      <c r="E35" s="8">
        <v>250000</v>
      </c>
      <c r="F35" s="6">
        <v>41</v>
      </c>
      <c r="G35" s="6">
        <v>50</v>
      </c>
      <c r="H35" s="8">
        <v>2460000</v>
      </c>
      <c r="I35" s="8">
        <v>3000000</v>
      </c>
      <c r="J35" s="14">
        <v>259152.27</v>
      </c>
      <c r="K35" s="14">
        <v>0</v>
      </c>
      <c r="L35" s="14">
        <v>21870000</v>
      </c>
      <c r="M35" s="15">
        <f>$M34+Cash_Flow!$E35</f>
        <v>15039270</v>
      </c>
      <c r="N35" s="15">
        <f>$N34+Income_Statement!$M35</f>
        <v>9017730</v>
      </c>
      <c r="O35" s="15">
        <f>IF(Cash_Flow!$F35&lt;=0,0,$O34+(Cash_Flow!$F35+Cash_Flow!$G35))</f>
        <v>60416.570000000036</v>
      </c>
      <c r="P35" s="15">
        <f>Income_Statement!$P35</f>
        <v>384170</v>
      </c>
      <c r="Q35" s="15">
        <f>$Q34+Income_Statement!$P35</f>
        <v>6830730</v>
      </c>
      <c r="R35" s="15">
        <f>$R34+Income_Statement!$Q35</f>
        <v>2185833.6</v>
      </c>
      <c r="S35" s="15">
        <f>Income_Statement!$R35</f>
        <v>261235.6</v>
      </c>
      <c r="T35" s="15">
        <f>Income_Statement!$Q35</f>
        <v>122934.39999999999</v>
      </c>
      <c r="U35" s="15">
        <f>$U34+Cash_Flow!$I35</f>
        <v>0</v>
      </c>
      <c r="V35" s="15">
        <f>Cash_Flow!$N35</f>
        <v>2084479.8300000005</v>
      </c>
      <c r="W35" s="15">
        <f>($W34+Cash_Flow!$J35)-(Cash_Flow!$B35+Cash_Flow!$C35)</f>
        <v>4584479.83</v>
      </c>
    </row>
    <row r="36" spans="1:23" x14ac:dyDescent="0.25">
      <c r="A36" s="7">
        <v>3</v>
      </c>
      <c r="B36" s="7">
        <v>34</v>
      </c>
      <c r="C36" s="8">
        <v>500000</v>
      </c>
      <c r="D36" s="8">
        <v>0</v>
      </c>
      <c r="E36" s="8">
        <v>250000</v>
      </c>
      <c r="F36" s="6">
        <v>41</v>
      </c>
      <c r="G36" s="6">
        <v>54</v>
      </c>
      <c r="H36" s="8">
        <v>2460000</v>
      </c>
      <c r="I36" s="8">
        <v>3240000</v>
      </c>
      <c r="J36" s="14">
        <v>259152.27</v>
      </c>
      <c r="K36" s="14">
        <v>240000</v>
      </c>
      <c r="L36" s="14">
        <v>23100000</v>
      </c>
      <c r="M36" s="15">
        <f>$M35+Cash_Flow!$E36</f>
        <v>15885100</v>
      </c>
      <c r="N36" s="15">
        <f>$N35+Income_Statement!$M36</f>
        <v>9524900</v>
      </c>
      <c r="O36" s="15">
        <f>IF(Cash_Flow!$F36&lt;=0,0,$O35+(Cash_Flow!$F36+Cash_Flow!$G36))</f>
        <v>62499.900000000038</v>
      </c>
      <c r="P36" s="15">
        <f>Income_Statement!$P36</f>
        <v>384170</v>
      </c>
      <c r="Q36" s="15">
        <f>$Q35+Income_Statement!$P36</f>
        <v>7214900</v>
      </c>
      <c r="R36" s="15">
        <f>$R35+Income_Statement!$Q36</f>
        <v>2308768</v>
      </c>
      <c r="S36" s="15">
        <f>Income_Statement!$R36</f>
        <v>261235.6</v>
      </c>
      <c r="T36" s="15">
        <f>Income_Statement!$Q36</f>
        <v>122934.39999999999</v>
      </c>
      <c r="U36" s="15">
        <f>$U35+Cash_Flow!$I36</f>
        <v>0</v>
      </c>
      <c r="V36" s="15">
        <f>Cash_Flow!$N36</f>
        <v>2103632.1000000006</v>
      </c>
      <c r="W36" s="15">
        <f>($W35+Cash_Flow!$J36)-(Cash_Flow!$B36+Cash_Flow!$C36)</f>
        <v>4843632.0999999996</v>
      </c>
    </row>
    <row r="37" spans="1:23" x14ac:dyDescent="0.25">
      <c r="A37" s="7">
        <v>3</v>
      </c>
      <c r="B37" s="7">
        <v>35</v>
      </c>
      <c r="C37" s="8">
        <v>500000</v>
      </c>
      <c r="D37" s="8">
        <v>0</v>
      </c>
      <c r="E37" s="8">
        <v>250000</v>
      </c>
      <c r="F37" s="6">
        <v>45</v>
      </c>
      <c r="G37" s="6">
        <v>54</v>
      </c>
      <c r="H37" s="8">
        <v>2700000</v>
      </c>
      <c r="I37" s="8">
        <v>3240000</v>
      </c>
      <c r="J37" s="14">
        <v>284638.67</v>
      </c>
      <c r="K37" s="14">
        <v>0</v>
      </c>
      <c r="L37" s="14">
        <v>24450000</v>
      </c>
      <c r="M37" s="15">
        <f>$M36+Cash_Flow!$E37</f>
        <v>16813450</v>
      </c>
      <c r="N37" s="15">
        <f>$N36+Income_Statement!$M37</f>
        <v>10081550</v>
      </c>
      <c r="O37" s="15">
        <f>IF(Cash_Flow!$F37&lt;=0,0,$O36+(Cash_Flow!$F37+Cash_Flow!$G37))</f>
        <v>64583.23000000004</v>
      </c>
      <c r="P37" s="15">
        <f>Income_Statement!$P37</f>
        <v>421650</v>
      </c>
      <c r="Q37" s="15">
        <f>$Q36+Income_Statement!$P37</f>
        <v>7636550</v>
      </c>
      <c r="R37" s="15">
        <f>$R36+Income_Statement!$Q37</f>
        <v>2443696</v>
      </c>
      <c r="S37" s="15">
        <f>Income_Statement!$R37</f>
        <v>286722</v>
      </c>
      <c r="T37" s="15">
        <f>Income_Statement!$Q37</f>
        <v>134928</v>
      </c>
      <c r="U37" s="15">
        <f>$U36+Cash_Flow!$I37</f>
        <v>0</v>
      </c>
      <c r="V37" s="15">
        <f>Cash_Flow!$N37</f>
        <v>2388270.7700000005</v>
      </c>
      <c r="W37" s="15">
        <f>($W36+Cash_Flow!$J37)-(Cash_Flow!$B37+Cash_Flow!$C37)</f>
        <v>5128270.7699999996</v>
      </c>
    </row>
    <row r="38" spans="1:23" x14ac:dyDescent="0.25">
      <c r="A38" s="7">
        <v>3</v>
      </c>
      <c r="B38" s="7">
        <v>36</v>
      </c>
      <c r="C38" s="8">
        <v>500000</v>
      </c>
      <c r="D38" s="8">
        <v>0</v>
      </c>
      <c r="E38" s="8">
        <v>250000</v>
      </c>
      <c r="F38" s="6">
        <v>45</v>
      </c>
      <c r="G38" s="6">
        <v>58</v>
      </c>
      <c r="H38" s="8">
        <v>2700000</v>
      </c>
      <c r="I38" s="8">
        <v>3480000</v>
      </c>
      <c r="J38" s="14">
        <v>284638.67</v>
      </c>
      <c r="K38" s="14">
        <v>240000</v>
      </c>
      <c r="L38" s="14">
        <v>25800000</v>
      </c>
      <c r="M38" s="15">
        <f>$M37+Cash_Flow!$E38</f>
        <v>17741800</v>
      </c>
      <c r="N38" s="15">
        <f>$N37+Income_Statement!$M38</f>
        <v>10638200</v>
      </c>
      <c r="O38" s="15">
        <f>IF(Cash_Flow!$F38&lt;=0,0,$O37+(Cash_Flow!$F38+Cash_Flow!$G38))</f>
        <v>66666.560000000041</v>
      </c>
      <c r="P38" s="15">
        <f>Income_Statement!$P38</f>
        <v>421650</v>
      </c>
      <c r="Q38" s="15">
        <f>$Q37+Income_Statement!$P38</f>
        <v>8058200</v>
      </c>
      <c r="R38" s="15">
        <f>$R37+Income_Statement!$Q38</f>
        <v>2578624</v>
      </c>
      <c r="S38" s="15">
        <f>Income_Statement!$R38</f>
        <v>286722</v>
      </c>
      <c r="T38" s="15">
        <f>Income_Statement!$Q38</f>
        <v>134928</v>
      </c>
      <c r="U38" s="15">
        <f>$U37+Cash_Flow!$I38</f>
        <v>0</v>
      </c>
      <c r="V38" s="15">
        <f>Cash_Flow!$N38</f>
        <v>2432909.4400000004</v>
      </c>
      <c r="W38" s="15">
        <f>($W37+Cash_Flow!$J38)-(Cash_Flow!$B38+Cash_Flow!$C38)</f>
        <v>5412909.4399999995</v>
      </c>
    </row>
    <row r="39" spans="1:23" x14ac:dyDescent="0.25">
      <c r="A39" s="7">
        <v>4</v>
      </c>
      <c r="B39" s="7">
        <v>37</v>
      </c>
      <c r="C39" s="8">
        <v>500000</v>
      </c>
      <c r="D39" s="8">
        <v>0</v>
      </c>
      <c r="E39" s="8">
        <v>250000</v>
      </c>
      <c r="F39" s="6">
        <v>45</v>
      </c>
      <c r="G39" s="6">
        <v>58</v>
      </c>
      <c r="H39" s="8">
        <v>2700000</v>
      </c>
      <c r="I39" s="8">
        <v>3480000</v>
      </c>
      <c r="J39" s="14">
        <v>284638.67</v>
      </c>
      <c r="K39" s="14">
        <v>0</v>
      </c>
      <c r="L39" s="14">
        <v>27150000</v>
      </c>
      <c r="M39" s="15">
        <f>$M38+Cash_Flow!$E39</f>
        <v>18670150</v>
      </c>
      <c r="N39" s="15">
        <f>$N38+Income_Statement!$M39</f>
        <v>11194850</v>
      </c>
      <c r="O39" s="15">
        <f>IF(Cash_Flow!$F39&lt;=0,0,$O38+(Cash_Flow!$F39+Cash_Flow!$G39))</f>
        <v>68749.890000000043</v>
      </c>
      <c r="P39" s="15">
        <f>Income_Statement!$P39</f>
        <v>421650</v>
      </c>
      <c r="Q39" s="15">
        <f>$Q38+Income_Statement!$P39</f>
        <v>8479850</v>
      </c>
      <c r="R39" s="15">
        <f>$R38+Income_Statement!$Q39</f>
        <v>2713552</v>
      </c>
      <c r="S39" s="15">
        <f>Income_Statement!$R39</f>
        <v>286722</v>
      </c>
      <c r="T39" s="15">
        <f>Income_Statement!$Q39</f>
        <v>134928</v>
      </c>
      <c r="U39" s="15">
        <f>$U38+Cash_Flow!$I39</f>
        <v>0</v>
      </c>
      <c r="V39" s="15">
        <f>Cash_Flow!$N39</f>
        <v>2717548.1100000003</v>
      </c>
      <c r="W39" s="15">
        <f>($W38+Cash_Flow!$J39)-(Cash_Flow!$B39+Cash_Flow!$C39)</f>
        <v>5697548.1099999994</v>
      </c>
    </row>
    <row r="40" spans="1:23" x14ac:dyDescent="0.25">
      <c r="A40" s="7">
        <v>4</v>
      </c>
      <c r="B40" s="7">
        <v>38</v>
      </c>
      <c r="C40" s="8">
        <v>500000</v>
      </c>
      <c r="D40" s="8">
        <v>0</v>
      </c>
      <c r="E40" s="8">
        <v>250000</v>
      </c>
      <c r="F40" s="6">
        <v>45</v>
      </c>
      <c r="G40" s="6">
        <v>62</v>
      </c>
      <c r="H40" s="8">
        <v>2700000</v>
      </c>
      <c r="I40" s="8">
        <v>3720000</v>
      </c>
      <c r="J40" s="14">
        <v>284638.67</v>
      </c>
      <c r="K40" s="14">
        <v>240000</v>
      </c>
      <c r="L40" s="14">
        <v>28500000</v>
      </c>
      <c r="M40" s="15">
        <f>$M39+Cash_Flow!$E40</f>
        <v>19598500</v>
      </c>
      <c r="N40" s="15">
        <f>$N39+Income_Statement!$M40</f>
        <v>11751500</v>
      </c>
      <c r="O40" s="15">
        <f>IF(Cash_Flow!$F40&lt;=0,0,$O39+(Cash_Flow!$F40+Cash_Flow!$G40))</f>
        <v>70833.220000000045</v>
      </c>
      <c r="P40" s="15">
        <f>Income_Statement!$P40</f>
        <v>421650</v>
      </c>
      <c r="Q40" s="15">
        <f>$Q39+Income_Statement!$P40</f>
        <v>8901500</v>
      </c>
      <c r="R40" s="15">
        <f>$R39+Income_Statement!$Q40</f>
        <v>2848480</v>
      </c>
      <c r="S40" s="15">
        <f>Income_Statement!$R40</f>
        <v>286722</v>
      </c>
      <c r="T40" s="15">
        <f>Income_Statement!$Q40</f>
        <v>134928</v>
      </c>
      <c r="U40" s="15">
        <f>$U39+Cash_Flow!$I40</f>
        <v>0</v>
      </c>
      <c r="V40" s="15">
        <f>Cash_Flow!$N40</f>
        <v>2762186.7800000003</v>
      </c>
      <c r="W40" s="15">
        <f>($W39+Cash_Flow!$J40)-(Cash_Flow!$B40+Cash_Flow!$C40)</f>
        <v>5982186.7799999993</v>
      </c>
    </row>
    <row r="41" spans="1:23" x14ac:dyDescent="0.25">
      <c r="A41" s="7">
        <v>4</v>
      </c>
      <c r="B41" s="7">
        <v>39</v>
      </c>
      <c r="C41" s="8">
        <v>500000</v>
      </c>
      <c r="D41" s="8">
        <v>0</v>
      </c>
      <c r="E41" s="8">
        <v>250000</v>
      </c>
      <c r="F41" s="6">
        <v>49</v>
      </c>
      <c r="G41" s="6">
        <v>62</v>
      </c>
      <c r="H41" s="8">
        <v>2940000</v>
      </c>
      <c r="I41" s="8">
        <v>3720000</v>
      </c>
      <c r="J41" s="14">
        <v>310125.07</v>
      </c>
      <c r="K41" s="14">
        <v>0</v>
      </c>
      <c r="L41" s="14">
        <v>29970000</v>
      </c>
      <c r="M41" s="15">
        <f>$M40+Cash_Flow!$E41</f>
        <v>20609370</v>
      </c>
      <c r="N41" s="15">
        <f>$N40+Income_Statement!$M41</f>
        <v>12357630</v>
      </c>
      <c r="O41" s="15">
        <f>IF(Cash_Flow!$F41&lt;=0,0,$O40+(Cash_Flow!$F41+Cash_Flow!$G41))</f>
        <v>72916.550000000047</v>
      </c>
      <c r="P41" s="15">
        <f>Income_Statement!$P41</f>
        <v>459130</v>
      </c>
      <c r="Q41" s="15">
        <f>$Q40+Income_Statement!$P41</f>
        <v>9360630</v>
      </c>
      <c r="R41" s="15">
        <f>$R40+Income_Statement!$Q41</f>
        <v>2995401.6</v>
      </c>
      <c r="S41" s="15">
        <f>Income_Statement!$R41</f>
        <v>312208.40000000002</v>
      </c>
      <c r="T41" s="15">
        <f>Income_Statement!$Q41</f>
        <v>146921.60000000001</v>
      </c>
      <c r="U41" s="15">
        <f>$U40+Cash_Flow!$I41</f>
        <v>0</v>
      </c>
      <c r="V41" s="15">
        <f>Cash_Flow!$N41</f>
        <v>3072311.85</v>
      </c>
      <c r="W41" s="15">
        <f>($W40+Cash_Flow!$J41)-(Cash_Flow!$B41+Cash_Flow!$C41)</f>
        <v>6292311.8499999996</v>
      </c>
    </row>
    <row r="42" spans="1:23" x14ac:dyDescent="0.25">
      <c r="A42" s="7">
        <v>4</v>
      </c>
      <c r="B42" s="7">
        <v>40</v>
      </c>
      <c r="C42" s="8">
        <v>500000</v>
      </c>
      <c r="D42" s="8">
        <v>0</v>
      </c>
      <c r="E42" s="8">
        <v>250000</v>
      </c>
      <c r="F42" s="6">
        <v>45</v>
      </c>
      <c r="G42" s="6">
        <v>67</v>
      </c>
      <c r="H42" s="8">
        <v>2700000</v>
      </c>
      <c r="I42" s="8">
        <v>4020000</v>
      </c>
      <c r="J42" s="14">
        <v>284638.67</v>
      </c>
      <c r="K42" s="14">
        <v>300000</v>
      </c>
      <c r="L42" s="14">
        <v>31320000</v>
      </c>
      <c r="M42" s="15">
        <f>$M41+Cash_Flow!$E42</f>
        <v>21537720</v>
      </c>
      <c r="N42" s="15">
        <f>$N41+Income_Statement!$M42</f>
        <v>12914280</v>
      </c>
      <c r="O42" s="15">
        <f>IF(Cash_Flow!$F42&lt;=0,0,$O41+(Cash_Flow!$F42+Cash_Flow!$G42))</f>
        <v>74999.880000000048</v>
      </c>
      <c r="P42" s="15">
        <f>Income_Statement!$P42</f>
        <v>421650</v>
      </c>
      <c r="Q42" s="15">
        <f>$Q41+Income_Statement!$P42</f>
        <v>9782280</v>
      </c>
      <c r="R42" s="15">
        <f>$R41+Income_Statement!$Q42</f>
        <v>3130329.6</v>
      </c>
      <c r="S42" s="15">
        <f>Income_Statement!$R42</f>
        <v>286722</v>
      </c>
      <c r="T42" s="15">
        <f>Income_Statement!$Q42</f>
        <v>134928</v>
      </c>
      <c r="U42" s="15">
        <f>$U41+Cash_Flow!$I42</f>
        <v>0</v>
      </c>
      <c r="V42" s="15">
        <f>Cash_Flow!$N42</f>
        <v>3056950.52</v>
      </c>
      <c r="W42" s="15">
        <f>($W41+Cash_Flow!$J42)-(Cash_Flow!$B42+Cash_Flow!$C42)</f>
        <v>6576950.5199999996</v>
      </c>
    </row>
    <row r="43" spans="1:23" x14ac:dyDescent="0.25">
      <c r="A43" s="7">
        <v>4</v>
      </c>
      <c r="B43" s="7">
        <v>41</v>
      </c>
      <c r="C43" s="8">
        <v>500000</v>
      </c>
      <c r="D43" s="8">
        <v>0</v>
      </c>
      <c r="E43" s="8">
        <v>250000</v>
      </c>
      <c r="F43" s="6">
        <v>49</v>
      </c>
      <c r="G43" s="6">
        <v>67</v>
      </c>
      <c r="H43" s="8">
        <v>2940000</v>
      </c>
      <c r="I43" s="8">
        <v>4020000</v>
      </c>
      <c r="J43" s="14">
        <v>310125.07</v>
      </c>
      <c r="K43" s="14">
        <v>0</v>
      </c>
      <c r="L43" s="14">
        <v>32790000</v>
      </c>
      <c r="M43" s="15">
        <f>$M42+Cash_Flow!$E43</f>
        <v>22548590</v>
      </c>
      <c r="N43" s="15">
        <f>$N42+Income_Statement!$M43</f>
        <v>13520410</v>
      </c>
      <c r="O43" s="15">
        <f>IF(Cash_Flow!$F43&lt;=0,0,$O42+(Cash_Flow!$F43+Cash_Flow!$G43))</f>
        <v>77083.21000000005</v>
      </c>
      <c r="P43" s="15">
        <f>Income_Statement!$P43</f>
        <v>459130</v>
      </c>
      <c r="Q43" s="15">
        <f>$Q42+Income_Statement!$P43</f>
        <v>10241410</v>
      </c>
      <c r="R43" s="15">
        <f>$R42+Income_Statement!$Q43</f>
        <v>3277251.2</v>
      </c>
      <c r="S43" s="15">
        <f>Income_Statement!$R43</f>
        <v>312208.40000000002</v>
      </c>
      <c r="T43" s="15">
        <f>Income_Statement!$Q43</f>
        <v>146921.60000000001</v>
      </c>
      <c r="U43" s="15">
        <f>$U42+Cash_Flow!$I43</f>
        <v>0</v>
      </c>
      <c r="V43" s="15">
        <f>Cash_Flow!$N43</f>
        <v>3367075.59</v>
      </c>
      <c r="W43" s="15">
        <f>($W42+Cash_Flow!$J43)-(Cash_Flow!$B43+Cash_Flow!$C43)</f>
        <v>6887075.5899999999</v>
      </c>
    </row>
    <row r="44" spans="1:23" x14ac:dyDescent="0.25">
      <c r="A44" s="7">
        <v>4</v>
      </c>
      <c r="B44" s="7">
        <v>42</v>
      </c>
      <c r="C44" s="8">
        <v>500000</v>
      </c>
      <c r="D44" s="8">
        <v>0</v>
      </c>
      <c r="E44" s="8">
        <v>250000</v>
      </c>
      <c r="F44" s="6">
        <v>49</v>
      </c>
      <c r="G44" s="6">
        <v>72</v>
      </c>
      <c r="H44" s="8">
        <v>2940000</v>
      </c>
      <c r="I44" s="8">
        <v>4320000</v>
      </c>
      <c r="J44" s="14">
        <v>310125.07</v>
      </c>
      <c r="K44" s="14">
        <v>300000</v>
      </c>
      <c r="L44" s="14">
        <v>34260000</v>
      </c>
      <c r="M44" s="15">
        <f>$M43+Cash_Flow!$E44</f>
        <v>23559460</v>
      </c>
      <c r="N44" s="15">
        <f>$N43+Income_Statement!$M44</f>
        <v>14126540</v>
      </c>
      <c r="O44" s="15">
        <f>IF(Cash_Flow!$F44&lt;=0,0,$O43+(Cash_Flow!$F44+Cash_Flow!$G44))</f>
        <v>79166.540000000052</v>
      </c>
      <c r="P44" s="15">
        <f>Income_Statement!$P44</f>
        <v>459130</v>
      </c>
      <c r="Q44" s="15">
        <f>$Q43+Income_Statement!$P44</f>
        <v>10700540</v>
      </c>
      <c r="R44" s="15">
        <f>$R43+Income_Statement!$Q44</f>
        <v>3424172.8000000003</v>
      </c>
      <c r="S44" s="15">
        <f>Income_Statement!$R44</f>
        <v>312208.40000000002</v>
      </c>
      <c r="T44" s="15">
        <f>Income_Statement!$Q44</f>
        <v>146921.60000000001</v>
      </c>
      <c r="U44" s="15">
        <f>$U43+Cash_Flow!$I44</f>
        <v>0</v>
      </c>
      <c r="V44" s="15">
        <f>Cash_Flow!$N44</f>
        <v>3377200.6599999997</v>
      </c>
      <c r="W44" s="15">
        <f>($W43+Cash_Flow!$J44)-(Cash_Flow!$B44+Cash_Flow!$C44)</f>
        <v>7197200.6600000001</v>
      </c>
    </row>
    <row r="45" spans="1:23" x14ac:dyDescent="0.25">
      <c r="A45" s="7">
        <v>4</v>
      </c>
      <c r="B45" s="7">
        <v>43</v>
      </c>
      <c r="C45" s="8">
        <v>500000</v>
      </c>
      <c r="D45" s="8">
        <v>0</v>
      </c>
      <c r="E45" s="8">
        <v>250000</v>
      </c>
      <c r="F45" s="6">
        <v>50</v>
      </c>
      <c r="G45" s="6">
        <v>72</v>
      </c>
      <c r="H45" s="8">
        <v>3000000</v>
      </c>
      <c r="I45" s="8">
        <v>4320000</v>
      </c>
      <c r="J45" s="14">
        <v>316496.67</v>
      </c>
      <c r="K45" s="14">
        <v>0</v>
      </c>
      <c r="L45" s="14">
        <v>35760000</v>
      </c>
      <c r="M45" s="15">
        <f>$M44+Cash_Flow!$E45</f>
        <v>24590960</v>
      </c>
      <c r="N45" s="15">
        <f>$N44+Income_Statement!$M45</f>
        <v>14745040</v>
      </c>
      <c r="O45" s="15">
        <f>IF(Cash_Flow!$F45&lt;=0,0,$O44+(Cash_Flow!$F45+Cash_Flow!$G45))</f>
        <v>81249.870000000054</v>
      </c>
      <c r="P45" s="15">
        <f>Income_Statement!$P45</f>
        <v>468500</v>
      </c>
      <c r="Q45" s="15">
        <f>$Q44+Income_Statement!$P45</f>
        <v>11169040</v>
      </c>
      <c r="R45" s="15">
        <f>$R44+Income_Statement!$Q45</f>
        <v>3574092.8000000003</v>
      </c>
      <c r="S45" s="15">
        <f>Income_Statement!$R45</f>
        <v>318580</v>
      </c>
      <c r="T45" s="15">
        <f>Income_Statement!$Q45</f>
        <v>149920</v>
      </c>
      <c r="U45" s="15">
        <f>$U44+Cash_Flow!$I45</f>
        <v>0</v>
      </c>
      <c r="V45" s="15">
        <f>Cash_Flow!$N45</f>
        <v>3693697.3299999996</v>
      </c>
      <c r="W45" s="15">
        <f>($W44+Cash_Flow!$J45)-(Cash_Flow!$B45+Cash_Flow!$C45)</f>
        <v>7513697.3300000001</v>
      </c>
    </row>
    <row r="46" spans="1:23" x14ac:dyDescent="0.25">
      <c r="A46" s="7">
        <v>4</v>
      </c>
      <c r="B46" s="7">
        <v>44</v>
      </c>
      <c r="C46" s="8">
        <v>500000</v>
      </c>
      <c r="D46" s="8">
        <v>0</v>
      </c>
      <c r="E46" s="8">
        <v>250000</v>
      </c>
      <c r="F46" s="6">
        <v>50</v>
      </c>
      <c r="G46" s="6">
        <v>77</v>
      </c>
      <c r="H46" s="8">
        <v>3000000</v>
      </c>
      <c r="I46" s="8">
        <v>4620000</v>
      </c>
      <c r="J46" s="14">
        <v>316496.67</v>
      </c>
      <c r="K46" s="14">
        <v>300000</v>
      </c>
      <c r="L46" s="14">
        <v>37260000</v>
      </c>
      <c r="M46" s="15">
        <f>$M45+Cash_Flow!$E46</f>
        <v>25622460</v>
      </c>
      <c r="N46" s="15">
        <f>$N45+Income_Statement!$M46</f>
        <v>15363540</v>
      </c>
      <c r="O46" s="15">
        <f>IF(Cash_Flow!$F46&lt;=0,0,$O45+(Cash_Flow!$F46+Cash_Flow!$G46))</f>
        <v>83333.200000000055</v>
      </c>
      <c r="P46" s="15">
        <f>Income_Statement!$P46</f>
        <v>468500</v>
      </c>
      <c r="Q46" s="15">
        <f>$Q45+Income_Statement!$P46</f>
        <v>11637540</v>
      </c>
      <c r="R46" s="15">
        <f>$R45+Income_Statement!$Q46</f>
        <v>3724012.8000000003</v>
      </c>
      <c r="S46" s="15">
        <f>Income_Statement!$R46</f>
        <v>318580</v>
      </c>
      <c r="T46" s="15">
        <f>Income_Statement!$Q46</f>
        <v>149920</v>
      </c>
      <c r="U46" s="15">
        <f>$U45+Cash_Flow!$I46</f>
        <v>0</v>
      </c>
      <c r="V46" s="15">
        <f>Cash_Flow!$N46</f>
        <v>3710193.9999999995</v>
      </c>
      <c r="W46" s="15">
        <f>($W45+Cash_Flow!$J46)-(Cash_Flow!$B46+Cash_Flow!$C46)</f>
        <v>7830194</v>
      </c>
    </row>
    <row r="47" spans="1:23" x14ac:dyDescent="0.25">
      <c r="A47" s="7">
        <v>4</v>
      </c>
      <c r="B47" s="7">
        <v>45</v>
      </c>
      <c r="C47" s="8">
        <v>500000</v>
      </c>
      <c r="D47" s="8">
        <v>0</v>
      </c>
      <c r="E47" s="8">
        <v>250000</v>
      </c>
      <c r="F47" s="6">
        <v>51</v>
      </c>
      <c r="G47" s="6">
        <v>77</v>
      </c>
      <c r="H47" s="8">
        <v>3060000</v>
      </c>
      <c r="I47" s="8">
        <v>4620000</v>
      </c>
      <c r="J47" s="14">
        <v>322868.27</v>
      </c>
      <c r="K47" s="14">
        <v>0</v>
      </c>
      <c r="L47" s="14">
        <v>38790000</v>
      </c>
      <c r="M47" s="15">
        <f>$M46+Cash_Flow!$E47</f>
        <v>26674590</v>
      </c>
      <c r="N47" s="15">
        <f>$N46+Income_Statement!$M47</f>
        <v>15994410</v>
      </c>
      <c r="O47" s="15">
        <f>IF(Cash_Flow!$F47&lt;=0,0,$O46+(Cash_Flow!$F47+Cash_Flow!$G47))</f>
        <v>85416.530000000057</v>
      </c>
      <c r="P47" s="15">
        <f>Income_Statement!$P47</f>
        <v>477870</v>
      </c>
      <c r="Q47" s="15">
        <f>$Q46+Income_Statement!$P47</f>
        <v>12115410</v>
      </c>
      <c r="R47" s="15">
        <f>$R46+Income_Statement!$Q47</f>
        <v>3876931.2</v>
      </c>
      <c r="S47" s="15">
        <f>Income_Statement!$R47</f>
        <v>324951.59999999998</v>
      </c>
      <c r="T47" s="15">
        <f>Income_Statement!$Q47</f>
        <v>152918.39999999999</v>
      </c>
      <c r="U47" s="15">
        <f>$U46+Cash_Flow!$I47</f>
        <v>0</v>
      </c>
      <c r="V47" s="15">
        <f>Cash_Flow!$N47</f>
        <v>4033062.2699999996</v>
      </c>
      <c r="W47" s="15">
        <f>($W46+Cash_Flow!$J47)-(Cash_Flow!$B47+Cash_Flow!$C47)</f>
        <v>8153062.2699999996</v>
      </c>
    </row>
    <row r="48" spans="1:23" x14ac:dyDescent="0.25">
      <c r="A48" s="7">
        <v>4</v>
      </c>
      <c r="B48" s="7">
        <v>46</v>
      </c>
      <c r="C48" s="8">
        <v>500000</v>
      </c>
      <c r="D48" s="8">
        <v>0</v>
      </c>
      <c r="E48" s="8">
        <v>250000</v>
      </c>
      <c r="F48" s="6">
        <v>51</v>
      </c>
      <c r="G48" s="6">
        <v>81</v>
      </c>
      <c r="H48" s="8">
        <v>3060000</v>
      </c>
      <c r="I48" s="8">
        <v>4860000</v>
      </c>
      <c r="J48" s="14">
        <v>322868.27</v>
      </c>
      <c r="K48" s="14">
        <v>240000</v>
      </c>
      <c r="L48" s="14">
        <v>40320000</v>
      </c>
      <c r="M48" s="15">
        <f>$M47+Cash_Flow!$E48</f>
        <v>27726720</v>
      </c>
      <c r="N48" s="15">
        <f>$N47+Income_Statement!$M48</f>
        <v>16625280</v>
      </c>
      <c r="O48" s="15">
        <f>IF(Cash_Flow!$F48&lt;=0,0,$O47+(Cash_Flow!$F48+Cash_Flow!$G48))</f>
        <v>87499.860000000059</v>
      </c>
      <c r="P48" s="15">
        <f>Income_Statement!$P48</f>
        <v>477870</v>
      </c>
      <c r="Q48" s="15">
        <f>$Q47+Income_Statement!$P48</f>
        <v>12593280</v>
      </c>
      <c r="R48" s="15">
        <f>$R47+Income_Statement!$Q48</f>
        <v>4029849.6000000001</v>
      </c>
      <c r="S48" s="15">
        <f>Income_Statement!$R48</f>
        <v>324951.59999999998</v>
      </c>
      <c r="T48" s="15">
        <f>Income_Statement!$Q48</f>
        <v>152918.39999999999</v>
      </c>
      <c r="U48" s="15">
        <f>$U47+Cash_Flow!$I48</f>
        <v>0</v>
      </c>
      <c r="V48" s="15">
        <f>Cash_Flow!$N48</f>
        <v>4115930.5399999996</v>
      </c>
      <c r="W48" s="15">
        <f>($W47+Cash_Flow!$J48)-(Cash_Flow!$B48+Cash_Flow!$C48)</f>
        <v>8475930.5399999991</v>
      </c>
    </row>
    <row r="49" spans="1:23" x14ac:dyDescent="0.25">
      <c r="A49" s="7">
        <v>4</v>
      </c>
      <c r="B49" s="7">
        <v>47</v>
      </c>
      <c r="C49" s="8">
        <v>500000</v>
      </c>
      <c r="D49" s="8">
        <v>0</v>
      </c>
      <c r="E49" s="8">
        <v>250000</v>
      </c>
      <c r="F49" s="6">
        <v>56</v>
      </c>
      <c r="G49" s="6">
        <v>81</v>
      </c>
      <c r="H49" s="8">
        <v>3360000</v>
      </c>
      <c r="I49" s="8">
        <v>4860000</v>
      </c>
      <c r="J49" s="14">
        <v>354726.27</v>
      </c>
      <c r="K49" s="14">
        <v>0</v>
      </c>
      <c r="L49" s="14">
        <v>42000000</v>
      </c>
      <c r="M49" s="15">
        <f>$M48+Cash_Flow!$E49</f>
        <v>28882000</v>
      </c>
      <c r="N49" s="15">
        <f>$N48+Income_Statement!$M49</f>
        <v>17318000</v>
      </c>
      <c r="O49" s="15">
        <f>IF(Cash_Flow!$F49&lt;=0,0,$O48+(Cash_Flow!$F49+Cash_Flow!$G49))</f>
        <v>89583.190000000061</v>
      </c>
      <c r="P49" s="15">
        <f>Income_Statement!$P49</f>
        <v>524720</v>
      </c>
      <c r="Q49" s="15">
        <f>$Q48+Income_Statement!$P49</f>
        <v>13118000</v>
      </c>
      <c r="R49" s="15">
        <f>$R48+Income_Statement!$Q49</f>
        <v>4197760</v>
      </c>
      <c r="S49" s="15">
        <f>Income_Statement!$R49</f>
        <v>356809.6</v>
      </c>
      <c r="T49" s="15">
        <f>Income_Statement!$Q49</f>
        <v>167910.39999999999</v>
      </c>
      <c r="U49" s="15">
        <f>$U48+Cash_Flow!$I49</f>
        <v>0</v>
      </c>
      <c r="V49" s="15">
        <f>Cash_Flow!$N49</f>
        <v>4470656.8099999996</v>
      </c>
      <c r="W49" s="15">
        <f>($W48+Cash_Flow!$J49)-(Cash_Flow!$B49+Cash_Flow!$C49)</f>
        <v>8830656.8099999987</v>
      </c>
    </row>
    <row r="50" spans="1:23" x14ac:dyDescent="0.25">
      <c r="A50" s="7">
        <v>4</v>
      </c>
      <c r="B50" s="7">
        <v>48</v>
      </c>
      <c r="C50" s="8">
        <v>500000</v>
      </c>
      <c r="D50" s="8">
        <v>0</v>
      </c>
      <c r="E50" s="8">
        <v>250000</v>
      </c>
      <c r="F50" s="6">
        <v>52</v>
      </c>
      <c r="G50" s="6">
        <v>87</v>
      </c>
      <c r="H50" s="8">
        <v>3120000</v>
      </c>
      <c r="I50" s="8">
        <v>5220000</v>
      </c>
      <c r="J50" s="14">
        <v>329239.87</v>
      </c>
      <c r="K50" s="14">
        <v>360000</v>
      </c>
      <c r="L50" s="14">
        <v>43560000</v>
      </c>
      <c r="M50" s="15">
        <f>$M49+Cash_Flow!$E50</f>
        <v>29954760</v>
      </c>
      <c r="N50" s="15">
        <f>$N49+Income_Statement!$M50</f>
        <v>17961240</v>
      </c>
      <c r="O50" s="15">
        <f>IF(Cash_Flow!$F50&lt;=0,0,$O49+(Cash_Flow!$F50+Cash_Flow!$G50))</f>
        <v>91666.520000000062</v>
      </c>
      <c r="P50" s="15">
        <f>Income_Statement!$P50</f>
        <v>487240</v>
      </c>
      <c r="Q50" s="15">
        <f>$Q49+Income_Statement!$P50</f>
        <v>13605240</v>
      </c>
      <c r="R50" s="15">
        <f>$R49+Income_Statement!$Q50</f>
        <v>4353676.8</v>
      </c>
      <c r="S50" s="15">
        <f>Income_Statement!$R50</f>
        <v>331323.2</v>
      </c>
      <c r="T50" s="15">
        <f>Income_Statement!$Q50</f>
        <v>155916.79999999999</v>
      </c>
      <c r="U50" s="15">
        <f>$U49+Cash_Flow!$I50</f>
        <v>0</v>
      </c>
      <c r="V50" s="15">
        <f>Cash_Flow!$N50</f>
        <v>4439896.68</v>
      </c>
      <c r="W50" s="15">
        <f>($W49+Cash_Flow!$J50)-(Cash_Flow!$B50+Cash_Flow!$C50)</f>
        <v>9159896.6799999978</v>
      </c>
    </row>
    <row r="51" spans="1:23" x14ac:dyDescent="0.25">
      <c r="A51" s="7">
        <v>5</v>
      </c>
      <c r="B51" s="7">
        <v>49</v>
      </c>
      <c r="C51" s="8">
        <v>500000</v>
      </c>
      <c r="D51" s="8">
        <v>0</v>
      </c>
      <c r="E51" s="8">
        <v>250000</v>
      </c>
      <c r="F51" s="6">
        <v>56</v>
      </c>
      <c r="G51" s="6">
        <v>87</v>
      </c>
      <c r="H51" s="8">
        <v>3360000</v>
      </c>
      <c r="I51" s="8">
        <v>5220000</v>
      </c>
      <c r="J51" s="14">
        <v>354726.27</v>
      </c>
      <c r="K51" s="14">
        <v>0</v>
      </c>
      <c r="L51" s="14">
        <v>45240000</v>
      </c>
      <c r="M51" s="15">
        <f>$M50+Cash_Flow!$E51</f>
        <v>31110040</v>
      </c>
      <c r="N51" s="15">
        <f>$N50+Income_Statement!$M51</f>
        <v>18653960</v>
      </c>
      <c r="O51" s="15">
        <f>IF(Cash_Flow!$F51&lt;=0,0,$O50+(Cash_Flow!$F51+Cash_Flow!$G51))</f>
        <v>93749.850000000064</v>
      </c>
      <c r="P51" s="15">
        <f>Income_Statement!$P51</f>
        <v>524720</v>
      </c>
      <c r="Q51" s="15">
        <f>$Q50+Income_Statement!$P51</f>
        <v>14129960</v>
      </c>
      <c r="R51" s="15">
        <f>$R50+Income_Statement!$Q51</f>
        <v>4521587.2</v>
      </c>
      <c r="S51" s="15">
        <f>Income_Statement!$R51</f>
        <v>356809.6</v>
      </c>
      <c r="T51" s="15">
        <f>Income_Statement!$Q51</f>
        <v>167910.39999999999</v>
      </c>
      <c r="U51" s="15">
        <f>$U50+Cash_Flow!$I51</f>
        <v>0</v>
      </c>
      <c r="V51" s="15">
        <f>Cash_Flow!$N51</f>
        <v>4794622.9499999993</v>
      </c>
      <c r="W51" s="15">
        <f>($W50+Cash_Flow!$J51)-(Cash_Flow!$B51+Cash_Flow!$C51)</f>
        <v>9514622.9499999974</v>
      </c>
    </row>
    <row r="52" spans="1:23" x14ac:dyDescent="0.25">
      <c r="A52" s="7">
        <v>5</v>
      </c>
      <c r="B52" s="7">
        <v>50</v>
      </c>
      <c r="C52" s="8">
        <v>500000</v>
      </c>
      <c r="D52" s="8">
        <v>0</v>
      </c>
      <c r="E52" s="8">
        <v>250000</v>
      </c>
      <c r="F52" s="6">
        <v>52</v>
      </c>
      <c r="G52" s="6">
        <v>92</v>
      </c>
      <c r="H52" s="8">
        <v>3120000</v>
      </c>
      <c r="I52" s="8">
        <v>5520000</v>
      </c>
      <c r="J52" s="14">
        <v>329239.87</v>
      </c>
      <c r="K52" s="14">
        <v>300000</v>
      </c>
      <c r="L52" s="14">
        <v>46800000</v>
      </c>
      <c r="M52" s="15">
        <f>$M51+Cash_Flow!$E52</f>
        <v>32182800</v>
      </c>
      <c r="N52" s="15">
        <f>$N51+Income_Statement!$M52</f>
        <v>19297200</v>
      </c>
      <c r="O52" s="15">
        <f>IF(Cash_Flow!$F52&lt;=0,0,$O51+(Cash_Flow!$F52+Cash_Flow!$G52))</f>
        <v>95833.180000000066</v>
      </c>
      <c r="P52" s="15">
        <f>Income_Statement!$P52</f>
        <v>487240</v>
      </c>
      <c r="Q52" s="15">
        <f>$Q51+Income_Statement!$P52</f>
        <v>14617200</v>
      </c>
      <c r="R52" s="15">
        <f>$R51+Income_Statement!$Q52</f>
        <v>4677504</v>
      </c>
      <c r="S52" s="15">
        <f>Income_Statement!$R52</f>
        <v>331323.2</v>
      </c>
      <c r="T52" s="15">
        <f>Income_Statement!$Q52</f>
        <v>155916.79999999999</v>
      </c>
      <c r="U52" s="15">
        <f>$U51+Cash_Flow!$I52</f>
        <v>0</v>
      </c>
      <c r="V52" s="15">
        <f>Cash_Flow!$N52</f>
        <v>4823862.8199999994</v>
      </c>
      <c r="W52" s="15">
        <f>($W51+Cash_Flow!$J52)-(Cash_Flow!$B52+Cash_Flow!$C52)</f>
        <v>9843862.8199999966</v>
      </c>
    </row>
    <row r="53" spans="1:23" x14ac:dyDescent="0.25">
      <c r="A53" s="7">
        <v>5</v>
      </c>
      <c r="B53" s="7">
        <v>51</v>
      </c>
      <c r="C53" s="8">
        <v>500000</v>
      </c>
      <c r="D53" s="8">
        <v>0</v>
      </c>
      <c r="E53" s="8">
        <v>250000</v>
      </c>
      <c r="F53" s="6">
        <v>58</v>
      </c>
      <c r="G53" s="6">
        <v>92</v>
      </c>
      <c r="H53" s="8">
        <v>3480000</v>
      </c>
      <c r="I53" s="8">
        <v>5520000</v>
      </c>
      <c r="J53" s="14">
        <v>367469.47</v>
      </c>
      <c r="K53" s="14">
        <v>0</v>
      </c>
      <c r="L53" s="14">
        <v>48540000</v>
      </c>
      <c r="M53" s="15">
        <f>$M52+Cash_Flow!$E53</f>
        <v>33379340</v>
      </c>
      <c r="N53" s="15">
        <f>$N52+Income_Statement!$M53</f>
        <v>20014660</v>
      </c>
      <c r="O53" s="15">
        <f>IF(Cash_Flow!$F53&lt;=0,0,$O52+(Cash_Flow!$F53+Cash_Flow!$G53))</f>
        <v>97916.510000000068</v>
      </c>
      <c r="P53" s="15">
        <f>Income_Statement!$P53</f>
        <v>543460</v>
      </c>
      <c r="Q53" s="15">
        <f>$Q52+Income_Statement!$P53</f>
        <v>15160660</v>
      </c>
      <c r="R53" s="15">
        <f>$R52+Income_Statement!$Q53</f>
        <v>4851411.2</v>
      </c>
      <c r="S53" s="15">
        <f>Income_Statement!$R53</f>
        <v>369552.8</v>
      </c>
      <c r="T53" s="15">
        <f>Income_Statement!$Q53</f>
        <v>173907.20000000001</v>
      </c>
      <c r="U53" s="15">
        <f>$U52+Cash_Flow!$I53</f>
        <v>0</v>
      </c>
      <c r="V53" s="15">
        <f>Cash_Flow!$N53</f>
        <v>5191332.2899999991</v>
      </c>
      <c r="W53" s="15">
        <f>($W52+Cash_Flow!$J53)-(Cash_Flow!$B53+Cash_Flow!$C53)</f>
        <v>10211332.289999997</v>
      </c>
    </row>
    <row r="54" spans="1:23" x14ac:dyDescent="0.25">
      <c r="A54" s="7">
        <v>5</v>
      </c>
      <c r="B54" s="7">
        <v>52</v>
      </c>
      <c r="C54" s="8">
        <v>500000</v>
      </c>
      <c r="D54" s="8">
        <v>0</v>
      </c>
      <c r="E54" s="8">
        <v>250000</v>
      </c>
      <c r="F54" s="6">
        <v>58</v>
      </c>
      <c r="G54" s="6">
        <v>97</v>
      </c>
      <c r="H54" s="8">
        <v>3480000</v>
      </c>
      <c r="I54" s="8">
        <v>5820000</v>
      </c>
      <c r="J54" s="14">
        <v>367469.47</v>
      </c>
      <c r="K54" s="14">
        <v>300000</v>
      </c>
      <c r="L54" s="14">
        <v>50280000</v>
      </c>
      <c r="M54" s="15">
        <f>$M53+Cash_Flow!$E54</f>
        <v>34575880</v>
      </c>
      <c r="N54" s="15">
        <f>$N53+Income_Statement!$M54</f>
        <v>20732120</v>
      </c>
      <c r="O54" s="15">
        <f>IF(Cash_Flow!$F54&lt;=0,0,$O53+(Cash_Flow!$F54+Cash_Flow!$G54))</f>
        <v>99999.840000000069</v>
      </c>
      <c r="P54" s="15">
        <f>Income_Statement!$P54</f>
        <v>543460</v>
      </c>
      <c r="Q54" s="15">
        <f>$Q53+Income_Statement!$P54</f>
        <v>15704120</v>
      </c>
      <c r="R54" s="15">
        <f>$R53+Income_Statement!$Q54</f>
        <v>5025318.4000000004</v>
      </c>
      <c r="S54" s="15">
        <f>Income_Statement!$R54</f>
        <v>369552.8</v>
      </c>
      <c r="T54" s="15">
        <f>Income_Statement!$Q54</f>
        <v>173907.20000000001</v>
      </c>
      <c r="U54" s="15">
        <f>$U53+Cash_Flow!$I54</f>
        <v>0</v>
      </c>
      <c r="V54" s="15">
        <f>Cash_Flow!$N54</f>
        <v>5258801.7599999988</v>
      </c>
      <c r="W54" s="15">
        <f>($W53+Cash_Flow!$J54)-(Cash_Flow!$B54+Cash_Flow!$C54)</f>
        <v>10578801.759999998</v>
      </c>
    </row>
    <row r="55" spans="1:23" x14ac:dyDescent="0.25">
      <c r="A55" s="7">
        <v>5</v>
      </c>
      <c r="B55" s="7">
        <v>53</v>
      </c>
      <c r="C55" s="8">
        <v>500000</v>
      </c>
      <c r="D55" s="8">
        <v>0</v>
      </c>
      <c r="E55" s="8">
        <v>250000</v>
      </c>
      <c r="F55" s="6">
        <v>58</v>
      </c>
      <c r="G55" s="6">
        <v>97</v>
      </c>
      <c r="H55" s="8">
        <v>3480000</v>
      </c>
      <c r="I55" s="8">
        <v>5820000</v>
      </c>
      <c r="J55" s="14">
        <v>367469.47</v>
      </c>
      <c r="K55" s="14">
        <v>0</v>
      </c>
      <c r="L55" s="14">
        <v>52020000</v>
      </c>
      <c r="M55" s="15">
        <f>$M54+Cash_Flow!$E55</f>
        <v>35772420</v>
      </c>
      <c r="N55" s="15">
        <f>$N54+Income_Statement!$M55</f>
        <v>21449580</v>
      </c>
      <c r="O55" s="15">
        <f>IF(Cash_Flow!$F55&lt;=0,0,$O54+(Cash_Flow!$F55+Cash_Flow!$G55))</f>
        <v>102083.17000000007</v>
      </c>
      <c r="P55" s="15">
        <f>Income_Statement!$P55</f>
        <v>543460</v>
      </c>
      <c r="Q55" s="15">
        <f>$Q54+Income_Statement!$P55</f>
        <v>16247580</v>
      </c>
      <c r="R55" s="15">
        <f>$R54+Income_Statement!$Q55</f>
        <v>5199225.6000000006</v>
      </c>
      <c r="S55" s="15">
        <f>Income_Statement!$R55</f>
        <v>369552.8</v>
      </c>
      <c r="T55" s="15">
        <f>Income_Statement!$Q55</f>
        <v>173907.20000000001</v>
      </c>
      <c r="U55" s="15">
        <f>$U54+Cash_Flow!$I55</f>
        <v>0</v>
      </c>
      <c r="V55" s="15">
        <f>Cash_Flow!$N55</f>
        <v>5626271.2299999986</v>
      </c>
      <c r="W55" s="15">
        <f>($W54+Cash_Flow!$J55)-(Cash_Flow!$B55+Cash_Flow!$C55)</f>
        <v>10946271.229999999</v>
      </c>
    </row>
    <row r="56" spans="1:23" x14ac:dyDescent="0.25">
      <c r="A56" s="7">
        <v>5</v>
      </c>
      <c r="B56" s="7">
        <v>54</v>
      </c>
      <c r="C56" s="8">
        <v>500000</v>
      </c>
      <c r="D56" s="8">
        <v>0</v>
      </c>
      <c r="E56" s="8">
        <v>250000</v>
      </c>
      <c r="F56" s="6">
        <v>58</v>
      </c>
      <c r="G56" s="6">
        <v>103</v>
      </c>
      <c r="H56" s="8">
        <v>3480000</v>
      </c>
      <c r="I56" s="8">
        <v>6180000</v>
      </c>
      <c r="J56" s="14">
        <v>367469.47</v>
      </c>
      <c r="K56" s="14">
        <v>360000</v>
      </c>
      <c r="L56" s="14">
        <v>53760000</v>
      </c>
      <c r="M56" s="15">
        <f>$M55+Cash_Flow!$E56</f>
        <v>36968960</v>
      </c>
      <c r="N56" s="15">
        <f>$N55+Income_Statement!$M56</f>
        <v>22167040</v>
      </c>
      <c r="O56" s="15">
        <f>IF(Cash_Flow!$F56&lt;=0,0,$O55+(Cash_Flow!$F56+Cash_Flow!$G56))</f>
        <v>104166.50000000007</v>
      </c>
      <c r="P56" s="15">
        <f>Income_Statement!$P56</f>
        <v>543460</v>
      </c>
      <c r="Q56" s="15">
        <f>$Q55+Income_Statement!$P56</f>
        <v>16791040</v>
      </c>
      <c r="R56" s="15">
        <f>$R55+Income_Statement!$Q56</f>
        <v>5373132.8000000007</v>
      </c>
      <c r="S56" s="15">
        <f>Income_Statement!$R56</f>
        <v>369552.8</v>
      </c>
      <c r="T56" s="15">
        <f>Income_Statement!$Q56</f>
        <v>173907.20000000001</v>
      </c>
      <c r="U56" s="15">
        <f>$U55+Cash_Flow!$I56</f>
        <v>0</v>
      </c>
      <c r="V56" s="15">
        <f>Cash_Flow!$N56</f>
        <v>5633740.6999999983</v>
      </c>
      <c r="W56" s="15">
        <f>($W55+Cash_Flow!$J56)-(Cash_Flow!$B56+Cash_Flow!$C56)</f>
        <v>11313740.699999999</v>
      </c>
    </row>
    <row r="57" spans="1:23" x14ac:dyDescent="0.25">
      <c r="A57" s="7">
        <v>5</v>
      </c>
      <c r="B57" s="7">
        <v>55</v>
      </c>
      <c r="C57" s="8">
        <v>500000</v>
      </c>
      <c r="D57" s="8">
        <v>0</v>
      </c>
      <c r="E57" s="8">
        <v>250000</v>
      </c>
      <c r="F57" s="6">
        <v>59</v>
      </c>
      <c r="G57" s="6">
        <v>103</v>
      </c>
      <c r="H57" s="8">
        <v>3540000</v>
      </c>
      <c r="I57" s="8">
        <v>6180000</v>
      </c>
      <c r="J57" s="14">
        <v>373841.07</v>
      </c>
      <c r="K57" s="14">
        <v>0</v>
      </c>
      <c r="L57" s="14">
        <v>55530000</v>
      </c>
      <c r="M57" s="15">
        <f>$M56+Cash_Flow!$E57</f>
        <v>38186130</v>
      </c>
      <c r="N57" s="15">
        <f>$N56+Income_Statement!$M57</f>
        <v>22896870</v>
      </c>
      <c r="O57" s="15">
        <f>IF(Cash_Flow!$F57&lt;=0,0,$O56+(Cash_Flow!$F57+Cash_Flow!$G57))</f>
        <v>106249.83000000007</v>
      </c>
      <c r="P57" s="15">
        <f>Income_Statement!$P57</f>
        <v>552830</v>
      </c>
      <c r="Q57" s="15">
        <f>$Q56+Income_Statement!$P57</f>
        <v>17343870</v>
      </c>
      <c r="R57" s="15">
        <f>$R56+Income_Statement!$Q57</f>
        <v>5550038.4000000004</v>
      </c>
      <c r="S57" s="15">
        <f>Income_Statement!$R57</f>
        <v>375924.4</v>
      </c>
      <c r="T57" s="15">
        <f>Income_Statement!$Q57</f>
        <v>176905.60000000001</v>
      </c>
      <c r="U57" s="15">
        <f>$U56+Cash_Flow!$I57</f>
        <v>0</v>
      </c>
      <c r="V57" s="15">
        <f>Cash_Flow!$N57</f>
        <v>6007581.7699999986</v>
      </c>
      <c r="W57" s="15">
        <f>($W56+Cash_Flow!$J57)-(Cash_Flow!$B57+Cash_Flow!$C57)</f>
        <v>11687581.77</v>
      </c>
    </row>
    <row r="58" spans="1:23" x14ac:dyDescent="0.25">
      <c r="A58" s="7">
        <v>5</v>
      </c>
      <c r="B58" s="7">
        <v>56</v>
      </c>
      <c r="C58" s="8">
        <v>500000</v>
      </c>
      <c r="D58" s="8">
        <v>0</v>
      </c>
      <c r="E58" s="8">
        <v>250000</v>
      </c>
      <c r="F58" s="6">
        <v>59</v>
      </c>
      <c r="G58" s="6">
        <v>109</v>
      </c>
      <c r="H58" s="8">
        <v>3540000</v>
      </c>
      <c r="I58" s="8">
        <v>6540000</v>
      </c>
      <c r="J58" s="14">
        <v>373841.07</v>
      </c>
      <c r="K58" s="14">
        <v>360000</v>
      </c>
      <c r="L58" s="14">
        <v>57300000</v>
      </c>
      <c r="M58" s="15">
        <f>$M57+Cash_Flow!$E58</f>
        <v>39403300</v>
      </c>
      <c r="N58" s="15">
        <f>$N57+Income_Statement!$M58</f>
        <v>23626700</v>
      </c>
      <c r="O58" s="15">
        <f>IF(Cash_Flow!$F58&lt;=0,0,$O57+(Cash_Flow!$F58+Cash_Flow!$G58))</f>
        <v>108333.16000000008</v>
      </c>
      <c r="P58" s="15">
        <f>Income_Statement!$P58</f>
        <v>552830</v>
      </c>
      <c r="Q58" s="15">
        <f>$Q57+Income_Statement!$P58</f>
        <v>17896700</v>
      </c>
      <c r="R58" s="15">
        <f>$R57+Income_Statement!$Q58</f>
        <v>5726944</v>
      </c>
      <c r="S58" s="15">
        <f>Income_Statement!$R58</f>
        <v>375924.4</v>
      </c>
      <c r="T58" s="15">
        <f>Income_Statement!$Q58</f>
        <v>176905.60000000001</v>
      </c>
      <c r="U58" s="15">
        <f>$U57+Cash_Flow!$I58</f>
        <v>0</v>
      </c>
      <c r="V58" s="15">
        <f>Cash_Flow!$N58</f>
        <v>6021422.8399999989</v>
      </c>
      <c r="W58" s="15">
        <f>($W57+Cash_Flow!$J58)-(Cash_Flow!$B58+Cash_Flow!$C58)</f>
        <v>12061422.84</v>
      </c>
    </row>
    <row r="59" spans="1:23" x14ac:dyDescent="0.25">
      <c r="A59" s="7">
        <v>5</v>
      </c>
      <c r="B59" s="7">
        <v>57</v>
      </c>
      <c r="C59" s="8">
        <v>500000</v>
      </c>
      <c r="D59" s="8">
        <v>0</v>
      </c>
      <c r="E59" s="8">
        <v>250000</v>
      </c>
      <c r="F59" s="6">
        <v>61</v>
      </c>
      <c r="G59" s="6">
        <v>109</v>
      </c>
      <c r="H59" s="8">
        <v>3660000</v>
      </c>
      <c r="I59" s="8">
        <v>6540000</v>
      </c>
      <c r="J59" s="14">
        <v>386584.27</v>
      </c>
      <c r="K59" s="14">
        <v>0</v>
      </c>
      <c r="L59" s="14">
        <v>59130000</v>
      </c>
      <c r="M59" s="15">
        <f>$M58+Cash_Flow!$E59</f>
        <v>40661730</v>
      </c>
      <c r="N59" s="15">
        <f>$N58+Income_Statement!$M59</f>
        <v>24381270</v>
      </c>
      <c r="O59" s="15">
        <f>IF(Cash_Flow!$F59&lt;=0,0,$O58+(Cash_Flow!$F59+Cash_Flow!$G59))</f>
        <v>110416.49000000008</v>
      </c>
      <c r="P59" s="15">
        <f>Income_Statement!$P59</f>
        <v>571570</v>
      </c>
      <c r="Q59" s="15">
        <f>$Q58+Income_Statement!$P59</f>
        <v>18468270</v>
      </c>
      <c r="R59" s="15">
        <f>$R58+Income_Statement!$Q59</f>
        <v>5909846.4000000004</v>
      </c>
      <c r="S59" s="15">
        <f>Income_Statement!$R59</f>
        <v>388667.6</v>
      </c>
      <c r="T59" s="15">
        <f>Income_Statement!$Q59</f>
        <v>182902.39999999999</v>
      </c>
      <c r="U59" s="15">
        <f>$U58+Cash_Flow!$I59</f>
        <v>0</v>
      </c>
      <c r="V59" s="15">
        <f>Cash_Flow!$N59</f>
        <v>6408007.1099999994</v>
      </c>
      <c r="W59" s="15">
        <f>($W58+Cash_Flow!$J59)-(Cash_Flow!$B59+Cash_Flow!$C59)</f>
        <v>12448007.109999999</v>
      </c>
    </row>
    <row r="60" spans="1:23" x14ac:dyDescent="0.25">
      <c r="A60" s="7">
        <v>5</v>
      </c>
      <c r="B60" s="7">
        <v>58</v>
      </c>
      <c r="C60" s="8">
        <v>500000</v>
      </c>
      <c r="D60" s="8">
        <v>0</v>
      </c>
      <c r="E60" s="8">
        <v>250000</v>
      </c>
      <c r="F60" s="6">
        <v>61</v>
      </c>
      <c r="G60" s="6">
        <v>114</v>
      </c>
      <c r="H60" s="8">
        <v>3660000</v>
      </c>
      <c r="I60" s="8">
        <v>6840000</v>
      </c>
      <c r="J60" s="14">
        <v>386584.27</v>
      </c>
      <c r="K60" s="14">
        <v>300000</v>
      </c>
      <c r="L60" s="14">
        <v>60960000</v>
      </c>
      <c r="M60" s="15">
        <f>$M59+Cash_Flow!$E60</f>
        <v>41920160</v>
      </c>
      <c r="N60" s="15">
        <f>$N59+Income_Statement!$M60</f>
        <v>25135840</v>
      </c>
      <c r="O60" s="15">
        <f>IF(Cash_Flow!$F60&lt;=0,0,$O59+(Cash_Flow!$F60+Cash_Flow!$G60))</f>
        <v>112499.82000000008</v>
      </c>
      <c r="P60" s="15">
        <f>Income_Statement!$P60</f>
        <v>571570</v>
      </c>
      <c r="Q60" s="15">
        <f>$Q59+Income_Statement!$P60</f>
        <v>19039840</v>
      </c>
      <c r="R60" s="15">
        <f>$R59+Income_Statement!$Q60</f>
        <v>6092748.8000000007</v>
      </c>
      <c r="S60" s="15">
        <f>Income_Statement!$R60</f>
        <v>388667.6</v>
      </c>
      <c r="T60" s="15">
        <f>Income_Statement!$Q60</f>
        <v>182902.39999999999</v>
      </c>
      <c r="U60" s="15">
        <f>$U59+Cash_Flow!$I60</f>
        <v>0</v>
      </c>
      <c r="V60" s="15">
        <f>Cash_Flow!$N60</f>
        <v>6494591.379999999</v>
      </c>
      <c r="W60" s="15">
        <f>($W59+Cash_Flow!$J60)-(Cash_Flow!$B60+Cash_Flow!$C60)</f>
        <v>12834591.379999999</v>
      </c>
    </row>
    <row r="61" spans="1:23" x14ac:dyDescent="0.25">
      <c r="A61" s="7">
        <v>5</v>
      </c>
      <c r="B61" s="7">
        <v>59</v>
      </c>
      <c r="C61" s="8">
        <v>500000</v>
      </c>
      <c r="D61" s="8">
        <v>0</v>
      </c>
      <c r="E61" s="8">
        <v>250000</v>
      </c>
      <c r="F61" s="6">
        <v>63</v>
      </c>
      <c r="G61" s="6">
        <v>114</v>
      </c>
      <c r="H61" s="8">
        <v>3780000</v>
      </c>
      <c r="I61" s="8">
        <v>6840000</v>
      </c>
      <c r="J61" s="14">
        <v>399327.47</v>
      </c>
      <c r="K61" s="14">
        <v>0</v>
      </c>
      <c r="L61" s="14">
        <v>62850000</v>
      </c>
      <c r="M61" s="15">
        <f>$M60+Cash_Flow!$E61</f>
        <v>43219850</v>
      </c>
      <c r="N61" s="15">
        <f>$N60+Income_Statement!$M61</f>
        <v>25915150</v>
      </c>
      <c r="O61" s="15">
        <f>IF(Cash_Flow!$F61&lt;=0,0,$O60+(Cash_Flow!$F61+Cash_Flow!$G61))</f>
        <v>114583.15000000008</v>
      </c>
      <c r="P61" s="15">
        <f>Income_Statement!$P61</f>
        <v>590310</v>
      </c>
      <c r="Q61" s="15">
        <f>$Q60+Income_Statement!$P61</f>
        <v>19630150</v>
      </c>
      <c r="R61" s="15">
        <f>$R60+Income_Statement!$Q61</f>
        <v>6281648.0000000009</v>
      </c>
      <c r="S61" s="15">
        <f>Income_Statement!$R61</f>
        <v>401410.8</v>
      </c>
      <c r="T61" s="15">
        <f>Income_Statement!$Q61</f>
        <v>188899.20000000001</v>
      </c>
      <c r="U61" s="15">
        <f>$U60+Cash_Flow!$I61</f>
        <v>0</v>
      </c>
      <c r="V61" s="15">
        <f>Cash_Flow!$N61</f>
        <v>6893918.8499999987</v>
      </c>
      <c r="W61" s="15">
        <f>($W60+Cash_Flow!$J61)-(Cash_Flow!$B61+Cash_Flow!$C61)</f>
        <v>13233918.85</v>
      </c>
    </row>
    <row r="62" spans="1:23" x14ac:dyDescent="0.25">
      <c r="A62" s="7">
        <v>5</v>
      </c>
      <c r="B62" s="7">
        <v>60</v>
      </c>
      <c r="C62" s="8">
        <v>500000</v>
      </c>
      <c r="D62" s="8">
        <v>0</v>
      </c>
      <c r="E62" s="8">
        <v>250000</v>
      </c>
      <c r="F62" s="6">
        <v>63</v>
      </c>
      <c r="G62" s="6">
        <v>120</v>
      </c>
      <c r="H62" s="8">
        <v>3780000</v>
      </c>
      <c r="I62" s="8">
        <v>7200000</v>
      </c>
      <c r="J62" s="14">
        <v>399327.47</v>
      </c>
      <c r="K62" s="14">
        <v>360000</v>
      </c>
      <c r="L62" s="14">
        <v>64740000</v>
      </c>
      <c r="M62" s="15">
        <f>$M61+Cash_Flow!$E62</f>
        <v>44519540</v>
      </c>
      <c r="N62" s="15">
        <f>$N61+Income_Statement!$M62</f>
        <v>26694460</v>
      </c>
      <c r="O62" s="15">
        <f>IF(Cash_Flow!$F62&lt;=0,0,$O61+(Cash_Flow!$F62+Cash_Flow!$G62))</f>
        <v>116666.48000000008</v>
      </c>
      <c r="P62" s="15">
        <f>Income_Statement!$P62</f>
        <v>590310</v>
      </c>
      <c r="Q62" s="15">
        <f>$Q61+Income_Statement!$P62</f>
        <v>20220460</v>
      </c>
      <c r="R62" s="15">
        <f>$R61+Income_Statement!$Q62</f>
        <v>6470547.2000000011</v>
      </c>
      <c r="S62" s="15">
        <f>Income_Statement!$R62</f>
        <v>401410.8</v>
      </c>
      <c r="T62" s="15">
        <f>Income_Statement!$Q62</f>
        <v>188899.20000000001</v>
      </c>
      <c r="U62" s="15">
        <f>$U61+Cash_Flow!$I62</f>
        <v>0</v>
      </c>
      <c r="V62" s="15">
        <f>Cash_Flow!$N62</f>
        <v>6933246.3199999984</v>
      </c>
      <c r="W62" s="15">
        <f>($W61+Cash_Flow!$J62)-(Cash_Flow!$B62+Cash_Flow!$C62)</f>
        <v>13633246.32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0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defaultColWidth="8.7109375" defaultRowHeight="15" customHeight="1" x14ac:dyDescent="0.25"/>
  <cols>
    <col min="1" max="1" width="12" customWidth="1"/>
    <col min="2" max="2" width="18" customWidth="1"/>
    <col min="3" max="5" width="14" customWidth="1"/>
    <col min="6" max="6" width="18" customWidth="1"/>
  </cols>
  <sheetData>
    <row r="1" spans="1:6" ht="18.75" customHeight="1" x14ac:dyDescent="0.3">
      <c r="A1" s="23" t="s">
        <v>142</v>
      </c>
      <c r="B1" s="24"/>
      <c r="C1" s="24"/>
      <c r="D1" s="24"/>
      <c r="E1" s="24"/>
      <c r="F1" s="24"/>
    </row>
    <row r="2" spans="1:6" ht="28.35" customHeight="1" x14ac:dyDescent="0.25">
      <c r="A2" s="26" t="s">
        <v>143</v>
      </c>
      <c r="B2" s="27"/>
      <c r="C2" s="27"/>
      <c r="D2" s="27"/>
      <c r="E2" s="27"/>
      <c r="F2" s="28"/>
    </row>
    <row r="4" spans="1:6" x14ac:dyDescent="0.25">
      <c r="A4" s="2" t="s">
        <v>144</v>
      </c>
      <c r="B4" s="2" t="s">
        <v>145</v>
      </c>
      <c r="C4" s="2" t="s">
        <v>95</v>
      </c>
      <c r="D4" s="2" t="s">
        <v>146</v>
      </c>
      <c r="E4" s="2" t="s">
        <v>147</v>
      </c>
      <c r="F4" s="2" t="s">
        <v>148</v>
      </c>
    </row>
    <row r="5" spans="1:6" x14ac:dyDescent="0.25">
      <c r="A5" s="6">
        <v>1</v>
      </c>
      <c r="B5" s="8">
        <v>250000</v>
      </c>
      <c r="C5" s="8">
        <v>2083.33</v>
      </c>
      <c r="D5" s="8">
        <v>0</v>
      </c>
      <c r="E5" s="8">
        <v>2083.33</v>
      </c>
      <c r="F5" s="8">
        <v>250000</v>
      </c>
    </row>
    <row r="6" spans="1:6" x14ac:dyDescent="0.25">
      <c r="A6" s="6">
        <v>2</v>
      </c>
      <c r="B6" s="8">
        <v>250000</v>
      </c>
      <c r="C6" s="8">
        <v>2083.33</v>
      </c>
      <c r="D6" s="8">
        <v>0</v>
      </c>
      <c r="E6" s="8">
        <v>2083.33</v>
      </c>
      <c r="F6" s="8">
        <v>250000</v>
      </c>
    </row>
    <row r="7" spans="1:6" x14ac:dyDescent="0.25">
      <c r="A7" s="6">
        <v>3</v>
      </c>
      <c r="B7" s="8">
        <v>250000</v>
      </c>
      <c r="C7" s="8">
        <v>2083.33</v>
      </c>
      <c r="D7" s="8">
        <v>0</v>
      </c>
      <c r="E7" s="8">
        <v>2083.33</v>
      </c>
      <c r="F7" s="8">
        <v>250000</v>
      </c>
    </row>
    <row r="8" spans="1:6" x14ac:dyDescent="0.25">
      <c r="A8" s="6">
        <v>4</v>
      </c>
      <c r="B8" s="8">
        <v>250000</v>
      </c>
      <c r="C8" s="8">
        <v>2083.33</v>
      </c>
      <c r="D8" s="8">
        <v>0</v>
      </c>
      <c r="E8" s="8">
        <v>2083.33</v>
      </c>
      <c r="F8" s="8">
        <v>250000</v>
      </c>
    </row>
    <row r="9" spans="1:6" x14ac:dyDescent="0.25">
      <c r="A9" s="6">
        <v>5</v>
      </c>
      <c r="B9" s="8">
        <v>250000</v>
      </c>
      <c r="C9" s="8">
        <v>2083.33</v>
      </c>
      <c r="D9" s="8">
        <v>0</v>
      </c>
      <c r="E9" s="8">
        <v>2083.33</v>
      </c>
      <c r="F9" s="8">
        <v>250000</v>
      </c>
    </row>
    <row r="10" spans="1:6" x14ac:dyDescent="0.25">
      <c r="A10" s="6">
        <v>6</v>
      </c>
      <c r="B10" s="8">
        <v>250000</v>
      </c>
      <c r="C10" s="8">
        <v>2083.33</v>
      </c>
      <c r="D10" s="8">
        <v>0</v>
      </c>
      <c r="E10" s="8">
        <v>2083.33</v>
      </c>
      <c r="F10" s="8">
        <v>250000</v>
      </c>
    </row>
    <row r="11" spans="1:6" x14ac:dyDescent="0.25">
      <c r="A11" s="6">
        <v>7</v>
      </c>
      <c r="B11" s="8">
        <v>250000</v>
      </c>
      <c r="C11" s="8">
        <v>2083.33</v>
      </c>
      <c r="D11" s="8">
        <v>0</v>
      </c>
      <c r="E11" s="8">
        <v>2083.33</v>
      </c>
      <c r="F11" s="8">
        <v>250000</v>
      </c>
    </row>
    <row r="12" spans="1:6" x14ac:dyDescent="0.25">
      <c r="A12" s="6">
        <v>8</v>
      </c>
      <c r="B12" s="8">
        <v>250000</v>
      </c>
      <c r="C12" s="8">
        <v>2083.33</v>
      </c>
      <c r="D12" s="8">
        <v>0</v>
      </c>
      <c r="E12" s="8">
        <v>2083.33</v>
      </c>
      <c r="F12" s="8">
        <v>250000</v>
      </c>
    </row>
    <row r="13" spans="1:6" x14ac:dyDescent="0.25">
      <c r="A13" s="6">
        <v>9</v>
      </c>
      <c r="B13" s="8">
        <v>250000</v>
      </c>
      <c r="C13" s="8">
        <v>2083.33</v>
      </c>
      <c r="D13" s="8">
        <v>0</v>
      </c>
      <c r="E13" s="8">
        <v>2083.33</v>
      </c>
      <c r="F13" s="8">
        <v>250000</v>
      </c>
    </row>
    <row r="14" spans="1:6" x14ac:dyDescent="0.25">
      <c r="A14" s="6">
        <v>10</v>
      </c>
      <c r="B14" s="8">
        <v>250000</v>
      </c>
      <c r="C14" s="8">
        <v>2083.33</v>
      </c>
      <c r="D14" s="8">
        <v>0</v>
      </c>
      <c r="E14" s="8">
        <v>2083.33</v>
      </c>
      <c r="F14" s="8">
        <v>250000</v>
      </c>
    </row>
    <row r="15" spans="1:6" x14ac:dyDescent="0.25">
      <c r="A15" s="6">
        <v>11</v>
      </c>
      <c r="B15" s="8">
        <v>250000</v>
      </c>
      <c r="C15" s="8">
        <v>2083.33</v>
      </c>
      <c r="D15" s="8">
        <v>0</v>
      </c>
      <c r="E15" s="8">
        <v>2083.33</v>
      </c>
      <c r="F15" s="8">
        <v>250000</v>
      </c>
    </row>
    <row r="16" spans="1:6" x14ac:dyDescent="0.25">
      <c r="A16" s="6">
        <v>12</v>
      </c>
      <c r="B16" s="8">
        <v>250000</v>
      </c>
      <c r="C16" s="8">
        <v>2083.33</v>
      </c>
      <c r="D16" s="8">
        <v>0</v>
      </c>
      <c r="E16" s="8">
        <v>2083.33</v>
      </c>
      <c r="F16" s="8">
        <v>250000</v>
      </c>
    </row>
    <row r="17" spans="1:6" x14ac:dyDescent="0.25">
      <c r="A17" s="6">
        <v>13</v>
      </c>
      <c r="B17" s="8">
        <v>250000</v>
      </c>
      <c r="C17" s="8">
        <v>2083.33</v>
      </c>
      <c r="D17" s="8">
        <v>0</v>
      </c>
      <c r="E17" s="8">
        <v>2083.33</v>
      </c>
      <c r="F17" s="8">
        <v>250000</v>
      </c>
    </row>
    <row r="18" spans="1:6" x14ac:dyDescent="0.25">
      <c r="A18" s="6">
        <v>14</v>
      </c>
      <c r="B18" s="8">
        <v>250000</v>
      </c>
      <c r="C18" s="8">
        <v>2083.33</v>
      </c>
      <c r="D18" s="8">
        <v>0</v>
      </c>
      <c r="E18" s="8">
        <v>2083.33</v>
      </c>
      <c r="F18" s="8">
        <v>250000</v>
      </c>
    </row>
    <row r="19" spans="1:6" x14ac:dyDescent="0.25">
      <c r="A19" s="6">
        <v>15</v>
      </c>
      <c r="B19" s="8">
        <v>250000</v>
      </c>
      <c r="C19" s="8">
        <v>2083.33</v>
      </c>
      <c r="D19" s="8">
        <v>0</v>
      </c>
      <c r="E19" s="8">
        <v>2083.33</v>
      </c>
      <c r="F19" s="8">
        <v>250000</v>
      </c>
    </row>
    <row r="20" spans="1:6" x14ac:dyDescent="0.25">
      <c r="A20" s="6">
        <v>16</v>
      </c>
      <c r="B20" s="8">
        <v>250000</v>
      </c>
      <c r="C20" s="8">
        <v>2083.33</v>
      </c>
      <c r="D20" s="8">
        <v>0</v>
      </c>
      <c r="E20" s="8">
        <v>2083.33</v>
      </c>
      <c r="F20" s="8">
        <v>250000</v>
      </c>
    </row>
    <row r="21" spans="1:6" x14ac:dyDescent="0.25">
      <c r="A21" s="6">
        <v>17</v>
      </c>
      <c r="B21" s="8">
        <v>250000</v>
      </c>
      <c r="C21" s="8">
        <v>2083.33</v>
      </c>
      <c r="D21" s="8">
        <v>0</v>
      </c>
      <c r="E21" s="8">
        <v>2083.33</v>
      </c>
      <c r="F21" s="8">
        <v>250000</v>
      </c>
    </row>
    <row r="22" spans="1:6" x14ac:dyDescent="0.25">
      <c r="A22" s="6">
        <v>18</v>
      </c>
      <c r="B22" s="8">
        <v>250000</v>
      </c>
      <c r="C22" s="8">
        <v>2083.33</v>
      </c>
      <c r="D22" s="8">
        <v>0</v>
      </c>
      <c r="E22" s="8">
        <v>2083.33</v>
      </c>
      <c r="F22" s="8">
        <v>250000</v>
      </c>
    </row>
    <row r="23" spans="1:6" x14ac:dyDescent="0.25">
      <c r="A23" s="6">
        <v>19</v>
      </c>
      <c r="B23" s="8">
        <v>250000</v>
      </c>
      <c r="C23" s="8">
        <v>2083.33</v>
      </c>
      <c r="D23" s="8">
        <v>0</v>
      </c>
      <c r="E23" s="8">
        <v>2083.33</v>
      </c>
      <c r="F23" s="8">
        <v>250000</v>
      </c>
    </row>
    <row r="24" spans="1:6" x14ac:dyDescent="0.25">
      <c r="A24" s="6">
        <v>20</v>
      </c>
      <c r="B24" s="8">
        <v>250000</v>
      </c>
      <c r="C24" s="8">
        <v>2083.33</v>
      </c>
      <c r="D24" s="8">
        <v>0</v>
      </c>
      <c r="E24" s="8">
        <v>2083.33</v>
      </c>
      <c r="F24" s="8">
        <v>250000</v>
      </c>
    </row>
    <row r="25" spans="1:6" x14ac:dyDescent="0.25">
      <c r="A25" s="6">
        <v>21</v>
      </c>
      <c r="B25" s="8">
        <v>250000</v>
      </c>
      <c r="C25" s="8">
        <v>2083.33</v>
      </c>
      <c r="D25" s="8">
        <v>0</v>
      </c>
      <c r="E25" s="8">
        <v>2083.33</v>
      </c>
      <c r="F25" s="8">
        <v>250000</v>
      </c>
    </row>
    <row r="26" spans="1:6" x14ac:dyDescent="0.25">
      <c r="A26" s="6">
        <v>22</v>
      </c>
      <c r="B26" s="8">
        <v>250000</v>
      </c>
      <c r="C26" s="8">
        <v>2083.33</v>
      </c>
      <c r="D26" s="8">
        <v>0</v>
      </c>
      <c r="E26" s="8">
        <v>2083.33</v>
      </c>
      <c r="F26" s="8">
        <v>250000</v>
      </c>
    </row>
    <row r="27" spans="1:6" x14ac:dyDescent="0.25">
      <c r="A27" s="6">
        <v>23</v>
      </c>
      <c r="B27" s="8">
        <v>250000</v>
      </c>
      <c r="C27" s="8">
        <v>2083.33</v>
      </c>
      <c r="D27" s="8">
        <v>0</v>
      </c>
      <c r="E27" s="8">
        <v>2083.33</v>
      </c>
      <c r="F27" s="8">
        <v>250000</v>
      </c>
    </row>
    <row r="28" spans="1:6" x14ac:dyDescent="0.25">
      <c r="A28" s="6">
        <v>24</v>
      </c>
      <c r="B28" s="8">
        <v>250000</v>
      </c>
      <c r="C28" s="8">
        <v>2083.33</v>
      </c>
      <c r="D28" s="8">
        <v>0</v>
      </c>
      <c r="E28" s="8">
        <v>2083.33</v>
      </c>
      <c r="F28" s="8">
        <v>250000</v>
      </c>
    </row>
    <row r="29" spans="1:6" x14ac:dyDescent="0.25">
      <c r="A29" s="6">
        <v>25</v>
      </c>
      <c r="B29" s="8">
        <v>250000</v>
      </c>
      <c r="C29" s="8">
        <v>2083.33</v>
      </c>
      <c r="D29" s="8">
        <v>0</v>
      </c>
      <c r="E29" s="8">
        <v>2083.33</v>
      </c>
      <c r="F29" s="8">
        <v>250000</v>
      </c>
    </row>
    <row r="30" spans="1:6" x14ac:dyDescent="0.25">
      <c r="A30" s="6">
        <v>26</v>
      </c>
      <c r="B30" s="8">
        <v>250000</v>
      </c>
      <c r="C30" s="8">
        <v>2083.33</v>
      </c>
      <c r="D30" s="8">
        <v>0</v>
      </c>
      <c r="E30" s="8">
        <v>2083.33</v>
      </c>
      <c r="F30" s="8">
        <v>250000</v>
      </c>
    </row>
    <row r="31" spans="1:6" x14ac:dyDescent="0.25">
      <c r="A31" s="6">
        <v>27</v>
      </c>
      <c r="B31" s="8">
        <v>250000</v>
      </c>
      <c r="C31" s="8">
        <v>2083.33</v>
      </c>
      <c r="D31" s="8">
        <v>0</v>
      </c>
      <c r="E31" s="8">
        <v>2083.33</v>
      </c>
      <c r="F31" s="8">
        <v>250000</v>
      </c>
    </row>
    <row r="32" spans="1:6" x14ac:dyDescent="0.25">
      <c r="A32" s="6">
        <v>28</v>
      </c>
      <c r="B32" s="8">
        <v>250000</v>
      </c>
      <c r="C32" s="8">
        <v>2083.33</v>
      </c>
      <c r="D32" s="8">
        <v>0</v>
      </c>
      <c r="E32" s="8">
        <v>2083.33</v>
      </c>
      <c r="F32" s="8">
        <v>250000</v>
      </c>
    </row>
    <row r="33" spans="1:6" x14ac:dyDescent="0.25">
      <c r="A33" s="6">
        <v>29</v>
      </c>
      <c r="B33" s="8">
        <v>250000</v>
      </c>
      <c r="C33" s="8">
        <v>2083.33</v>
      </c>
      <c r="D33" s="8">
        <v>0</v>
      </c>
      <c r="E33" s="8">
        <v>2083.33</v>
      </c>
      <c r="F33" s="8">
        <v>250000</v>
      </c>
    </row>
    <row r="34" spans="1:6" x14ac:dyDescent="0.25">
      <c r="A34" s="6">
        <v>30</v>
      </c>
      <c r="B34" s="8">
        <v>250000</v>
      </c>
      <c r="C34" s="8">
        <v>2083.33</v>
      </c>
      <c r="D34" s="8">
        <v>0</v>
      </c>
      <c r="E34" s="8">
        <v>2083.33</v>
      </c>
      <c r="F34" s="8">
        <v>250000</v>
      </c>
    </row>
    <row r="35" spans="1:6" x14ac:dyDescent="0.25">
      <c r="A35" s="6">
        <v>31</v>
      </c>
      <c r="B35" s="8">
        <v>250000</v>
      </c>
      <c r="C35" s="8">
        <v>2083.33</v>
      </c>
      <c r="D35" s="8">
        <v>0</v>
      </c>
      <c r="E35" s="8">
        <v>2083.33</v>
      </c>
      <c r="F35" s="8">
        <v>250000</v>
      </c>
    </row>
    <row r="36" spans="1:6" x14ac:dyDescent="0.25">
      <c r="A36" s="6">
        <v>32</v>
      </c>
      <c r="B36" s="8">
        <v>250000</v>
      </c>
      <c r="C36" s="8">
        <v>2083.33</v>
      </c>
      <c r="D36" s="8">
        <v>0</v>
      </c>
      <c r="E36" s="8">
        <v>2083.33</v>
      </c>
      <c r="F36" s="8">
        <v>250000</v>
      </c>
    </row>
    <row r="37" spans="1:6" x14ac:dyDescent="0.25">
      <c r="A37" s="6">
        <v>33</v>
      </c>
      <c r="B37" s="8">
        <v>250000</v>
      </c>
      <c r="C37" s="8">
        <v>2083.33</v>
      </c>
      <c r="D37" s="8">
        <v>0</v>
      </c>
      <c r="E37" s="8">
        <v>2083.33</v>
      </c>
      <c r="F37" s="8">
        <v>250000</v>
      </c>
    </row>
    <row r="38" spans="1:6" x14ac:dyDescent="0.25">
      <c r="A38" s="6">
        <v>34</v>
      </c>
      <c r="B38" s="8">
        <v>250000</v>
      </c>
      <c r="C38" s="8">
        <v>2083.33</v>
      </c>
      <c r="D38" s="8">
        <v>0</v>
      </c>
      <c r="E38" s="8">
        <v>2083.33</v>
      </c>
      <c r="F38" s="8">
        <v>250000</v>
      </c>
    </row>
    <row r="39" spans="1:6" x14ac:dyDescent="0.25">
      <c r="A39" s="6">
        <v>35</v>
      </c>
      <c r="B39" s="8">
        <v>250000</v>
      </c>
      <c r="C39" s="8">
        <v>2083.33</v>
      </c>
      <c r="D39" s="8">
        <v>0</v>
      </c>
      <c r="E39" s="8">
        <v>2083.33</v>
      </c>
      <c r="F39" s="8">
        <v>250000</v>
      </c>
    </row>
    <row r="40" spans="1:6" x14ac:dyDescent="0.25">
      <c r="A40" s="6">
        <v>36</v>
      </c>
      <c r="B40" s="8">
        <v>250000</v>
      </c>
      <c r="C40" s="8">
        <v>2083.33</v>
      </c>
      <c r="D40" s="8">
        <v>0</v>
      </c>
      <c r="E40" s="8">
        <v>2083.33</v>
      </c>
      <c r="F40" s="8">
        <v>250000</v>
      </c>
    </row>
    <row r="41" spans="1:6" x14ac:dyDescent="0.25">
      <c r="A41" s="6">
        <v>37</v>
      </c>
      <c r="B41" s="8">
        <v>250000</v>
      </c>
      <c r="C41" s="8">
        <v>2083.33</v>
      </c>
      <c r="D41" s="8">
        <v>0</v>
      </c>
      <c r="E41" s="8">
        <v>2083.33</v>
      </c>
      <c r="F41" s="8">
        <v>250000</v>
      </c>
    </row>
    <row r="42" spans="1:6" x14ac:dyDescent="0.25">
      <c r="A42" s="6">
        <v>38</v>
      </c>
      <c r="B42" s="8">
        <v>250000</v>
      </c>
      <c r="C42" s="8">
        <v>2083.33</v>
      </c>
      <c r="D42" s="8">
        <v>0</v>
      </c>
      <c r="E42" s="8">
        <v>2083.33</v>
      </c>
      <c r="F42" s="8">
        <v>250000</v>
      </c>
    </row>
    <row r="43" spans="1:6" x14ac:dyDescent="0.25">
      <c r="A43" s="6">
        <v>39</v>
      </c>
      <c r="B43" s="8">
        <v>250000</v>
      </c>
      <c r="C43" s="8">
        <v>2083.33</v>
      </c>
      <c r="D43" s="8">
        <v>0</v>
      </c>
      <c r="E43" s="8">
        <v>2083.33</v>
      </c>
      <c r="F43" s="8">
        <v>250000</v>
      </c>
    </row>
    <row r="44" spans="1:6" x14ac:dyDescent="0.25">
      <c r="A44" s="6">
        <v>40</v>
      </c>
      <c r="B44" s="8">
        <v>250000</v>
      </c>
      <c r="C44" s="8">
        <v>2083.33</v>
      </c>
      <c r="D44" s="8">
        <v>0</v>
      </c>
      <c r="E44" s="8">
        <v>2083.33</v>
      </c>
      <c r="F44" s="8">
        <v>250000</v>
      </c>
    </row>
    <row r="45" spans="1:6" x14ac:dyDescent="0.25">
      <c r="A45" s="6">
        <v>41</v>
      </c>
      <c r="B45" s="8">
        <v>250000</v>
      </c>
      <c r="C45" s="8">
        <v>2083.33</v>
      </c>
      <c r="D45" s="8">
        <v>0</v>
      </c>
      <c r="E45" s="8">
        <v>2083.33</v>
      </c>
      <c r="F45" s="8">
        <v>250000</v>
      </c>
    </row>
    <row r="46" spans="1:6" x14ac:dyDescent="0.25">
      <c r="A46" s="6">
        <v>42</v>
      </c>
      <c r="B46" s="8">
        <v>250000</v>
      </c>
      <c r="C46" s="8">
        <v>2083.33</v>
      </c>
      <c r="D46" s="8">
        <v>0</v>
      </c>
      <c r="E46" s="8">
        <v>2083.33</v>
      </c>
      <c r="F46" s="8">
        <v>250000</v>
      </c>
    </row>
    <row r="47" spans="1:6" x14ac:dyDescent="0.25">
      <c r="A47" s="6">
        <v>43</v>
      </c>
      <c r="B47" s="8">
        <v>250000</v>
      </c>
      <c r="C47" s="8">
        <v>2083.33</v>
      </c>
      <c r="D47" s="8">
        <v>0</v>
      </c>
      <c r="E47" s="8">
        <v>2083.33</v>
      </c>
      <c r="F47" s="8">
        <v>250000</v>
      </c>
    </row>
    <row r="48" spans="1:6" x14ac:dyDescent="0.25">
      <c r="A48" s="6">
        <v>44</v>
      </c>
      <c r="B48" s="8">
        <v>250000</v>
      </c>
      <c r="C48" s="8">
        <v>2083.33</v>
      </c>
      <c r="D48" s="8">
        <v>0</v>
      </c>
      <c r="E48" s="8">
        <v>2083.33</v>
      </c>
      <c r="F48" s="8">
        <v>250000</v>
      </c>
    </row>
    <row r="49" spans="1:6" x14ac:dyDescent="0.25">
      <c r="A49" s="6">
        <v>45</v>
      </c>
      <c r="B49" s="8">
        <v>250000</v>
      </c>
      <c r="C49" s="8">
        <v>2083.33</v>
      </c>
      <c r="D49" s="8">
        <v>0</v>
      </c>
      <c r="E49" s="8">
        <v>2083.33</v>
      </c>
      <c r="F49" s="8">
        <v>250000</v>
      </c>
    </row>
    <row r="50" spans="1:6" x14ac:dyDescent="0.25">
      <c r="A50" s="6">
        <v>46</v>
      </c>
      <c r="B50" s="8">
        <v>250000</v>
      </c>
      <c r="C50" s="8">
        <v>2083.33</v>
      </c>
      <c r="D50" s="8">
        <v>0</v>
      </c>
      <c r="E50" s="8">
        <v>2083.33</v>
      </c>
      <c r="F50" s="8">
        <v>250000</v>
      </c>
    </row>
    <row r="51" spans="1:6" x14ac:dyDescent="0.25">
      <c r="A51" s="6">
        <v>47</v>
      </c>
      <c r="B51" s="8">
        <v>250000</v>
      </c>
      <c r="C51" s="8">
        <v>2083.33</v>
      </c>
      <c r="D51" s="8">
        <v>0</v>
      </c>
      <c r="E51" s="8">
        <v>2083.33</v>
      </c>
      <c r="F51" s="8">
        <v>250000</v>
      </c>
    </row>
    <row r="52" spans="1:6" x14ac:dyDescent="0.25">
      <c r="A52" s="6">
        <v>48</v>
      </c>
      <c r="B52" s="8">
        <v>250000</v>
      </c>
      <c r="C52" s="8">
        <v>2083.33</v>
      </c>
      <c r="D52" s="8">
        <v>0</v>
      </c>
      <c r="E52" s="8">
        <v>2083.33</v>
      </c>
      <c r="F52" s="8">
        <v>250000</v>
      </c>
    </row>
    <row r="53" spans="1:6" x14ac:dyDescent="0.25">
      <c r="A53" s="6">
        <v>49</v>
      </c>
      <c r="B53" s="8">
        <v>250000</v>
      </c>
      <c r="C53" s="8">
        <v>2083.33</v>
      </c>
      <c r="D53" s="8">
        <v>0</v>
      </c>
      <c r="E53" s="8">
        <v>2083.33</v>
      </c>
      <c r="F53" s="8">
        <v>250000</v>
      </c>
    </row>
    <row r="54" spans="1:6" x14ac:dyDescent="0.25">
      <c r="A54" s="6">
        <v>50</v>
      </c>
      <c r="B54" s="8">
        <v>250000</v>
      </c>
      <c r="C54" s="8">
        <v>2083.33</v>
      </c>
      <c r="D54" s="8">
        <v>0</v>
      </c>
      <c r="E54" s="8">
        <v>2083.33</v>
      </c>
      <c r="F54" s="8">
        <v>250000</v>
      </c>
    </row>
    <row r="55" spans="1:6" x14ac:dyDescent="0.25">
      <c r="A55" s="6">
        <v>51</v>
      </c>
      <c r="B55" s="8">
        <v>250000</v>
      </c>
      <c r="C55" s="8">
        <v>2083.33</v>
      </c>
      <c r="D55" s="8">
        <v>0</v>
      </c>
      <c r="E55" s="8">
        <v>2083.33</v>
      </c>
      <c r="F55" s="8">
        <v>250000</v>
      </c>
    </row>
    <row r="56" spans="1:6" x14ac:dyDescent="0.25">
      <c r="A56" s="6">
        <v>52</v>
      </c>
      <c r="B56" s="8">
        <v>250000</v>
      </c>
      <c r="C56" s="8">
        <v>2083.33</v>
      </c>
      <c r="D56" s="8">
        <v>0</v>
      </c>
      <c r="E56" s="8">
        <v>2083.33</v>
      </c>
      <c r="F56" s="8">
        <v>250000</v>
      </c>
    </row>
    <row r="57" spans="1:6" x14ac:dyDescent="0.25">
      <c r="A57" s="6">
        <v>53</v>
      </c>
      <c r="B57" s="8">
        <v>250000</v>
      </c>
      <c r="C57" s="8">
        <v>2083.33</v>
      </c>
      <c r="D57" s="8">
        <v>0</v>
      </c>
      <c r="E57" s="8">
        <v>2083.33</v>
      </c>
      <c r="F57" s="8">
        <v>250000</v>
      </c>
    </row>
    <row r="58" spans="1:6" x14ac:dyDescent="0.25">
      <c r="A58" s="6">
        <v>54</v>
      </c>
      <c r="B58" s="8">
        <v>250000</v>
      </c>
      <c r="C58" s="8">
        <v>2083.33</v>
      </c>
      <c r="D58" s="8">
        <v>0</v>
      </c>
      <c r="E58" s="8">
        <v>2083.33</v>
      </c>
      <c r="F58" s="8">
        <v>250000</v>
      </c>
    </row>
    <row r="59" spans="1:6" x14ac:dyDescent="0.25">
      <c r="A59">
        <v>55</v>
      </c>
      <c r="B59">
        <v>250000</v>
      </c>
      <c r="C59">
        <v>2083.33</v>
      </c>
      <c r="D59">
        <v>0</v>
      </c>
      <c r="E59">
        <v>2083.33</v>
      </c>
      <c r="F59">
        <v>250000</v>
      </c>
    </row>
    <row r="60" spans="1:6" x14ac:dyDescent="0.25">
      <c r="A60">
        <v>56</v>
      </c>
      <c r="B60">
        <v>250000</v>
      </c>
      <c r="C60">
        <v>2083.33</v>
      </c>
      <c r="D60">
        <v>0</v>
      </c>
      <c r="E60">
        <v>2083.33</v>
      </c>
      <c r="F60">
        <v>250000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Fleet_Schedule</vt:lpstr>
      <vt:lpstr>Cash_Flow</vt:lpstr>
      <vt:lpstr>Income_Statement</vt:lpstr>
      <vt:lpstr>Balance_Sheet</vt:lpstr>
      <vt:lpstr>Loan_Amortisation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Sebbi Kankondi</cp:lastModifiedBy>
  <dcterms:created xsi:type="dcterms:W3CDTF">2026-05-02T13:35:09Z</dcterms:created>
  <dcterms:modified xsi:type="dcterms:W3CDTF">2026-05-03T08:00:04Z</dcterms:modified>
</cp:coreProperties>
</file>