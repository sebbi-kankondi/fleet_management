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 #,##0.00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8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</t>
        </is>
      </c>
      <c r="B6" s="23" t="n">
        <v>2</v>
      </c>
      <c r="C6" s="22" t="inlineStr">
        <is>
          <t>Years</t>
        </is>
      </c>
      <c r="D6" s="22" t="inlineStr">
        <is>
          <t>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Airtime for yango drivers and tracking device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Maintenance cost included in salary expense</t>
        </is>
      </c>
    </row>
    <row r="12">
      <c r="A12" t="inlineStr">
        <is>
          <t>Driver subsistence</t>
        </is>
      </c>
      <c r="B12" s="24" t="n">
        <v>1400</v>
      </c>
      <c r="C12" t="inlineStr">
        <is>
          <t>N$ / car / month</t>
        </is>
      </c>
      <c r="D12" t="inlineStr">
        <is>
          <t>For client upkeep</t>
        </is>
      </c>
    </row>
    <row r="13" ht="30" customHeight="1">
      <c r="A13" t="inlineStr">
        <is>
          <t>Incidental repair reserve</t>
        </is>
      </c>
      <c r="B13" s="24" t="n">
        <v>500</v>
      </c>
      <c r="C13" t="inlineStr">
        <is>
          <t>N$ / car / month</t>
        </is>
      </c>
      <c r="D13" t="inlineStr">
        <is>
          <t>Internal repair insurance</t>
        </is>
      </c>
    </row>
    <row r="14">
      <c r="A14" t="inlineStr">
        <is>
          <t>Tracking device expense</t>
        </is>
      </c>
      <c r="B14" s="24" t="n">
        <v>950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>
      <c r="A15" t="inlineStr">
        <is>
          <t>Cost of sales</t>
        </is>
      </c>
      <c r="B15" s="24" t="n">
        <v>17630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>
      <c r="A16" t="inlineStr">
        <is>
          <t>Monthly Gross profit per car</t>
        </is>
      </c>
      <c r="B16" s="24" t="n">
        <v>12370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>
      <c r="A17" t="inlineStr">
        <is>
          <t>Salary expense per operating car (monthly)</t>
        </is>
      </c>
      <c r="B17" s="24" t="n">
        <v>3000</v>
      </c>
      <c r="C17" t="inlineStr">
        <is>
          <t>N$ / car / month</t>
        </is>
      </c>
      <c r="D17" t="inlineStr">
        <is>
          <t>For General manager + Operations supervisor</t>
        </is>
      </c>
    </row>
    <row r="18">
      <c r="A18" t="inlineStr">
        <is>
          <t>Total operating expenses per operating car (monthly)</t>
        </is>
      </c>
      <c r="B18" s="24" t="n">
        <v>20630</v>
      </c>
      <c r="C18" t="inlineStr">
        <is>
          <t>N$ / car / month</t>
        </is>
      </c>
      <c r="D18" t="inlineStr">
        <is>
          <t>Calculated = Cost of sales + Salary expense per operating car (monthly).</t>
        </is>
      </c>
    </row>
    <row r="19" ht="30" customHeight="1">
      <c r="A19" t="inlineStr">
        <is>
          <t>Operating Profit</t>
        </is>
      </c>
      <c r="B19" s="24" t="n">
        <v>9370</v>
      </c>
      <c r="C19" t="inlineStr">
        <is>
          <t>N$ / car / month</t>
        </is>
      </c>
      <c r="D19" t="inlineStr">
        <is>
          <t>Gross profit - Value for Operating Expense.</t>
        </is>
      </c>
    </row>
    <row r="20" ht="30" customHeight="1">
      <c r="A20" s="22" t="inlineStr">
        <is>
          <t>Min reinvest purchase batch size</t>
        </is>
      </c>
      <c r="B20" s="4" t="n">
        <v>4</v>
      </c>
      <c r="C20" s="22" t="inlineStr">
        <is>
          <t>cars</t>
        </is>
      </c>
      <c r="D20" s="22" t="inlineStr">
        <is>
          <t>Orders are placed only when retained profits can fund the purchase of atleast 4 cars.</t>
        </is>
      </c>
    </row>
    <row r="21" ht="63" customHeight="1">
      <c r="A21" s="22" t="inlineStr">
        <is>
          <t>Corporate income tax rate</t>
        </is>
      </c>
      <c r="B21" s="6" t="n">
        <v>0.32</v>
      </c>
      <c r="C21" s="22" t="inlineStr">
        <is>
          <t>%</t>
        </is>
      </c>
      <c r="D21" s="22" t="inlineStr">
        <is>
          <t>NAMRA rate for CC's</t>
        </is>
      </c>
    </row>
    <row r="22">
      <c r="A22" s="22" t="inlineStr">
        <is>
          <t>Initial owner/investor equity</t>
        </is>
      </c>
      <c r="B22" s="11" t="n">
        <v>250000</v>
      </c>
      <c r="C22" s="22" t="inlineStr">
        <is>
          <t>N$</t>
        </is>
      </c>
      <c r="D22" s="22" t="inlineStr">
        <is>
          <t xml:space="preserve">Initial funding from 1 company member for the first batch of 4 cars </t>
        </is>
      </c>
    </row>
    <row r="23" ht="30" customHeight="1">
      <c r="A23" s="22" t="inlineStr">
        <is>
          <t>Bank loan draw (batch 2)</t>
        </is>
      </c>
      <c r="B23" s="3" t="n">
        <v>250000</v>
      </c>
      <c r="C23" s="22" t="inlineStr">
        <is>
          <t>N$</t>
        </is>
      </c>
      <c r="D23" s="22" t="inlineStr">
        <is>
          <t>Proposed bank loan amount to help fund the second batch of 8 cars</t>
        </is>
      </c>
    </row>
    <row r="24">
      <c r="A24" s="22" t="inlineStr">
        <is>
          <t>Bank loan draw month (operating month index)</t>
        </is>
      </c>
      <c r="B24" s="4" t="n">
        <v>5</v>
      </c>
      <c r="C24" s="22" t="inlineStr">
        <is>
          <t>month #</t>
        </is>
      </c>
      <c r="D24" s="22" t="inlineStr">
        <is>
          <t>Bank loan request to be made after the first 4 months of operation.</t>
        </is>
      </c>
    </row>
    <row r="25">
      <c r="A25" s="22" t="inlineStr">
        <is>
          <t>Bank monthly instalment (principal + interest)</t>
        </is>
      </c>
      <c r="B25" s="25">
        <f>-PMT(B32,B31,B23)</f>
        <v/>
      </c>
      <c r="C25" s="22" t="inlineStr">
        <is>
          <t>N$ / month</t>
        </is>
      </c>
      <c r="D25" s="22" t="inlineStr">
        <is>
          <t>Monthly instalment modelled as PMT (fixed periodic repayment) at 10.00% p.a. over 54 months on N$250,000.</t>
        </is>
      </c>
    </row>
    <row r="26">
      <c r="A26" s="22" t="inlineStr">
        <is>
          <t>Bank nominal annual interest rate</t>
        </is>
      </c>
      <c r="B26" s="12" t="n">
        <v>0.1</v>
      </c>
      <c r="C26" s="22" t="inlineStr">
        <is>
          <t>%</t>
        </is>
      </c>
      <c r="D26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2" t="inlineStr">
        <is>
          <t>Owner/investor equity injection (batch 2)</t>
        </is>
      </c>
      <c r="B27" s="3" t="n">
        <v>250000</v>
      </c>
      <c r="C27" s="22" t="inlineStr">
        <is>
          <t>N$</t>
        </is>
      </c>
      <c r="D27" s="22" t="inlineStr">
        <is>
          <t>Additional N$250,000 from 1 company member to help fund the second batch of 8 cars</t>
        </is>
      </c>
    </row>
    <row r="28">
      <c r="A28" s="22" t="inlineStr">
        <is>
          <t>Owner second injection month (operating month index)</t>
        </is>
      </c>
      <c r="B28" s="4" t="n">
        <v>5</v>
      </c>
      <c r="C28" s="22" t="inlineStr">
        <is>
          <t>month #</t>
        </is>
      </c>
      <c r="D28" s="22" t="inlineStr">
        <is>
          <t>Second phase of owner funding to be made after the first 4 months of operation</t>
        </is>
      </c>
    </row>
    <row r="29">
      <c r="A29" s="22" t="inlineStr">
        <is>
          <t>Initial cars in operation (month 1)</t>
        </is>
      </c>
      <c r="B29" s="4" t="n">
        <v>4</v>
      </c>
      <c r="C29" s="22" t="inlineStr">
        <is>
          <t>cars</t>
        </is>
      </c>
      <c r="D29" s="22" t="inlineStr">
        <is>
          <t>Initial batch of 4 cars.</t>
        </is>
      </c>
    </row>
    <row r="30" ht="30" customHeight="1">
      <c r="A30" s="22" t="inlineStr">
        <is>
          <t>Model horizon</t>
        </is>
      </c>
      <c r="B30" s="4" t="n">
        <v>60</v>
      </c>
      <c r="C30" s="22" t="inlineStr">
        <is>
          <t>months</t>
        </is>
      </c>
      <c r="D30" s="22" t="inlineStr">
        <is>
          <t>5 years monthly.</t>
        </is>
      </c>
    </row>
    <row r="31">
      <c r="A31" s="22" t="inlineStr">
        <is>
          <t>Bank loan term</t>
        </is>
      </c>
      <c r="B31" s="4" t="n">
        <v>54</v>
      </c>
      <c r="C31" s="22" t="inlineStr">
        <is>
          <t>months</t>
        </is>
      </c>
      <c r="D31" s="22" t="inlineStr">
        <is>
          <t>Uploaded PDF recommendation: 54-month amortising facility.</t>
        </is>
      </c>
    </row>
    <row r="32" ht="30" customHeight="1">
      <c r="A32" s="22" t="inlineStr">
        <is>
          <t>Bank monthly interest rate</t>
        </is>
      </c>
      <c r="B32" s="26">
        <f>B26/12</f>
        <v/>
      </c>
      <c r="C32" s="22" t="inlineStr">
        <is>
          <t>% / month</t>
        </is>
      </c>
      <c r="D32" s="22" t="inlineStr">
        <is>
          <t>Calculated from the annual nominal rate.</t>
        </is>
      </c>
    </row>
    <row r="33" ht="30" customHeight="1">
      <c r="A33" s="22" t="inlineStr">
        <is>
          <t>Bank payment start month</t>
        </is>
      </c>
      <c r="B33" s="4" t="n">
        <v>5</v>
      </c>
      <c r="C33" s="22" t="inlineStr">
        <is>
          <t>month #</t>
        </is>
      </c>
      <c r="D33" s="22" t="inlineStr">
        <is>
          <t>Aligned to the draw month per the uploaded PDF.</t>
        </is>
      </c>
    </row>
    <row r="34">
      <c r="A34" s="22" t="inlineStr">
        <is>
          <t>Investor payout per car per month</t>
        </is>
      </c>
      <c r="B34" s="3" t="n">
        <v>3000</v>
      </c>
      <c r="C34" s="22" t="inlineStr">
        <is>
          <t>N$ / car / month</t>
        </is>
      </c>
      <c r="D34" s="22" t="inlineStr">
        <is>
          <t>Set aside N$3,000 per car per month for each N$250,000 owner/investor amount.</t>
        </is>
      </c>
    </row>
    <row r="35">
      <c r="A35" s="22" t="inlineStr">
        <is>
          <t>Batch 1 investor payout start month</t>
        </is>
      </c>
      <c r="B35" s="8" t="n">
        <v>1</v>
      </c>
      <c r="C35" s="22" t="inlineStr">
        <is>
          <t>month #</t>
        </is>
      </c>
      <c r="D35" s="22" t="inlineStr">
        <is>
          <t>Payouts begin once the cars funded by the second owner/investor tranche start operating.</t>
        </is>
      </c>
    </row>
    <row r="36">
      <c r="A36" s="22" t="inlineStr">
        <is>
          <t>Batch 2 investor payout start month</t>
        </is>
      </c>
      <c r="B36" s="27" t="n">
        <v>8</v>
      </c>
      <c r="C36" s="22" t="inlineStr">
        <is>
          <t>month #</t>
        </is>
      </c>
      <c r="D36" s="22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 t="n">
        <v>1</v>
      </c>
      <c r="C3" s="8" t="n">
        <v>1</v>
      </c>
      <c r="D3" s="8" t="n">
        <v>0</v>
      </c>
      <c r="E3" s="8" t="n">
        <v>0</v>
      </c>
      <c r="F3" s="8" t="n">
        <v>0</v>
      </c>
      <c r="G3" s="8" t="n">
        <v>4</v>
      </c>
      <c r="H3" s="8" t="n">
        <v>4</v>
      </c>
      <c r="I3" s="8">
        <f>$E3</f>
        <v/>
      </c>
      <c r="J3" s="8" t="n">
        <v>0</v>
      </c>
      <c r="K3" s="8" t="n">
        <v>0</v>
      </c>
    </row>
    <row r="4">
      <c r="A4" s="9" t="n">
        <v>2</v>
      </c>
      <c r="B4" s="8" t="n">
        <v>1</v>
      </c>
      <c r="C4" s="8" t="n">
        <v>2</v>
      </c>
      <c r="D4" s="8" t="n">
        <v>0</v>
      </c>
      <c r="E4" s="8" t="n">
        <v>0</v>
      </c>
      <c r="F4" s="8" t="n">
        <v>0</v>
      </c>
      <c r="G4" s="8" t="n">
        <v>4</v>
      </c>
      <c r="H4" s="8" t="n">
        <v>4</v>
      </c>
      <c r="I4" s="8">
        <f>$I3+$E4</f>
        <v/>
      </c>
      <c r="J4" s="8" t="n">
        <v>0</v>
      </c>
      <c r="K4" s="8" t="n">
        <v>0</v>
      </c>
    </row>
    <row r="5">
      <c r="A5" s="9" t="n">
        <v>3</v>
      </c>
      <c r="B5" s="8" t="n">
        <v>1</v>
      </c>
      <c r="C5" s="8" t="n">
        <v>3</v>
      </c>
      <c r="D5" s="8" t="n">
        <v>0</v>
      </c>
      <c r="E5" s="8" t="n">
        <v>0</v>
      </c>
      <c r="F5" s="8" t="n">
        <v>0</v>
      </c>
      <c r="G5" s="8" t="n">
        <v>4</v>
      </c>
      <c r="H5" s="8" t="n">
        <v>4</v>
      </c>
      <c r="I5" s="8">
        <f>$I4+$E5</f>
        <v/>
      </c>
      <c r="J5" s="8" t="n">
        <v>0</v>
      </c>
      <c r="K5" s="8" t="n">
        <v>0</v>
      </c>
    </row>
    <row r="6">
      <c r="A6" s="9" t="n">
        <v>4</v>
      </c>
      <c r="B6" s="8" t="n">
        <v>1</v>
      </c>
      <c r="C6" s="8" t="n">
        <v>4</v>
      </c>
      <c r="D6" s="8" t="n">
        <v>0</v>
      </c>
      <c r="E6" s="8" t="n">
        <v>0</v>
      </c>
      <c r="F6" s="8" t="n">
        <v>0</v>
      </c>
      <c r="G6" s="8" t="n">
        <v>4</v>
      </c>
      <c r="H6" s="8" t="n">
        <v>4</v>
      </c>
      <c r="I6" s="8">
        <f>$I5+$E6</f>
        <v/>
      </c>
      <c r="J6" s="8" t="n">
        <v>0</v>
      </c>
      <c r="K6" s="8" t="n">
        <v>0</v>
      </c>
    </row>
    <row r="7">
      <c r="A7" s="9" t="n">
        <v>5</v>
      </c>
      <c r="B7" s="8" t="n">
        <v>1</v>
      </c>
      <c r="C7" s="8" t="n">
        <v>5</v>
      </c>
      <c r="D7" s="8" t="n">
        <v>9</v>
      </c>
      <c r="E7" s="8" t="n">
        <v>0</v>
      </c>
      <c r="F7" s="8" t="n">
        <v>9</v>
      </c>
      <c r="G7" s="8" t="n">
        <v>4</v>
      </c>
      <c r="H7" s="8" t="n">
        <v>13</v>
      </c>
      <c r="I7" s="8">
        <f>$I6+$E7</f>
        <v/>
      </c>
      <c r="J7" s="8" t="n">
        <v>0</v>
      </c>
      <c r="K7" s="8" t="n">
        <v>0</v>
      </c>
    </row>
    <row r="8">
      <c r="A8" s="9" t="n">
        <v>6</v>
      </c>
      <c r="B8" s="8" t="n">
        <v>1</v>
      </c>
      <c r="C8" s="8" t="n">
        <v>6</v>
      </c>
      <c r="D8" s="8" t="n">
        <v>0</v>
      </c>
      <c r="E8" s="8" t="n">
        <v>0</v>
      </c>
      <c r="F8" s="8" t="n">
        <v>9</v>
      </c>
      <c r="G8" s="8" t="n">
        <v>4</v>
      </c>
      <c r="H8" s="8" t="n">
        <v>13</v>
      </c>
      <c r="I8" s="8">
        <f>$I7+$E8</f>
        <v/>
      </c>
      <c r="J8" s="8" t="n">
        <v>0</v>
      </c>
      <c r="K8" s="8" t="n">
        <v>0</v>
      </c>
    </row>
    <row r="9">
      <c r="A9" s="9" t="n">
        <v>7</v>
      </c>
      <c r="B9" s="8" t="n">
        <v>1</v>
      </c>
      <c r="C9" s="8" t="n">
        <v>7</v>
      </c>
      <c r="D9" s="8" t="n">
        <v>0</v>
      </c>
      <c r="E9" s="8" t="n">
        <v>0</v>
      </c>
      <c r="F9" s="8" t="n">
        <v>9</v>
      </c>
      <c r="G9" s="8" t="n">
        <v>4</v>
      </c>
      <c r="H9" s="8" t="n">
        <v>13</v>
      </c>
      <c r="I9" s="8">
        <f>$I8+$E9</f>
        <v/>
      </c>
      <c r="J9" s="8" t="n">
        <v>0</v>
      </c>
      <c r="K9" s="8" t="n">
        <v>0</v>
      </c>
    </row>
    <row r="10">
      <c r="A10" s="9" t="n">
        <v>8</v>
      </c>
      <c r="B10" s="8" t="n">
        <v>1</v>
      </c>
      <c r="C10" s="8" t="n">
        <v>8</v>
      </c>
      <c r="D10" s="8" t="n">
        <v>0</v>
      </c>
      <c r="E10" s="8" t="n">
        <v>9</v>
      </c>
      <c r="F10" s="8" t="n">
        <v>0</v>
      </c>
      <c r="G10" s="8" t="n">
        <v>13</v>
      </c>
      <c r="H10" s="8" t="n">
        <v>13</v>
      </c>
      <c r="I10" s="8">
        <f>$I9+$E10</f>
        <v/>
      </c>
      <c r="J10" s="8" t="n">
        <v>0</v>
      </c>
      <c r="K10" s="8" t="n">
        <v>0</v>
      </c>
    </row>
    <row r="11">
      <c r="A11" s="9" t="n">
        <v>9</v>
      </c>
      <c r="B11" s="8" t="n">
        <v>1</v>
      </c>
      <c r="C11" s="8" t="n">
        <v>9</v>
      </c>
      <c r="D11" s="8" t="n">
        <v>0</v>
      </c>
      <c r="E11" s="8" t="n">
        <v>0</v>
      </c>
      <c r="F11" s="8" t="n">
        <v>0</v>
      </c>
      <c r="G11" s="8" t="n">
        <v>13</v>
      </c>
      <c r="H11" s="8" t="n">
        <v>13</v>
      </c>
      <c r="I11" s="8">
        <f>$I10+$E11</f>
        <v/>
      </c>
      <c r="J11" s="8" t="n">
        <v>0</v>
      </c>
      <c r="K11" s="8" t="n">
        <v>0</v>
      </c>
    </row>
    <row r="12">
      <c r="A12" s="9" t="n">
        <v>10</v>
      </c>
      <c r="B12" s="8" t="n">
        <v>1</v>
      </c>
      <c r="C12" s="8" t="n">
        <v>10</v>
      </c>
      <c r="D12" s="8" t="n">
        <v>4</v>
      </c>
      <c r="E12" s="8" t="n">
        <v>0</v>
      </c>
      <c r="F12" s="8" t="n">
        <v>4</v>
      </c>
      <c r="G12" s="8" t="n">
        <v>13</v>
      </c>
      <c r="H12" s="8" t="n">
        <v>17</v>
      </c>
      <c r="I12" s="8">
        <f>$I11+$E12</f>
        <v/>
      </c>
      <c r="J12" s="8" t="n">
        <v>0</v>
      </c>
      <c r="K12" s="8" t="n">
        <v>0</v>
      </c>
    </row>
    <row r="13">
      <c r="A13" s="9" t="n">
        <v>11</v>
      </c>
      <c r="B13" s="8" t="n">
        <v>1</v>
      </c>
      <c r="C13" s="8" t="n">
        <v>11</v>
      </c>
      <c r="D13" s="8" t="n">
        <v>0</v>
      </c>
      <c r="E13" s="8" t="n">
        <v>0</v>
      </c>
      <c r="F13" s="8" t="n">
        <v>4</v>
      </c>
      <c r="G13" s="8" t="n">
        <v>13</v>
      </c>
      <c r="H13" s="8" t="n">
        <v>17</v>
      </c>
      <c r="I13" s="8">
        <f>$I12+$E13</f>
        <v/>
      </c>
      <c r="J13" s="8" t="n">
        <v>0</v>
      </c>
      <c r="K13" s="8" t="n">
        <v>0</v>
      </c>
    </row>
    <row r="14">
      <c r="A14" s="9" t="n">
        <v>12</v>
      </c>
      <c r="B14" s="8" t="n">
        <v>1</v>
      </c>
      <c r="C14" s="8" t="n">
        <v>12</v>
      </c>
      <c r="D14" s="8" t="n">
        <v>0</v>
      </c>
      <c r="E14" s="8" t="n">
        <v>0</v>
      </c>
      <c r="F14" s="8" t="n">
        <v>4</v>
      </c>
      <c r="G14" s="8" t="n">
        <v>13</v>
      </c>
      <c r="H14" s="8" t="n">
        <v>17</v>
      </c>
      <c r="I14" s="8">
        <f>$I13+$E14</f>
        <v/>
      </c>
      <c r="J14" s="8" t="n">
        <v>0</v>
      </c>
      <c r="K14" s="8" t="n">
        <v>0</v>
      </c>
    </row>
    <row r="15">
      <c r="A15" s="9" t="n">
        <v>13</v>
      </c>
      <c r="B15" s="8" t="n">
        <v>2</v>
      </c>
      <c r="C15" s="8" t="n">
        <v>1</v>
      </c>
      <c r="D15" s="8" t="n">
        <v>4</v>
      </c>
      <c r="E15" s="8" t="n">
        <v>4</v>
      </c>
      <c r="F15" s="8" t="n">
        <v>4</v>
      </c>
      <c r="G15" s="8" t="n">
        <v>17</v>
      </c>
      <c r="H15" s="8" t="n">
        <v>21</v>
      </c>
      <c r="I15" s="8">
        <f>$I14+$E15</f>
        <v/>
      </c>
      <c r="J15" s="8" t="n">
        <v>0</v>
      </c>
      <c r="K15" s="8" t="n">
        <v>0</v>
      </c>
    </row>
    <row r="16">
      <c r="A16" s="9" t="n">
        <v>14</v>
      </c>
      <c r="B16" s="8" t="n">
        <v>2</v>
      </c>
      <c r="C16" s="8" t="n">
        <v>2</v>
      </c>
      <c r="D16" s="8" t="n">
        <v>0</v>
      </c>
      <c r="E16" s="8" t="n">
        <v>0</v>
      </c>
      <c r="F16" s="8" t="n">
        <v>4</v>
      </c>
      <c r="G16" s="8" t="n">
        <v>17</v>
      </c>
      <c r="H16" s="8" t="n">
        <v>21</v>
      </c>
      <c r="I16" s="8">
        <f>$I15+$E16</f>
        <v/>
      </c>
      <c r="J16" s="8" t="n">
        <v>0</v>
      </c>
      <c r="K16" s="8" t="n">
        <v>0</v>
      </c>
    </row>
    <row r="17">
      <c r="A17" s="9" t="n">
        <v>15</v>
      </c>
      <c r="B17" s="8" t="n">
        <v>2</v>
      </c>
      <c r="C17" s="8" t="n">
        <v>3</v>
      </c>
      <c r="D17" s="8" t="n">
        <v>0</v>
      </c>
      <c r="E17" s="8" t="n">
        <v>0</v>
      </c>
      <c r="F17" s="8" t="n">
        <v>4</v>
      </c>
      <c r="G17" s="8" t="n">
        <v>17</v>
      </c>
      <c r="H17" s="8" t="n">
        <v>21</v>
      </c>
      <c r="I17" s="8">
        <f>$I16+$E17</f>
        <v/>
      </c>
      <c r="J17" s="8" t="n">
        <v>0</v>
      </c>
      <c r="K17" s="8" t="n">
        <v>0</v>
      </c>
    </row>
    <row r="18">
      <c r="A18" s="9" t="n">
        <v>16</v>
      </c>
      <c r="B18" s="8" t="n">
        <v>2</v>
      </c>
      <c r="C18" s="8" t="n">
        <v>4</v>
      </c>
      <c r="D18" s="8" t="n">
        <v>4</v>
      </c>
      <c r="E18" s="8" t="n">
        <v>4</v>
      </c>
      <c r="F18" s="8" t="n">
        <v>4</v>
      </c>
      <c r="G18" s="8" t="n">
        <v>21</v>
      </c>
      <c r="H18" s="8" t="n">
        <v>25</v>
      </c>
      <c r="I18" s="8">
        <f>$I17+$E18</f>
        <v/>
      </c>
      <c r="J18" s="8" t="n">
        <v>0</v>
      </c>
      <c r="K18" s="8" t="n">
        <v>0</v>
      </c>
    </row>
    <row r="19">
      <c r="A19" s="9" t="n">
        <v>17</v>
      </c>
      <c r="B19" s="8" t="n">
        <v>2</v>
      </c>
      <c r="C19" s="8" t="n">
        <v>5</v>
      </c>
      <c r="D19" s="8" t="n">
        <v>0</v>
      </c>
      <c r="E19" s="8" t="n">
        <v>0</v>
      </c>
      <c r="F19" s="8" t="n">
        <v>4</v>
      </c>
      <c r="G19" s="8" t="n">
        <v>21</v>
      </c>
      <c r="H19" s="8" t="n">
        <v>25</v>
      </c>
      <c r="I19" s="8">
        <f>$I18+$E19</f>
        <v/>
      </c>
      <c r="J19" s="8" t="n">
        <v>0</v>
      </c>
      <c r="K19" s="8" t="n">
        <v>0</v>
      </c>
    </row>
    <row r="20">
      <c r="A20" s="9" t="n">
        <v>18</v>
      </c>
      <c r="B20" s="8" t="n">
        <v>2</v>
      </c>
      <c r="C20" s="8" t="n">
        <v>6</v>
      </c>
      <c r="D20" s="8" t="n">
        <v>4</v>
      </c>
      <c r="E20" s="8" t="n">
        <v>0</v>
      </c>
      <c r="F20" s="8" t="n">
        <v>8</v>
      </c>
      <c r="G20" s="8" t="n">
        <v>21</v>
      </c>
      <c r="H20" s="8" t="n">
        <v>29</v>
      </c>
      <c r="I20" s="8">
        <f>$I19+$E20</f>
        <v/>
      </c>
      <c r="J20" s="8" t="n">
        <v>0</v>
      </c>
      <c r="K20" s="8" t="n">
        <v>0</v>
      </c>
    </row>
    <row r="21">
      <c r="A21" s="9" t="n">
        <v>19</v>
      </c>
      <c r="B21" s="8" t="n">
        <v>2</v>
      </c>
      <c r="C21" s="8" t="n">
        <v>7</v>
      </c>
      <c r="D21" s="8" t="n">
        <v>0</v>
      </c>
      <c r="E21" s="8" t="n">
        <v>4</v>
      </c>
      <c r="F21" s="8" t="n">
        <v>4</v>
      </c>
      <c r="G21" s="8" t="n">
        <v>25</v>
      </c>
      <c r="H21" s="8" t="n">
        <v>29</v>
      </c>
      <c r="I21" s="8">
        <f>$I20+$E21</f>
        <v/>
      </c>
      <c r="J21" s="8" t="n">
        <v>0</v>
      </c>
      <c r="K21" s="8" t="n">
        <v>0</v>
      </c>
    </row>
    <row r="22">
      <c r="A22" s="9" t="n">
        <v>20</v>
      </c>
      <c r="B22" s="8" t="n">
        <v>2</v>
      </c>
      <c r="C22" s="8" t="n">
        <v>8</v>
      </c>
      <c r="D22" s="8" t="n">
        <v>0</v>
      </c>
      <c r="E22" s="8" t="n">
        <v>0</v>
      </c>
      <c r="F22" s="8" t="n">
        <v>4</v>
      </c>
      <c r="G22" s="8" t="n">
        <v>25</v>
      </c>
      <c r="H22" s="8" t="n">
        <v>29</v>
      </c>
      <c r="I22" s="8">
        <f>$I21+$E22</f>
        <v/>
      </c>
      <c r="J22" s="8" t="n">
        <v>0</v>
      </c>
      <c r="K22" s="8" t="n">
        <v>0</v>
      </c>
    </row>
    <row r="23">
      <c r="A23" s="9" t="n">
        <v>21</v>
      </c>
      <c r="B23" s="8" t="n">
        <v>2</v>
      </c>
      <c r="C23" s="8" t="n">
        <v>9</v>
      </c>
      <c r="D23" s="8" t="n">
        <v>4</v>
      </c>
      <c r="E23" s="8" t="n">
        <v>4</v>
      </c>
      <c r="F23" s="8" t="n">
        <v>4</v>
      </c>
      <c r="G23" s="8" t="n">
        <v>29</v>
      </c>
      <c r="H23" s="8" t="n">
        <v>33</v>
      </c>
      <c r="I23" s="8">
        <f>$I22+$E23</f>
        <v/>
      </c>
      <c r="J23" s="8" t="n">
        <v>0</v>
      </c>
      <c r="K23" s="8" t="n">
        <v>0</v>
      </c>
    </row>
    <row r="24">
      <c r="A24" s="9" t="n">
        <v>22</v>
      </c>
      <c r="B24" s="8" t="n">
        <v>2</v>
      </c>
      <c r="C24" s="8" t="n">
        <v>10</v>
      </c>
      <c r="D24" s="8" t="n">
        <v>0</v>
      </c>
      <c r="E24" s="8" t="n">
        <v>0</v>
      </c>
      <c r="F24" s="8" t="n">
        <v>4</v>
      </c>
      <c r="G24" s="8" t="n">
        <v>29</v>
      </c>
      <c r="H24" s="8" t="n">
        <v>33</v>
      </c>
      <c r="I24" s="8">
        <f>$I23+$E24</f>
        <v/>
      </c>
      <c r="J24" s="8" t="n">
        <v>0</v>
      </c>
      <c r="K24" s="8" t="n">
        <v>0</v>
      </c>
    </row>
    <row r="25">
      <c r="A25" s="9" t="n">
        <v>23</v>
      </c>
      <c r="B25" s="8" t="n">
        <v>2</v>
      </c>
      <c r="C25" s="8" t="n">
        <v>11</v>
      </c>
      <c r="D25" s="8" t="n">
        <v>4</v>
      </c>
      <c r="E25" s="8" t="n">
        <v>0</v>
      </c>
      <c r="F25" s="8" t="n">
        <v>8</v>
      </c>
      <c r="G25" s="8" t="n">
        <v>29</v>
      </c>
      <c r="H25" s="8" t="n">
        <v>37</v>
      </c>
      <c r="I25" s="8">
        <f>$I24+$E25</f>
        <v/>
      </c>
      <c r="J25" s="8" t="n">
        <v>0</v>
      </c>
      <c r="K25" s="8" t="n">
        <v>0</v>
      </c>
    </row>
    <row r="26">
      <c r="A26" s="9" t="n">
        <v>24</v>
      </c>
      <c r="B26" s="8" t="n">
        <v>2</v>
      </c>
      <c r="C26" s="8" t="n">
        <v>12</v>
      </c>
      <c r="D26" s="8" t="n">
        <v>0</v>
      </c>
      <c r="E26" s="8" t="n">
        <v>4</v>
      </c>
      <c r="F26" s="8" t="n">
        <v>4</v>
      </c>
      <c r="G26" s="8" t="n">
        <v>33</v>
      </c>
      <c r="H26" s="8" t="n">
        <v>37</v>
      </c>
      <c r="I26" s="8">
        <f>$I25+$E26</f>
        <v/>
      </c>
      <c r="J26" s="8" t="n">
        <v>0</v>
      </c>
      <c r="K26" s="8" t="n">
        <v>0</v>
      </c>
    </row>
    <row r="27">
      <c r="A27" s="9" t="n">
        <v>25</v>
      </c>
      <c r="B27" s="8" t="n">
        <v>3</v>
      </c>
      <c r="C27" s="8" t="n">
        <v>1</v>
      </c>
      <c r="D27" s="8" t="n">
        <v>0</v>
      </c>
      <c r="E27" s="8" t="n">
        <v>0</v>
      </c>
      <c r="F27" s="8" t="n">
        <v>4</v>
      </c>
      <c r="G27" s="8" t="n">
        <v>29</v>
      </c>
      <c r="H27" s="8" t="n">
        <v>33</v>
      </c>
      <c r="I27" s="8">
        <f>$I26+$E27</f>
        <v/>
      </c>
      <c r="J27" s="8" t="n">
        <v>4</v>
      </c>
      <c r="K27" s="8" t="n">
        <v>4</v>
      </c>
    </row>
    <row r="28">
      <c r="A28" s="9" t="n">
        <v>26</v>
      </c>
      <c r="B28" s="8" t="n">
        <v>3</v>
      </c>
      <c r="C28" s="8" t="n">
        <v>2</v>
      </c>
      <c r="D28" s="8" t="n">
        <v>5</v>
      </c>
      <c r="E28" s="8" t="n">
        <v>4</v>
      </c>
      <c r="F28" s="8" t="n">
        <v>5</v>
      </c>
      <c r="G28" s="8" t="n">
        <v>33</v>
      </c>
      <c r="H28" s="8" t="n">
        <v>38</v>
      </c>
      <c r="I28" s="8">
        <f>$I27+$E28</f>
        <v/>
      </c>
      <c r="J28" s="8" t="n">
        <v>0</v>
      </c>
      <c r="K28" s="8" t="n">
        <v>4</v>
      </c>
    </row>
    <row r="29">
      <c r="A29" s="9" t="n">
        <v>27</v>
      </c>
      <c r="B29" s="8" t="n">
        <v>3</v>
      </c>
      <c r="C29" s="8" t="n">
        <v>3</v>
      </c>
      <c r="D29" s="8" t="n">
        <v>0</v>
      </c>
      <c r="E29" s="8" t="n">
        <v>0</v>
      </c>
      <c r="F29" s="8" t="n">
        <v>5</v>
      </c>
      <c r="G29" s="8" t="n">
        <v>33</v>
      </c>
      <c r="H29" s="8" t="n">
        <v>38</v>
      </c>
      <c r="I29" s="8">
        <f>$I28+$E29</f>
        <v/>
      </c>
      <c r="J29" s="8" t="n">
        <v>0</v>
      </c>
      <c r="K29" s="8" t="n">
        <v>4</v>
      </c>
    </row>
    <row r="30">
      <c r="A30" s="9" t="n">
        <v>28</v>
      </c>
      <c r="B30" s="8" t="n">
        <v>3</v>
      </c>
      <c r="C30" s="8" t="n">
        <v>4</v>
      </c>
      <c r="D30" s="8" t="n">
        <v>4</v>
      </c>
      <c r="E30" s="8" t="n">
        <v>0</v>
      </c>
      <c r="F30" s="8" t="n">
        <v>9</v>
      </c>
      <c r="G30" s="8" t="n">
        <v>33</v>
      </c>
      <c r="H30" s="8" t="n">
        <v>42</v>
      </c>
      <c r="I30" s="8">
        <f>$I29+$E30</f>
        <v/>
      </c>
      <c r="J30" s="8" t="n">
        <v>0</v>
      </c>
      <c r="K30" s="8" t="n">
        <v>4</v>
      </c>
    </row>
    <row r="31">
      <c r="A31" s="9" t="n">
        <v>29</v>
      </c>
      <c r="B31" s="8" t="n">
        <v>3</v>
      </c>
      <c r="C31" s="8" t="n">
        <v>5</v>
      </c>
      <c r="D31" s="8" t="n">
        <v>0</v>
      </c>
      <c r="E31" s="8" t="n">
        <v>5</v>
      </c>
      <c r="F31" s="8" t="n">
        <v>4</v>
      </c>
      <c r="G31" s="8" t="n">
        <v>38</v>
      </c>
      <c r="H31" s="8" t="n">
        <v>42</v>
      </c>
      <c r="I31" s="8">
        <f>$I30+$E31</f>
        <v/>
      </c>
      <c r="J31" s="8" t="n">
        <v>0</v>
      </c>
      <c r="K31" s="8" t="n">
        <v>4</v>
      </c>
    </row>
    <row r="32">
      <c r="A32" s="9" t="n">
        <v>30</v>
      </c>
      <c r="B32" s="8" t="n">
        <v>3</v>
      </c>
      <c r="C32" s="8" t="n">
        <v>6</v>
      </c>
      <c r="D32" s="8" t="n">
        <v>4</v>
      </c>
      <c r="E32" s="8" t="n">
        <v>0</v>
      </c>
      <c r="F32" s="8" t="n">
        <v>8</v>
      </c>
      <c r="G32" s="8" t="n">
        <v>38</v>
      </c>
      <c r="H32" s="8" t="n">
        <v>46</v>
      </c>
      <c r="I32" s="8">
        <f>$I31+$E32</f>
        <v/>
      </c>
      <c r="J32" s="8" t="n">
        <v>0</v>
      </c>
      <c r="K32" s="8" t="n">
        <v>4</v>
      </c>
    </row>
    <row r="33">
      <c r="A33" s="9" t="n">
        <v>31</v>
      </c>
      <c r="B33" s="8" t="n">
        <v>3</v>
      </c>
      <c r="C33" s="8" t="n">
        <v>7</v>
      </c>
      <c r="D33" s="8" t="n">
        <v>0</v>
      </c>
      <c r="E33" s="8" t="n">
        <v>4</v>
      </c>
      <c r="F33" s="8" t="n">
        <v>4</v>
      </c>
      <c r="G33" s="8" t="n">
        <v>42</v>
      </c>
      <c r="H33" s="8" t="n">
        <v>46</v>
      </c>
      <c r="I33" s="8">
        <f>$I32+$E33</f>
        <v/>
      </c>
      <c r="J33" s="8" t="n">
        <v>0</v>
      </c>
      <c r="K33" s="8" t="n">
        <v>4</v>
      </c>
    </row>
    <row r="34">
      <c r="A34" s="9" t="n">
        <v>32</v>
      </c>
      <c r="B34" s="8" t="n">
        <v>3</v>
      </c>
      <c r="C34" s="8" t="n">
        <v>8</v>
      </c>
      <c r="D34" s="8" t="n">
        <v>4</v>
      </c>
      <c r="E34" s="8" t="n">
        <v>0</v>
      </c>
      <c r="F34" s="8" t="n">
        <v>8</v>
      </c>
      <c r="G34" s="8" t="n">
        <v>33</v>
      </c>
      <c r="H34" s="8" t="n">
        <v>41</v>
      </c>
      <c r="I34" s="8">
        <f>$I33+$E34</f>
        <v/>
      </c>
      <c r="J34" s="8" t="n">
        <v>9</v>
      </c>
      <c r="K34" s="8" t="n">
        <v>13</v>
      </c>
    </row>
    <row r="35">
      <c r="A35" s="9" t="n">
        <v>33</v>
      </c>
      <c r="B35" s="8" t="n">
        <v>3</v>
      </c>
      <c r="C35" s="8" t="n">
        <v>9</v>
      </c>
      <c r="D35" s="8" t="n">
        <v>0</v>
      </c>
      <c r="E35" s="8" t="n">
        <v>4</v>
      </c>
      <c r="F35" s="8" t="n">
        <v>4</v>
      </c>
      <c r="G35" s="8" t="n">
        <v>37</v>
      </c>
      <c r="H35" s="8" t="n">
        <v>41</v>
      </c>
      <c r="I35" s="8">
        <f>$I34+$E35</f>
        <v/>
      </c>
      <c r="J35" s="8" t="n">
        <v>0</v>
      </c>
      <c r="K35" s="8" t="n">
        <v>13</v>
      </c>
    </row>
    <row r="36">
      <c r="A36" s="9" t="n">
        <v>34</v>
      </c>
      <c r="B36" s="8" t="n">
        <v>3</v>
      </c>
      <c r="C36" s="8" t="n">
        <v>10</v>
      </c>
      <c r="D36" s="8" t="n">
        <v>4</v>
      </c>
      <c r="E36" s="8" t="n">
        <v>0</v>
      </c>
      <c r="F36" s="8" t="n">
        <v>8</v>
      </c>
      <c r="G36" s="8" t="n">
        <v>37</v>
      </c>
      <c r="H36" s="8" t="n">
        <v>45</v>
      </c>
      <c r="I36" s="8">
        <f>$I35+$E36</f>
        <v/>
      </c>
      <c r="J36" s="8" t="n">
        <v>0</v>
      </c>
      <c r="K36" s="8" t="n">
        <v>13</v>
      </c>
    </row>
    <row r="37">
      <c r="A37" s="9" t="n">
        <v>35</v>
      </c>
      <c r="B37" s="8" t="n">
        <v>3</v>
      </c>
      <c r="C37" s="8" t="n">
        <v>11</v>
      </c>
      <c r="D37" s="8" t="n">
        <v>0</v>
      </c>
      <c r="E37" s="8" t="n">
        <v>4</v>
      </c>
      <c r="F37" s="8" t="n">
        <v>4</v>
      </c>
      <c r="G37" s="8" t="n">
        <v>41</v>
      </c>
      <c r="H37" s="8" t="n">
        <v>45</v>
      </c>
      <c r="I37" s="8">
        <f>$I36+$E37</f>
        <v/>
      </c>
      <c r="J37" s="8" t="n">
        <v>0</v>
      </c>
      <c r="K37" s="8" t="n">
        <v>13</v>
      </c>
    </row>
    <row r="38">
      <c r="A38" s="9" t="n">
        <v>36</v>
      </c>
      <c r="B38" s="8" t="n">
        <v>3</v>
      </c>
      <c r="C38" s="8" t="n">
        <v>12</v>
      </c>
      <c r="D38" s="8" t="n">
        <v>4</v>
      </c>
      <c r="E38" s="8" t="n">
        <v>0</v>
      </c>
      <c r="F38" s="8" t="n">
        <v>8</v>
      </c>
      <c r="G38" s="8" t="n">
        <v>41</v>
      </c>
      <c r="H38" s="8" t="n">
        <v>49</v>
      </c>
      <c r="I38" s="8">
        <f>$I37+$E38</f>
        <v/>
      </c>
      <c r="J38" s="8" t="n">
        <v>0</v>
      </c>
      <c r="K38" s="8" t="n">
        <v>13</v>
      </c>
    </row>
    <row r="39">
      <c r="A39" s="9" t="n">
        <v>37</v>
      </c>
      <c r="B39" s="8" t="n">
        <v>4</v>
      </c>
      <c r="C39" s="8" t="n">
        <v>1</v>
      </c>
      <c r="D39" s="8" t="n">
        <v>0</v>
      </c>
      <c r="E39" s="8" t="n">
        <v>4</v>
      </c>
      <c r="F39" s="8" t="n">
        <v>4</v>
      </c>
      <c r="G39" s="8" t="n">
        <v>41</v>
      </c>
      <c r="H39" s="8" t="n">
        <v>45</v>
      </c>
      <c r="I39" s="8">
        <f>$I38+$E39</f>
        <v/>
      </c>
      <c r="J39" s="8" t="n">
        <v>4</v>
      </c>
      <c r="K39" s="8" t="n">
        <v>17</v>
      </c>
    </row>
    <row r="40">
      <c r="A40" s="9" t="n">
        <v>38</v>
      </c>
      <c r="B40" s="8" t="n">
        <v>4</v>
      </c>
      <c r="C40" s="8" t="n">
        <v>2</v>
      </c>
      <c r="D40" s="8" t="n">
        <v>4</v>
      </c>
      <c r="E40" s="8" t="n">
        <v>0</v>
      </c>
      <c r="F40" s="8" t="n">
        <v>8</v>
      </c>
      <c r="G40" s="8" t="n">
        <v>41</v>
      </c>
      <c r="H40" s="8" t="n">
        <v>49</v>
      </c>
      <c r="I40" s="8">
        <f>$I39+$E40</f>
        <v/>
      </c>
      <c r="J40" s="8" t="n">
        <v>0</v>
      </c>
      <c r="K40" s="8" t="n">
        <v>17</v>
      </c>
    </row>
    <row r="41">
      <c r="A41" s="9" t="n">
        <v>39</v>
      </c>
      <c r="B41" s="8" t="n">
        <v>4</v>
      </c>
      <c r="C41" s="8" t="n">
        <v>3</v>
      </c>
      <c r="D41" s="8" t="n">
        <v>0</v>
      </c>
      <c r="E41" s="8" t="n">
        <v>4</v>
      </c>
      <c r="F41" s="8" t="n">
        <v>4</v>
      </c>
      <c r="G41" s="8" t="n">
        <v>45</v>
      </c>
      <c r="H41" s="8" t="n">
        <v>49</v>
      </c>
      <c r="I41" s="8">
        <f>$I40+$E41</f>
        <v/>
      </c>
      <c r="J41" s="8" t="n">
        <v>0</v>
      </c>
      <c r="K41" s="8" t="n">
        <v>17</v>
      </c>
    </row>
    <row r="42">
      <c r="A42" s="9" t="n">
        <v>40</v>
      </c>
      <c r="B42" s="8" t="n">
        <v>4</v>
      </c>
      <c r="C42" s="8" t="n">
        <v>4</v>
      </c>
      <c r="D42" s="8" t="n">
        <v>5</v>
      </c>
      <c r="E42" s="8" t="n">
        <v>0</v>
      </c>
      <c r="F42" s="8" t="n">
        <v>9</v>
      </c>
      <c r="G42" s="8" t="n">
        <v>41</v>
      </c>
      <c r="H42" s="8" t="n">
        <v>50</v>
      </c>
      <c r="I42" s="8">
        <f>$I41+$E42</f>
        <v/>
      </c>
      <c r="J42" s="8" t="n">
        <v>4</v>
      </c>
      <c r="K42" s="8" t="n">
        <v>21</v>
      </c>
    </row>
    <row r="43">
      <c r="A43" s="9" t="n">
        <v>41</v>
      </c>
      <c r="B43" s="8" t="n">
        <v>4</v>
      </c>
      <c r="C43" s="8" t="n">
        <v>5</v>
      </c>
      <c r="D43" s="8" t="n">
        <v>0</v>
      </c>
      <c r="E43" s="8" t="n">
        <v>4</v>
      </c>
      <c r="F43" s="8" t="n">
        <v>5</v>
      </c>
      <c r="G43" s="8" t="n">
        <v>45</v>
      </c>
      <c r="H43" s="8" t="n">
        <v>50</v>
      </c>
      <c r="I43" s="8">
        <f>$I42+$E43</f>
        <v/>
      </c>
      <c r="J43" s="8" t="n">
        <v>0</v>
      </c>
      <c r="K43" s="8" t="n">
        <v>21</v>
      </c>
    </row>
    <row r="44">
      <c r="A44" s="9" t="n">
        <v>42</v>
      </c>
      <c r="B44" s="8" t="n">
        <v>4</v>
      </c>
      <c r="C44" s="8" t="n">
        <v>6</v>
      </c>
      <c r="D44" s="8" t="n">
        <v>5</v>
      </c>
      <c r="E44" s="8" t="n">
        <v>0</v>
      </c>
      <c r="F44" s="8" t="n">
        <v>10</v>
      </c>
      <c r="G44" s="8" t="n">
        <v>45</v>
      </c>
      <c r="H44" s="8" t="n">
        <v>55</v>
      </c>
      <c r="I44" s="8">
        <f>$I43+$E44</f>
        <v/>
      </c>
      <c r="J44" s="8" t="n">
        <v>0</v>
      </c>
      <c r="K44" s="8" t="n">
        <v>21</v>
      </c>
    </row>
    <row r="45">
      <c r="A45" s="9" t="n">
        <v>43</v>
      </c>
      <c r="B45" s="8" t="n">
        <v>4</v>
      </c>
      <c r="C45" s="8" t="n">
        <v>7</v>
      </c>
      <c r="D45" s="8" t="n">
        <v>0</v>
      </c>
      <c r="E45" s="8" t="n">
        <v>5</v>
      </c>
      <c r="F45" s="8" t="n">
        <v>5</v>
      </c>
      <c r="G45" s="8" t="n">
        <v>46</v>
      </c>
      <c r="H45" s="8" t="n">
        <v>51</v>
      </c>
      <c r="I45" s="8">
        <f>$I44+$E45</f>
        <v/>
      </c>
      <c r="J45" s="8" t="n">
        <v>4</v>
      </c>
      <c r="K45" s="8" t="n">
        <v>25</v>
      </c>
    </row>
    <row r="46">
      <c r="A46" s="9" t="n">
        <v>44</v>
      </c>
      <c r="B46" s="8" t="n">
        <v>4</v>
      </c>
      <c r="C46" s="8" t="n">
        <v>8</v>
      </c>
      <c r="D46" s="8" t="n">
        <v>5</v>
      </c>
      <c r="E46" s="8" t="n">
        <v>0</v>
      </c>
      <c r="F46" s="8" t="n">
        <v>10</v>
      </c>
      <c r="G46" s="8" t="n">
        <v>46</v>
      </c>
      <c r="H46" s="8" t="n">
        <v>56</v>
      </c>
      <c r="I46" s="8">
        <f>$I45+$E46</f>
        <v/>
      </c>
      <c r="J46" s="8" t="n">
        <v>0</v>
      </c>
      <c r="K46" s="8" t="n">
        <v>25</v>
      </c>
    </row>
    <row r="47">
      <c r="A47" s="9" t="n">
        <v>45</v>
      </c>
      <c r="B47" s="8" t="n">
        <v>4</v>
      </c>
      <c r="C47" s="8" t="n">
        <v>9</v>
      </c>
      <c r="D47" s="8" t="n">
        <v>0</v>
      </c>
      <c r="E47" s="8" t="n">
        <v>5</v>
      </c>
      <c r="F47" s="8" t="n">
        <v>5</v>
      </c>
      <c r="G47" s="8" t="n">
        <v>47</v>
      </c>
      <c r="H47" s="8" t="n">
        <v>52</v>
      </c>
      <c r="I47" s="8">
        <f>$I46+$E47</f>
        <v/>
      </c>
      <c r="J47" s="8" t="n">
        <v>4</v>
      </c>
      <c r="K47" s="8" t="n">
        <v>29</v>
      </c>
    </row>
    <row r="48">
      <c r="A48" s="9" t="n">
        <v>46</v>
      </c>
      <c r="B48" s="8" t="n">
        <v>4</v>
      </c>
      <c r="C48" s="8" t="n">
        <v>10</v>
      </c>
      <c r="D48" s="8" t="n">
        <v>4</v>
      </c>
      <c r="E48" s="8" t="n">
        <v>0</v>
      </c>
      <c r="F48" s="8" t="n">
        <v>9</v>
      </c>
      <c r="G48" s="8" t="n">
        <v>47</v>
      </c>
      <c r="H48" s="8" t="n">
        <v>56</v>
      </c>
      <c r="I48" s="8">
        <f>$I47+$E48</f>
        <v/>
      </c>
      <c r="J48" s="8" t="n">
        <v>0</v>
      </c>
      <c r="K48" s="8" t="n">
        <v>29</v>
      </c>
    </row>
    <row r="49">
      <c r="A49" s="9" t="n">
        <v>47</v>
      </c>
      <c r="B49" s="8" t="n">
        <v>4</v>
      </c>
      <c r="C49" s="8" t="n">
        <v>11</v>
      </c>
      <c r="D49" s="8" t="n">
        <v>0</v>
      </c>
      <c r="E49" s="8" t="n">
        <v>5</v>
      </c>
      <c r="F49" s="8" t="n">
        <v>4</v>
      </c>
      <c r="G49" s="8" t="n">
        <v>52</v>
      </c>
      <c r="H49" s="8" t="n">
        <v>56</v>
      </c>
      <c r="I49" s="8">
        <f>$I48+$E49</f>
        <v/>
      </c>
      <c r="J49" s="8" t="n">
        <v>0</v>
      </c>
      <c r="K49" s="8" t="n">
        <v>29</v>
      </c>
    </row>
    <row r="50">
      <c r="A50" s="9" t="n">
        <v>48</v>
      </c>
      <c r="B50" s="8" t="n">
        <v>4</v>
      </c>
      <c r="C50" s="8" t="n">
        <v>12</v>
      </c>
      <c r="D50" s="8" t="n">
        <v>6</v>
      </c>
      <c r="E50" s="8" t="n">
        <v>0</v>
      </c>
      <c r="F50" s="8" t="n">
        <v>10</v>
      </c>
      <c r="G50" s="8" t="n">
        <v>48</v>
      </c>
      <c r="H50" s="8" t="n">
        <v>58</v>
      </c>
      <c r="I50" s="8">
        <f>$I49+$E50</f>
        <v/>
      </c>
      <c r="J50" s="8" t="n">
        <v>4</v>
      </c>
      <c r="K50" s="8" t="n">
        <v>33</v>
      </c>
    </row>
    <row r="51">
      <c r="A51" s="9" t="n">
        <v>49</v>
      </c>
      <c r="B51" s="8" t="n">
        <v>5</v>
      </c>
      <c r="C51" s="8" t="n">
        <v>1</v>
      </c>
      <c r="D51" s="8" t="n">
        <v>0</v>
      </c>
      <c r="E51" s="8" t="n">
        <v>4</v>
      </c>
      <c r="F51" s="8" t="n">
        <v>6</v>
      </c>
      <c r="G51" s="8" t="n">
        <v>52</v>
      </c>
      <c r="H51" s="8" t="n">
        <v>58</v>
      </c>
      <c r="I51" s="8">
        <f>$I50+$E51</f>
        <v/>
      </c>
      <c r="J51" s="8" t="n">
        <v>0</v>
      </c>
      <c r="K51" s="8" t="n">
        <v>33</v>
      </c>
    </row>
    <row r="52">
      <c r="A52" s="9" t="n">
        <v>50</v>
      </c>
      <c r="B52" s="8" t="n">
        <v>5</v>
      </c>
      <c r="C52" s="8" t="n">
        <v>2</v>
      </c>
      <c r="D52" s="8" t="n">
        <v>5</v>
      </c>
      <c r="E52" s="8" t="n">
        <v>0</v>
      </c>
      <c r="F52" s="8" t="n">
        <v>11</v>
      </c>
      <c r="G52" s="8" t="n">
        <v>48</v>
      </c>
      <c r="H52" s="8" t="n">
        <v>59</v>
      </c>
      <c r="I52" s="8">
        <f>$I51+$E52</f>
        <v/>
      </c>
      <c r="J52" s="8" t="n">
        <v>4</v>
      </c>
      <c r="K52" s="8" t="n">
        <v>37</v>
      </c>
    </row>
    <row r="53">
      <c r="A53" s="9" t="n">
        <v>51</v>
      </c>
      <c r="B53" s="8" t="n">
        <v>5</v>
      </c>
      <c r="C53" s="8" t="n">
        <v>3</v>
      </c>
      <c r="D53" s="8" t="n">
        <v>0</v>
      </c>
      <c r="E53" s="8" t="n">
        <v>6</v>
      </c>
      <c r="F53" s="8" t="n">
        <v>5</v>
      </c>
      <c r="G53" s="8" t="n">
        <v>54</v>
      </c>
      <c r="H53" s="8" t="n">
        <v>59</v>
      </c>
      <c r="I53" s="8">
        <f>$I52+$E53</f>
        <v/>
      </c>
      <c r="J53" s="8" t="n">
        <v>0</v>
      </c>
      <c r="K53" s="8" t="n">
        <v>37</v>
      </c>
    </row>
    <row r="54">
      <c r="A54" s="9" t="n">
        <v>52</v>
      </c>
      <c r="B54" s="8" t="n">
        <v>5</v>
      </c>
      <c r="C54" s="8" t="n">
        <v>4</v>
      </c>
      <c r="D54" s="8" t="n">
        <v>5</v>
      </c>
      <c r="E54" s="8" t="n">
        <v>0</v>
      </c>
      <c r="F54" s="8" t="n">
        <v>10</v>
      </c>
      <c r="G54" s="8" t="n">
        <v>54</v>
      </c>
      <c r="H54" s="8" t="n">
        <v>64</v>
      </c>
      <c r="I54" s="8">
        <f>$I53+$E54</f>
        <v/>
      </c>
      <c r="J54" s="8" t="n">
        <v>0</v>
      </c>
      <c r="K54" s="8" t="n">
        <v>37</v>
      </c>
    </row>
    <row r="55">
      <c r="A55" s="9" t="n">
        <v>53</v>
      </c>
      <c r="B55" s="8" t="n">
        <v>5</v>
      </c>
      <c r="C55" s="8" t="n">
        <v>5</v>
      </c>
      <c r="D55" s="8" t="n">
        <v>0</v>
      </c>
      <c r="E55" s="8" t="n">
        <v>5</v>
      </c>
      <c r="F55" s="8" t="n">
        <v>5</v>
      </c>
      <c r="G55" s="8" t="n">
        <v>54</v>
      </c>
      <c r="H55" s="8" t="n">
        <v>59</v>
      </c>
      <c r="I55" s="8">
        <f>$I54+$E55</f>
        <v/>
      </c>
      <c r="J55" s="8" t="n">
        <v>5</v>
      </c>
      <c r="K55" s="8" t="n">
        <v>42</v>
      </c>
    </row>
    <row r="56">
      <c r="A56" s="9" t="n">
        <v>54</v>
      </c>
      <c r="B56" s="8" t="n">
        <v>5</v>
      </c>
      <c r="C56" s="8" t="n">
        <v>6</v>
      </c>
      <c r="D56" s="8" t="n">
        <v>6</v>
      </c>
      <c r="E56" s="8" t="n">
        <v>0</v>
      </c>
      <c r="F56" s="8" t="n">
        <v>11</v>
      </c>
      <c r="G56" s="8" t="n">
        <v>54</v>
      </c>
      <c r="H56" s="8" t="n">
        <v>65</v>
      </c>
      <c r="I56" s="8">
        <f>$I55+$E56</f>
        <v/>
      </c>
      <c r="J56" s="8" t="n">
        <v>0</v>
      </c>
      <c r="K56" s="8" t="n">
        <v>42</v>
      </c>
    </row>
    <row r="57">
      <c r="A57" s="9" t="n">
        <v>55</v>
      </c>
      <c r="B57" s="8" t="n">
        <v>5</v>
      </c>
      <c r="C57" s="8" t="n">
        <v>7</v>
      </c>
      <c r="D57" s="8" t="n">
        <v>0</v>
      </c>
      <c r="E57" s="8" t="n">
        <v>5</v>
      </c>
      <c r="F57" s="8" t="n">
        <v>6</v>
      </c>
      <c r="G57" s="8" t="n">
        <v>55</v>
      </c>
      <c r="H57" s="8" t="n">
        <v>61</v>
      </c>
      <c r="I57" s="8">
        <f>$I56+$E57</f>
        <v/>
      </c>
      <c r="J57" s="8" t="n">
        <v>4</v>
      </c>
      <c r="K57" s="8" t="n">
        <v>46</v>
      </c>
    </row>
    <row r="58">
      <c r="A58" s="9" t="n">
        <v>56</v>
      </c>
      <c r="B58" s="8" t="n">
        <v>5</v>
      </c>
      <c r="C58" s="8" t="n">
        <v>8</v>
      </c>
      <c r="D58" s="8" t="n">
        <v>6</v>
      </c>
      <c r="E58" s="8" t="n">
        <v>0</v>
      </c>
      <c r="F58" s="8" t="n">
        <v>12</v>
      </c>
      <c r="G58" s="8" t="n">
        <v>55</v>
      </c>
      <c r="H58" s="8" t="n">
        <v>67</v>
      </c>
      <c r="I58" s="8">
        <f>$I57+$E58</f>
        <v/>
      </c>
      <c r="J58" s="8" t="n">
        <v>0</v>
      </c>
      <c r="K58" s="8" t="n">
        <v>46</v>
      </c>
    </row>
    <row r="59">
      <c r="A59" s="9" t="n">
        <v>57</v>
      </c>
      <c r="B59" s="8" t="n">
        <v>5</v>
      </c>
      <c r="C59" s="8" t="n">
        <v>9</v>
      </c>
      <c r="D59" s="8" t="n">
        <v>0</v>
      </c>
      <c r="E59" s="8" t="n">
        <v>6</v>
      </c>
      <c r="F59" s="8" t="n">
        <v>6</v>
      </c>
      <c r="G59" s="8" t="n">
        <v>57</v>
      </c>
      <c r="H59" s="8" t="n">
        <v>63</v>
      </c>
      <c r="I59" s="8">
        <f>$I58+$E59</f>
        <v/>
      </c>
      <c r="J59" s="8" t="n">
        <v>4</v>
      </c>
      <c r="K59" s="8" t="n">
        <v>50</v>
      </c>
    </row>
    <row r="60">
      <c r="A60" s="9" t="n">
        <v>58</v>
      </c>
      <c r="B60" s="8" t="n">
        <v>5</v>
      </c>
      <c r="C60" s="8" t="n">
        <v>10</v>
      </c>
      <c r="D60" s="8" t="n">
        <v>5</v>
      </c>
      <c r="E60" s="8" t="n">
        <v>0</v>
      </c>
      <c r="F60" s="8" t="n">
        <v>11</v>
      </c>
      <c r="G60" s="8" t="n">
        <v>57</v>
      </c>
      <c r="H60" s="8" t="n">
        <v>68</v>
      </c>
      <c r="I60" s="8">
        <f>$I59+$E60</f>
        <v/>
      </c>
      <c r="J60" s="8" t="n">
        <v>0</v>
      </c>
      <c r="K60" s="8" t="n">
        <v>50</v>
      </c>
    </row>
    <row r="61">
      <c r="A61" s="9" t="n">
        <v>59</v>
      </c>
      <c r="B61" s="8" t="n">
        <v>5</v>
      </c>
      <c r="C61" s="8" t="n">
        <v>11</v>
      </c>
      <c r="D61" s="8" t="n">
        <v>0</v>
      </c>
      <c r="E61" s="8" t="n">
        <v>6</v>
      </c>
      <c r="F61" s="8" t="n">
        <v>5</v>
      </c>
      <c r="G61" s="8" t="n">
        <v>59</v>
      </c>
      <c r="H61" s="8" t="n">
        <v>64</v>
      </c>
      <c r="I61" s="8">
        <f>$I60+$E61</f>
        <v/>
      </c>
      <c r="J61" s="8" t="n">
        <v>4</v>
      </c>
      <c r="K61" s="8" t="n">
        <v>54</v>
      </c>
    </row>
    <row r="62">
      <c r="A62" s="9" t="n">
        <v>60</v>
      </c>
      <c r="B62" s="8" t="n">
        <v>5</v>
      </c>
      <c r="C62" s="8" t="n">
        <v>12</v>
      </c>
      <c r="D62" s="8" t="n">
        <v>6</v>
      </c>
      <c r="E62" s="8" t="n">
        <v>0</v>
      </c>
      <c r="F62" s="8" t="n">
        <v>11</v>
      </c>
      <c r="G62" s="8" t="n">
        <v>59</v>
      </c>
      <c r="H62" s="8" t="n">
        <v>70</v>
      </c>
      <c r="I62" s="8">
        <f>$I61+$E62</f>
        <v/>
      </c>
      <c r="J62" s="8" t="n">
        <v>0</v>
      </c>
      <c r="K62" s="8" t="n">
        <v>54</v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0</v>
      </c>
      <c r="C3" s="10" t="n">
        <v>0</v>
      </c>
      <c r="D3" s="10" t="n">
        <v>120000</v>
      </c>
      <c r="E3" s="10" t="n">
        <v>82520</v>
      </c>
      <c r="F3" s="10">
        <f>IF(AND($A3&gt;=Assumptions!$B$33,$A3&lt;Assumptions!$B$33+Assumptions!$B$31),($O3+$C3)*Assumptions!$B$32,0)</f>
        <v/>
      </c>
      <c r="G3" s="10">
        <f>IF(AND($A3&gt;=Assumptions!$B$33,$A3&lt;Assumptions!$B$33+Assumptions!$B$31),MIN(($O3+$C3),Assumptions!$B$25-$F3),0)</f>
        <v/>
      </c>
      <c r="H3" s="10" t="n">
        <v>11993.6</v>
      </c>
      <c r="I3" s="10">
        <f>IF($A3&lt;Assumptions!$B$36,Assumptions!$B$34*Fleet_Schedule!$G3,ROUND(Assumptions!$B$34*(Fleet_Schedule!$G3-(Assumptions!$B$23/Assumptions!$B$4)),0))</f>
        <v/>
      </c>
      <c r="J3" s="10">
        <f>D3-E3-F3-G3-H3-I3</f>
        <v/>
      </c>
      <c r="K3" s="10" t="n">
        <v>0</v>
      </c>
      <c r="L3" s="10">
        <f>J3-K3</f>
        <v/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>
        <f>IF(AND($A4&gt;=Assumptions!$B$33,$A4&lt;Assumptions!$B$33+Assumptions!$B$31),($O4+$C4)*Assumptions!$B$32,0)</f>
        <v/>
      </c>
      <c r="G4" s="10">
        <f>IF(AND($A4&gt;=Assumptions!$B$33,$A4&lt;Assumptions!$B$33+Assumptions!$B$31),MIN(($O4+$C4),Assumptions!$B$25-$F4),0)</f>
        <v/>
      </c>
      <c r="H4" s="10" t="n">
        <v>11993.6</v>
      </c>
      <c r="I4" s="10">
        <f>IF($A4&lt;Assumptions!$B$36,Assumptions!$B$34*Fleet_Schedule!$G4,ROUND(Assumptions!$B$34*(Fleet_Schedule!$G4-(Assumptions!$B$23/Assumptions!$B$4)),0))</f>
        <v/>
      </c>
      <c r="J4" s="10">
        <f>D4-E4-F4-G4-H4-I4</f>
        <v/>
      </c>
      <c r="K4" s="10" t="n">
        <v>0</v>
      </c>
      <c r="L4" s="10">
        <f>J4-K4</f>
        <v/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>
        <f>IF(AND($A5&gt;=Assumptions!$B$33,$A5&lt;Assumptions!$B$33+Assumptions!$B$31),($O5+$C5)*Assumptions!$B$32,0)</f>
        <v/>
      </c>
      <c r="G5" s="10">
        <f>IF(AND($A5&gt;=Assumptions!$B$33,$A5&lt;Assumptions!$B$33+Assumptions!$B$31),MIN(($O5+$C5),Assumptions!$B$25-$F5),0)</f>
        <v/>
      </c>
      <c r="H5" s="10" t="n">
        <v>11993.6</v>
      </c>
      <c r="I5" s="10">
        <f>IF($A5&lt;Assumptions!$B$36,Assumptions!$B$34*Fleet_Schedule!$G5,ROUND(Assumptions!$B$34*(Fleet_Schedule!$G5-(Assumptions!$B$23/Assumptions!$B$4)),0))</f>
        <v/>
      </c>
      <c r="J5" s="10">
        <f>D5-E5-F5-G5-H5-I5</f>
        <v/>
      </c>
      <c r="K5" s="10" t="n">
        <v>0</v>
      </c>
      <c r="L5" s="10">
        <f>J5-K5</f>
        <v/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>
        <f>IF(AND($A6&gt;=Assumptions!$B$33,$A6&lt;Assumptions!$B$33+Assumptions!$B$31),($O6+$C6)*Assumptions!$B$32,0)</f>
        <v/>
      </c>
      <c r="G6" s="10">
        <f>IF(AND($A6&gt;=Assumptions!$B$33,$A6&lt;Assumptions!$B$33+Assumptions!$B$31),MIN(($O6+$C6),Assumptions!$B$25-$F6),0)</f>
        <v/>
      </c>
      <c r="H6" s="10" t="n">
        <v>11993.6</v>
      </c>
      <c r="I6" s="10">
        <f>IF($A6&lt;Assumptions!$B$36,Assumptions!$B$34*Fleet_Schedule!$G6,ROUND(Assumptions!$B$34*(Fleet_Schedule!$G6-(Assumptions!$B$23/Assumptions!$B$4)),0))</f>
        <v/>
      </c>
      <c r="J6" s="10">
        <f>D6-E6-F6-G6-H6-I6</f>
        <v/>
      </c>
      <c r="K6" s="10" t="n">
        <v>0</v>
      </c>
      <c r="L6" s="10">
        <f>J6-K6</f>
        <v/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250000</v>
      </c>
      <c r="C7" s="10" t="n">
        <v>250000</v>
      </c>
      <c r="D7" s="10" t="n">
        <v>620000</v>
      </c>
      <c r="E7" s="10" t="n">
        <v>82520</v>
      </c>
      <c r="F7" s="10">
        <f>IF(AND($A7&gt;=Assumptions!$B$33,$A7&lt;Assumptions!$B$33+Assumptions!$B$31),($O7+$C7)*Assumptions!$B$32,0)</f>
        <v/>
      </c>
      <c r="G7" s="10">
        <f>IF(AND($A7&gt;=Assumptions!$B$33,$A7&lt;Assumptions!$B$33+Assumptions!$B$31),MIN(($O7+$C7),Assumptions!$B$25-$F7),0)</f>
        <v/>
      </c>
      <c r="H7" s="10" t="n">
        <v>11993.6</v>
      </c>
      <c r="I7" s="10">
        <f>IF($A7&lt;Assumptions!$B$36,Assumptions!$B$34*Fleet_Schedule!$G7,ROUND(Assumptions!$B$34*(Fleet_Schedule!$G7-(Assumptions!$B$23/Assumptions!$B$4)),0))</f>
        <v/>
      </c>
      <c r="J7" s="10">
        <f>D7-E7-F7-G7-H7-I7</f>
        <v/>
      </c>
      <c r="K7" s="10" t="n">
        <v>540000</v>
      </c>
      <c r="L7" s="10">
        <f>J7-K7</f>
        <v/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>
        <f>IF(AND($A8&gt;=Assumptions!$B$33,$A8&lt;Assumptions!$B$33+Assumptions!$B$31),($O8+$C8)*Assumptions!$B$32,0)</f>
        <v/>
      </c>
      <c r="G8" s="10">
        <f>IF(AND($A8&gt;=Assumptions!$B$33,$A8&lt;Assumptions!$B$33+Assumptions!$B$31),MIN(($O8+$C8),Assumptions!$B$25-$F8),0)</f>
        <v/>
      </c>
      <c r="H8" s="10" t="n">
        <v>11993.6</v>
      </c>
      <c r="I8" s="10">
        <f>IF($A8&lt;Assumptions!$B$36,Assumptions!$B$34*Fleet_Schedule!$G8,ROUND(Assumptions!$B$34*(Fleet_Schedule!$G8-(Assumptions!$B$23/Assumptions!$B$4)),0))</f>
        <v/>
      </c>
      <c r="J8" s="10">
        <f>D8-E8-F8-G8-H8-I8</f>
        <v/>
      </c>
      <c r="K8" s="10" t="n">
        <v>0</v>
      </c>
      <c r="L8" s="10">
        <f>J8-K8</f>
        <v/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>
        <f>IF(AND($A9&gt;=Assumptions!$B$33,$A9&lt;Assumptions!$B$33+Assumptions!$B$31),($O9+$C9)*Assumptions!$B$32,0)</f>
        <v/>
      </c>
      <c r="G9" s="10">
        <f>IF(AND($A9&gt;=Assumptions!$B$33,$A9&lt;Assumptions!$B$33+Assumptions!$B$31),MIN(($O9+$C9),Assumptions!$B$25-$F9),0)</f>
        <v/>
      </c>
      <c r="H9" s="10" t="n">
        <v>11993.6</v>
      </c>
      <c r="I9" s="10">
        <f>IF($A9&lt;Assumptions!$B$36,Assumptions!$B$34*Fleet_Schedule!$G9,ROUND(Assumptions!$B$34*(Fleet_Schedule!$G9-(Assumptions!$B$23/Assumptions!$B$4)),0))</f>
        <v/>
      </c>
      <c r="J9" s="10">
        <f>D9-E9-F9-G9-H9-I9</f>
        <v/>
      </c>
      <c r="K9" s="10" t="n">
        <v>0</v>
      </c>
      <c r="L9" s="10">
        <f>J9-K9</f>
        <v/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>
        <f>IF(AND($A10&gt;=Assumptions!$B$33,$A10&lt;Assumptions!$B$33+Assumptions!$B$31),($O10+$C10)*Assumptions!$B$32,0)</f>
        <v/>
      </c>
      <c r="G10" s="10">
        <f>IF(AND($A10&gt;=Assumptions!$B$33,$A10&lt;Assumptions!$B$33+Assumptions!$B$31),MIN(($O10+$C10),Assumptions!$B$25-$F10),0)</f>
        <v/>
      </c>
      <c r="H10" s="10" t="n">
        <v>38979.2</v>
      </c>
      <c r="I10" s="10">
        <f>IF($A10&lt;Assumptions!$B$36,Assumptions!$B$34*Fleet_Schedule!$G10,ROUND(Assumptions!$B$34*(Fleet_Schedule!$G10-(Assumptions!$B$23/Assumptions!$B$4)),0))</f>
        <v/>
      </c>
      <c r="J10" s="10">
        <f>D10-E10-F10-G10-H10-I10</f>
        <v/>
      </c>
      <c r="K10" s="10" t="n">
        <v>0</v>
      </c>
      <c r="L10" s="10">
        <f>J10-K10</f>
        <v/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>
        <f>IF(AND($A11&gt;=Assumptions!$B$33,$A11&lt;Assumptions!$B$33+Assumptions!$B$31),($O11+$C11)*Assumptions!$B$32,0)</f>
        <v/>
      </c>
      <c r="G11" s="10">
        <f>IF(AND($A11&gt;=Assumptions!$B$33,$A11&lt;Assumptions!$B$33+Assumptions!$B$31),MIN(($O11+$C11),Assumptions!$B$25-$F11),0)</f>
        <v/>
      </c>
      <c r="H11" s="10" t="n">
        <v>38979.2</v>
      </c>
      <c r="I11" s="10">
        <f>IF($A11&lt;Assumptions!$B$36,Assumptions!$B$34*Fleet_Schedule!$G11,ROUND(Assumptions!$B$34*(Fleet_Schedule!$G11-(Assumptions!$B$23/Assumptions!$B$4)),0))</f>
        <v/>
      </c>
      <c r="J11" s="10">
        <f>D11-E11-F11-G11-H11-I11</f>
        <v/>
      </c>
      <c r="K11" s="10" t="n">
        <v>0</v>
      </c>
      <c r="L11" s="10">
        <f>J11-K11</f>
        <v/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>
        <f>IF(AND($A12&gt;=Assumptions!$B$33,$A12&lt;Assumptions!$B$33+Assumptions!$B$31),($O12+$C12)*Assumptions!$B$32,0)</f>
        <v/>
      </c>
      <c r="G12" s="10">
        <f>IF(AND($A12&gt;=Assumptions!$B$33,$A12&lt;Assumptions!$B$33+Assumptions!$B$31),MIN(($O12+$C12),Assumptions!$B$25-$F12),0)</f>
        <v/>
      </c>
      <c r="H12" s="10" t="n">
        <v>38979.2</v>
      </c>
      <c r="I12" s="10">
        <f>IF($A12&lt;Assumptions!$B$36,Assumptions!$B$34*Fleet_Schedule!$G12,ROUND(Assumptions!$B$34*(Fleet_Schedule!$G12-(Assumptions!$B$23/Assumptions!$B$4)),0))</f>
        <v/>
      </c>
      <c r="J12" s="10">
        <f>D12-E12-F12-G12-H12-I12</f>
        <v/>
      </c>
      <c r="K12" s="10" t="n">
        <v>240000</v>
      </c>
      <c r="L12" s="10">
        <f>J12-K12</f>
        <v/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>
        <f>IF(AND($A13&gt;=Assumptions!$B$33,$A13&lt;Assumptions!$B$33+Assumptions!$B$31),($O13+$C13)*Assumptions!$B$32,0)</f>
        <v/>
      </c>
      <c r="G13" s="10">
        <f>IF(AND($A13&gt;=Assumptions!$B$33,$A13&lt;Assumptions!$B$33+Assumptions!$B$31),MIN(($O13+$C13),Assumptions!$B$25-$F13),0)</f>
        <v/>
      </c>
      <c r="H13" s="10" t="n">
        <v>38979.2</v>
      </c>
      <c r="I13" s="10">
        <f>IF($A13&lt;Assumptions!$B$36,Assumptions!$B$34*Fleet_Schedule!$G13,ROUND(Assumptions!$B$34*(Fleet_Schedule!$G13-(Assumptions!$B$23/Assumptions!$B$4)),0))</f>
        <v/>
      </c>
      <c r="J13" s="10">
        <f>D13-E13-F13-G13-H13-I13</f>
        <v/>
      </c>
      <c r="K13" s="10" t="n">
        <v>0</v>
      </c>
      <c r="L13" s="10">
        <f>J13-K13</f>
        <v/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390000</v>
      </c>
      <c r="E14" s="10" t="n">
        <v>268190</v>
      </c>
      <c r="F14" s="10">
        <f>IF(AND($A14&gt;=Assumptions!$B$33,$A14&lt;Assumptions!$B$33+Assumptions!$B$31),($O14+$C14)*Assumptions!$B$32,0)</f>
        <v/>
      </c>
      <c r="G14" s="10">
        <f>IF(AND($A14&gt;=Assumptions!$B$33,$A14&lt;Assumptions!$B$33+Assumptions!$B$31),MIN(($O14+$C14),Assumptions!$B$25-$F14),0)</f>
        <v/>
      </c>
      <c r="H14" s="10" t="n">
        <v>38979.2</v>
      </c>
      <c r="I14" s="10">
        <f>IF($A14&lt;Assumptions!$B$36,Assumptions!$B$34*Fleet_Schedule!$G14,ROUND(Assumptions!$B$34*(Fleet_Schedule!$G14-(Assumptions!$B$23/Assumptions!$B$4)),0))</f>
        <v/>
      </c>
      <c r="J14" s="10">
        <f>D14-E14-F14-G14-H14-I14</f>
        <v/>
      </c>
      <c r="K14" s="10" t="n">
        <v>0</v>
      </c>
      <c r="L14" s="10">
        <f>J14-K14</f>
        <v/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510000</v>
      </c>
      <c r="E15" s="10" t="n">
        <v>350710</v>
      </c>
      <c r="F15" s="10">
        <f>IF(AND($A15&gt;=Assumptions!$B$33,$A15&lt;Assumptions!$B$33+Assumptions!$B$31),($O15+$C15)*Assumptions!$B$32,0)</f>
        <v/>
      </c>
      <c r="G15" s="10">
        <f>IF(AND($A15&gt;=Assumptions!$B$33,$A15&lt;Assumptions!$B$33+Assumptions!$B$31),MIN(($O15+$C15),Assumptions!$B$25-$F15),0)</f>
        <v/>
      </c>
      <c r="H15" s="10" t="n">
        <v>50972.8</v>
      </c>
      <c r="I15" s="10">
        <f>IF($A15&lt;Assumptions!$B$36,Assumptions!$B$34*Fleet_Schedule!$G15,ROUND(Assumptions!$B$34*(Fleet_Schedule!$G15-(Assumptions!$B$23/Assumptions!$B$4)),0))</f>
        <v/>
      </c>
      <c r="J15" s="10">
        <f>D15-E15-F15-G15-H15-I15</f>
        <v/>
      </c>
      <c r="K15" s="10" t="n">
        <v>240000</v>
      </c>
      <c r="L15" s="10">
        <f>J15-K15</f>
        <v/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510000</v>
      </c>
      <c r="E16" s="10" t="n">
        <v>350710</v>
      </c>
      <c r="F16" s="10">
        <f>IF(AND($A16&gt;=Assumptions!$B$33,$A16&lt;Assumptions!$B$33+Assumptions!$B$31),($O16+$C16)*Assumptions!$B$32,0)</f>
        <v/>
      </c>
      <c r="G16" s="10">
        <f>IF(AND($A16&gt;=Assumptions!$B$33,$A16&lt;Assumptions!$B$33+Assumptions!$B$31),MIN(($O16+$C16),Assumptions!$B$25-$F16),0)</f>
        <v/>
      </c>
      <c r="H16" s="10" t="n">
        <v>50972.8</v>
      </c>
      <c r="I16" s="10">
        <f>IF($A16&lt;Assumptions!$B$36,Assumptions!$B$34*Fleet_Schedule!$G16,ROUND(Assumptions!$B$34*(Fleet_Schedule!$G16-(Assumptions!$B$23/Assumptions!$B$4)),0))</f>
        <v/>
      </c>
      <c r="J16" s="10">
        <f>D16-E16-F16-G16-H16-I16</f>
        <v/>
      </c>
      <c r="K16" s="10" t="n">
        <v>0</v>
      </c>
      <c r="L16" s="10">
        <f>J16-K16</f>
        <v/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510000</v>
      </c>
      <c r="E17" s="10" t="n">
        <v>350710</v>
      </c>
      <c r="F17" s="10">
        <f>IF(AND($A17&gt;=Assumptions!$B$33,$A17&lt;Assumptions!$B$33+Assumptions!$B$31),($O17+$C17)*Assumptions!$B$32,0)</f>
        <v/>
      </c>
      <c r="G17" s="10">
        <f>IF(AND($A17&gt;=Assumptions!$B$33,$A17&lt;Assumptions!$B$33+Assumptions!$B$31),MIN(($O17+$C17),Assumptions!$B$25-$F17),0)</f>
        <v/>
      </c>
      <c r="H17" s="10" t="n">
        <v>50972.8</v>
      </c>
      <c r="I17" s="10">
        <f>IF($A17&lt;Assumptions!$B$36,Assumptions!$B$34*Fleet_Schedule!$G17,ROUND(Assumptions!$B$34*(Fleet_Schedule!$G17-(Assumptions!$B$23/Assumptions!$B$4)),0))</f>
        <v/>
      </c>
      <c r="J17" s="10">
        <f>D17-E17-F17-G17-H17-I17</f>
        <v/>
      </c>
      <c r="K17" s="10" t="n">
        <v>0</v>
      </c>
      <c r="L17" s="10">
        <f>J17-K17</f>
        <v/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630000</v>
      </c>
      <c r="E18" s="10" t="n">
        <v>433230</v>
      </c>
      <c r="F18" s="10">
        <f>IF(AND($A18&gt;=Assumptions!$B$33,$A18&lt;Assumptions!$B$33+Assumptions!$B$31),($O18+$C18)*Assumptions!$B$32,0)</f>
        <v/>
      </c>
      <c r="G18" s="10">
        <f>IF(AND($A18&gt;=Assumptions!$B$33,$A18&lt;Assumptions!$B$33+Assumptions!$B$31),MIN(($O18+$C18),Assumptions!$B$25-$F18),0)</f>
        <v/>
      </c>
      <c r="H18" s="10" t="n">
        <v>62966.4</v>
      </c>
      <c r="I18" s="10">
        <f>IF($A18&lt;Assumptions!$B$36,Assumptions!$B$34*Fleet_Schedule!$G18,ROUND(Assumptions!$B$34*(Fleet_Schedule!$G18-(Assumptions!$B$23/Assumptions!$B$4)),0))</f>
        <v/>
      </c>
      <c r="J18" s="10">
        <f>D18-E18-F18-G18-H18-I18</f>
        <v/>
      </c>
      <c r="K18" s="10" t="n">
        <v>240000</v>
      </c>
      <c r="L18" s="10">
        <f>J18-K18</f>
        <v/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630000</v>
      </c>
      <c r="E19" s="10" t="n">
        <v>433230</v>
      </c>
      <c r="F19" s="10">
        <f>IF(AND($A19&gt;=Assumptions!$B$33,$A19&lt;Assumptions!$B$33+Assumptions!$B$31),($O19+$C19)*Assumptions!$B$32,0)</f>
        <v/>
      </c>
      <c r="G19" s="10">
        <f>IF(AND($A19&gt;=Assumptions!$B$33,$A19&lt;Assumptions!$B$33+Assumptions!$B$31),MIN(($O19+$C19),Assumptions!$B$25-$F19),0)</f>
        <v/>
      </c>
      <c r="H19" s="10" t="n">
        <v>62966.4</v>
      </c>
      <c r="I19" s="10">
        <f>IF($A19&lt;Assumptions!$B$36,Assumptions!$B$34*Fleet_Schedule!$G19,ROUND(Assumptions!$B$34*(Fleet_Schedule!$G19-(Assumptions!$B$23/Assumptions!$B$4)),0))</f>
        <v/>
      </c>
      <c r="J19" s="10">
        <f>D19-E19-F19-G19-H19-I19</f>
        <v/>
      </c>
      <c r="K19" s="10" t="n">
        <v>0</v>
      </c>
      <c r="L19" s="10">
        <f>J19-K19</f>
        <v/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630000</v>
      </c>
      <c r="E20" s="10" t="n">
        <v>433230</v>
      </c>
      <c r="F20" s="10">
        <f>IF(AND($A20&gt;=Assumptions!$B$33,$A20&lt;Assumptions!$B$33+Assumptions!$B$31),($O20+$C20)*Assumptions!$B$32,0)</f>
        <v/>
      </c>
      <c r="G20" s="10">
        <f>IF(AND($A20&gt;=Assumptions!$B$33,$A20&lt;Assumptions!$B$33+Assumptions!$B$31),MIN(($O20+$C20),Assumptions!$B$25-$F20),0)</f>
        <v/>
      </c>
      <c r="H20" s="10" t="n">
        <v>62966.4</v>
      </c>
      <c r="I20" s="10">
        <f>IF($A20&lt;Assumptions!$B$36,Assumptions!$B$34*Fleet_Schedule!$G20,ROUND(Assumptions!$B$34*(Fleet_Schedule!$G20-(Assumptions!$B$23/Assumptions!$B$4)),0))</f>
        <v/>
      </c>
      <c r="J20" s="10">
        <f>D20-E20-F20-G20-H20-I20</f>
        <v/>
      </c>
      <c r="K20" s="10" t="n">
        <v>240000</v>
      </c>
      <c r="L20" s="10">
        <f>J20-K20</f>
        <v/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750000</v>
      </c>
      <c r="E21" s="10" t="n">
        <v>515750</v>
      </c>
      <c r="F21" s="10">
        <f>IF(AND($A21&gt;=Assumptions!$B$33,$A21&lt;Assumptions!$B$33+Assumptions!$B$31),($O21+$C21)*Assumptions!$B$32,0)</f>
        <v/>
      </c>
      <c r="G21" s="10">
        <f>IF(AND($A21&gt;=Assumptions!$B$33,$A21&lt;Assumptions!$B$33+Assumptions!$B$31),MIN(($O21+$C21),Assumptions!$B$25-$F21),0)</f>
        <v/>
      </c>
      <c r="H21" s="10" t="n">
        <v>74960</v>
      </c>
      <c r="I21" s="10">
        <f>IF($A21&lt;Assumptions!$B$36,Assumptions!$B$34*Fleet_Schedule!$G21,ROUND(Assumptions!$B$34*(Fleet_Schedule!$G21-(Assumptions!$B$23/Assumptions!$B$4)),0))</f>
        <v/>
      </c>
      <c r="J21" s="10">
        <f>D21-E21-F21-G21-H21-I21</f>
        <v/>
      </c>
      <c r="K21" s="10" t="n">
        <v>0</v>
      </c>
      <c r="L21" s="10">
        <f>J21-K21</f>
        <v/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750000</v>
      </c>
      <c r="E22" s="10" t="n">
        <v>515750</v>
      </c>
      <c r="F22" s="10">
        <f>IF(AND($A22&gt;=Assumptions!$B$33,$A22&lt;Assumptions!$B$33+Assumptions!$B$31),($O22+$C22)*Assumptions!$B$32,0)</f>
        <v/>
      </c>
      <c r="G22" s="10">
        <f>IF(AND($A22&gt;=Assumptions!$B$33,$A22&lt;Assumptions!$B$33+Assumptions!$B$31),MIN(($O22+$C22),Assumptions!$B$25-$F22),0)</f>
        <v/>
      </c>
      <c r="H22" s="10" t="n">
        <v>74960</v>
      </c>
      <c r="I22" s="10">
        <f>IF($A22&lt;Assumptions!$B$36,Assumptions!$B$34*Fleet_Schedule!$G22,ROUND(Assumptions!$B$34*(Fleet_Schedule!$G22-(Assumptions!$B$23/Assumptions!$B$4)),0))</f>
        <v/>
      </c>
      <c r="J22" s="10">
        <f>D22-E22-F22-G22-H22-I22</f>
        <v/>
      </c>
      <c r="K22" s="10" t="n">
        <v>0</v>
      </c>
      <c r="L22" s="10">
        <f>J22-K22</f>
        <v/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870000</v>
      </c>
      <c r="E23" s="10" t="n">
        <v>598270</v>
      </c>
      <c r="F23" s="10">
        <f>IF(AND($A23&gt;=Assumptions!$B$33,$A23&lt;Assumptions!$B$33+Assumptions!$B$31),($O23+$C23)*Assumptions!$B$32,0)</f>
        <v/>
      </c>
      <c r="G23" s="10">
        <f>IF(AND($A23&gt;=Assumptions!$B$33,$A23&lt;Assumptions!$B$33+Assumptions!$B$31),MIN(($O23+$C23),Assumptions!$B$25-$F23),0)</f>
        <v/>
      </c>
      <c r="H23" s="10" t="n">
        <v>86953.60000000001</v>
      </c>
      <c r="I23" s="10">
        <f>IF($A23&lt;Assumptions!$B$36,Assumptions!$B$34*Fleet_Schedule!$G23,ROUND(Assumptions!$B$34*(Fleet_Schedule!$G23-(Assumptions!$B$23/Assumptions!$B$4)),0))</f>
        <v/>
      </c>
      <c r="J23" s="10">
        <f>D23-E23-F23-G23-H23-I23</f>
        <v/>
      </c>
      <c r="K23" s="10" t="n">
        <v>240000</v>
      </c>
      <c r="L23" s="10">
        <f>J23-K23</f>
        <v/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870000</v>
      </c>
      <c r="E24" s="10" t="n">
        <v>598270</v>
      </c>
      <c r="F24" s="10">
        <f>IF(AND($A24&gt;=Assumptions!$B$33,$A24&lt;Assumptions!$B$33+Assumptions!$B$31),($O24+$C24)*Assumptions!$B$32,0)</f>
        <v/>
      </c>
      <c r="G24" s="10">
        <f>IF(AND($A24&gt;=Assumptions!$B$33,$A24&lt;Assumptions!$B$33+Assumptions!$B$31),MIN(($O24+$C24),Assumptions!$B$25-$F24),0)</f>
        <v/>
      </c>
      <c r="H24" s="10" t="n">
        <v>86953.60000000001</v>
      </c>
      <c r="I24" s="10">
        <f>IF($A24&lt;Assumptions!$B$36,Assumptions!$B$34*Fleet_Schedule!$G24,ROUND(Assumptions!$B$34*(Fleet_Schedule!$G24-(Assumptions!$B$23/Assumptions!$B$4)),0))</f>
        <v/>
      </c>
      <c r="J24" s="10">
        <f>D24-E24-F24-G24-H24-I24</f>
        <v/>
      </c>
      <c r="K24" s="10" t="n">
        <v>0</v>
      </c>
      <c r="L24" s="10">
        <f>J24-K24</f>
        <v/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870000</v>
      </c>
      <c r="E25" s="10" t="n">
        <v>598270</v>
      </c>
      <c r="F25" s="10">
        <f>IF(AND($A25&gt;=Assumptions!$B$33,$A25&lt;Assumptions!$B$33+Assumptions!$B$31),($O25+$C25)*Assumptions!$B$32,0)</f>
        <v/>
      </c>
      <c r="G25" s="10">
        <f>IF(AND($A25&gt;=Assumptions!$B$33,$A25&lt;Assumptions!$B$33+Assumptions!$B$31),MIN(($O25+$C25),Assumptions!$B$25-$F25),0)</f>
        <v/>
      </c>
      <c r="H25" s="10" t="n">
        <v>86953.60000000001</v>
      </c>
      <c r="I25" s="10">
        <f>IF($A25&lt;Assumptions!$B$36,Assumptions!$B$34*Fleet_Schedule!$G25,ROUND(Assumptions!$B$34*(Fleet_Schedule!$G25-(Assumptions!$B$23/Assumptions!$B$4)),0))</f>
        <v/>
      </c>
      <c r="J25" s="10">
        <f>D25-E25-F25-G25-H25-I25</f>
        <v/>
      </c>
      <c r="K25" s="10" t="n">
        <v>240000</v>
      </c>
      <c r="L25" s="10">
        <f>J25-K25</f>
        <v/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990000</v>
      </c>
      <c r="E26" s="10" t="n">
        <v>680790</v>
      </c>
      <c r="F26" s="10">
        <f>IF(AND($A26&gt;=Assumptions!$B$33,$A26&lt;Assumptions!$B$33+Assumptions!$B$31),($O26+$C26)*Assumptions!$B$32,0)</f>
        <v/>
      </c>
      <c r="G26" s="10">
        <f>IF(AND($A26&gt;=Assumptions!$B$33,$A26&lt;Assumptions!$B$33+Assumptions!$B$31),MIN(($O26+$C26),Assumptions!$B$25-$F26),0)</f>
        <v/>
      </c>
      <c r="H26" s="10" t="n">
        <v>98947.2</v>
      </c>
      <c r="I26" s="10">
        <f>IF($A26&lt;Assumptions!$B$36,Assumptions!$B$34*Fleet_Schedule!$G26,ROUND(Assumptions!$B$34*(Fleet_Schedule!$G26-(Assumptions!$B$23/Assumptions!$B$4)),0))</f>
        <v/>
      </c>
      <c r="J26" s="10">
        <f>D26-E26-F26-G26-H26-I26</f>
        <v/>
      </c>
      <c r="K26" s="10" t="n">
        <v>0</v>
      </c>
      <c r="L26" s="10">
        <f>J26-K26</f>
        <v/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870000</v>
      </c>
      <c r="E27" s="10" t="n">
        <v>598270</v>
      </c>
      <c r="F27" s="10">
        <f>IF(AND($A27&gt;=Assumptions!$B$33,$A27&lt;Assumptions!$B$33+Assumptions!$B$31),($O27+$C27)*Assumptions!$B$32,0)</f>
        <v/>
      </c>
      <c r="G27" s="10">
        <f>IF(AND($A27&gt;=Assumptions!$B$33,$A27&lt;Assumptions!$B$33+Assumptions!$B$31),MIN(($O27+$C27),Assumptions!$B$25-$F27),0)</f>
        <v/>
      </c>
      <c r="H27" s="10" t="n">
        <v>86953.60000000001</v>
      </c>
      <c r="I27" s="10">
        <f>IF($A27&lt;Assumptions!$B$36,Assumptions!$B$34*Fleet_Schedule!$G27,ROUND(Assumptions!$B$34*(Fleet_Schedule!$G27-(Assumptions!$B$23/Assumptions!$B$4)),0))</f>
        <v/>
      </c>
      <c r="J27" s="10">
        <f>D27-E27-F27-G27-H27-I27</f>
        <v/>
      </c>
      <c r="K27" s="10" t="n">
        <v>0</v>
      </c>
      <c r="L27" s="10">
        <f>J27-K27</f>
        <v/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990000</v>
      </c>
      <c r="E28" s="10" t="n">
        <v>680790</v>
      </c>
      <c r="F28" s="10">
        <f>IF(AND($A28&gt;=Assumptions!$B$33,$A28&lt;Assumptions!$B$33+Assumptions!$B$31),($O28+$C28)*Assumptions!$B$32,0)</f>
        <v/>
      </c>
      <c r="G28" s="10">
        <f>IF(AND($A28&gt;=Assumptions!$B$33,$A28&lt;Assumptions!$B$33+Assumptions!$B$31),MIN(($O28+$C28),Assumptions!$B$25-$F28),0)</f>
        <v/>
      </c>
      <c r="H28" s="10" t="n">
        <v>98947.2</v>
      </c>
      <c r="I28" s="10">
        <f>IF($A28&lt;Assumptions!$B$36,Assumptions!$B$34*Fleet_Schedule!$G28,ROUND(Assumptions!$B$34*(Fleet_Schedule!$G28-(Assumptions!$B$23/Assumptions!$B$4)),0))</f>
        <v/>
      </c>
      <c r="J28" s="10">
        <f>D28-E28-F28-G28-H28-I28</f>
        <v/>
      </c>
      <c r="K28" s="10" t="n">
        <v>300000</v>
      </c>
      <c r="L28" s="10">
        <f>J28-K28</f>
        <v/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990000</v>
      </c>
      <c r="E29" s="10" t="n">
        <v>680790</v>
      </c>
      <c r="F29" s="10">
        <f>IF(AND($A29&gt;=Assumptions!$B$33,$A29&lt;Assumptions!$B$33+Assumptions!$B$31),($O29+$C29)*Assumptions!$B$32,0)</f>
        <v/>
      </c>
      <c r="G29" s="10">
        <f>IF(AND($A29&gt;=Assumptions!$B$33,$A29&lt;Assumptions!$B$33+Assumptions!$B$31),MIN(($O29+$C29),Assumptions!$B$25-$F29),0)</f>
        <v/>
      </c>
      <c r="H29" s="10" t="n">
        <v>98947.2</v>
      </c>
      <c r="I29" s="10">
        <f>IF($A29&lt;Assumptions!$B$36,Assumptions!$B$34*Fleet_Schedule!$G29,ROUND(Assumptions!$B$34*(Fleet_Schedule!$G29-(Assumptions!$B$23/Assumptions!$B$4)),0))</f>
        <v/>
      </c>
      <c r="J29" s="10">
        <f>D29-E29-F29-G29-H29-I29</f>
        <v/>
      </c>
      <c r="K29" s="10" t="n">
        <v>0</v>
      </c>
      <c r="L29" s="10">
        <f>J29-K29</f>
        <v/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990000</v>
      </c>
      <c r="E30" s="10" t="n">
        <v>680790</v>
      </c>
      <c r="F30" s="10">
        <f>IF(AND($A30&gt;=Assumptions!$B$33,$A30&lt;Assumptions!$B$33+Assumptions!$B$31),($O30+$C30)*Assumptions!$B$32,0)</f>
        <v/>
      </c>
      <c r="G30" s="10">
        <f>IF(AND($A30&gt;=Assumptions!$B$33,$A30&lt;Assumptions!$B$33+Assumptions!$B$31),MIN(($O30+$C30),Assumptions!$B$25-$F30),0)</f>
        <v/>
      </c>
      <c r="H30" s="10" t="n">
        <v>98947.2</v>
      </c>
      <c r="I30" s="10">
        <f>IF($A30&lt;Assumptions!$B$36,Assumptions!$B$34*Fleet_Schedule!$G30,ROUND(Assumptions!$B$34*(Fleet_Schedule!$G30-(Assumptions!$B$23/Assumptions!$B$4)),0))</f>
        <v/>
      </c>
      <c r="J30" s="10">
        <f>D30-E30-F30-G30-H30-I30</f>
        <v/>
      </c>
      <c r="K30" s="10" t="n">
        <v>240000</v>
      </c>
      <c r="L30" s="10">
        <f>J30-K30</f>
        <v/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1140000</v>
      </c>
      <c r="E31" s="10" t="n">
        <v>783940</v>
      </c>
      <c r="F31" s="10">
        <f>IF(AND($A31&gt;=Assumptions!$B$33,$A31&lt;Assumptions!$B$33+Assumptions!$B$31),($O31+$C31)*Assumptions!$B$32,0)</f>
        <v/>
      </c>
      <c r="G31" s="10">
        <f>IF(AND($A31&gt;=Assumptions!$B$33,$A31&lt;Assumptions!$B$33+Assumptions!$B$31),MIN(($O31+$C31),Assumptions!$B$25-$F31),0)</f>
        <v/>
      </c>
      <c r="H31" s="10" t="n">
        <v>113939.2</v>
      </c>
      <c r="I31" s="10">
        <f>IF($A31&lt;Assumptions!$B$36,Assumptions!$B$34*Fleet_Schedule!$G31,ROUND(Assumptions!$B$34*(Fleet_Schedule!$G31-(Assumptions!$B$23/Assumptions!$B$4)),0))</f>
        <v/>
      </c>
      <c r="J31" s="10">
        <f>D31-E31-F31-G31-H31-I31</f>
        <v/>
      </c>
      <c r="K31" s="10" t="n">
        <v>0</v>
      </c>
      <c r="L31" s="10">
        <f>J31-K31</f>
        <v/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1140000</v>
      </c>
      <c r="E32" s="10" t="n">
        <v>783940</v>
      </c>
      <c r="F32" s="10">
        <f>IF(AND($A32&gt;=Assumptions!$B$33,$A32&lt;Assumptions!$B$33+Assumptions!$B$31),($O32+$C32)*Assumptions!$B$32,0)</f>
        <v/>
      </c>
      <c r="G32" s="10">
        <f>IF(AND($A32&gt;=Assumptions!$B$33,$A32&lt;Assumptions!$B$33+Assumptions!$B$31),MIN(($O32+$C32),Assumptions!$B$25-$F32),0)</f>
        <v/>
      </c>
      <c r="H32" s="10" t="n">
        <v>113939.2</v>
      </c>
      <c r="I32" s="10">
        <f>IF($A32&lt;Assumptions!$B$36,Assumptions!$B$34*Fleet_Schedule!$G32,ROUND(Assumptions!$B$34*(Fleet_Schedule!$G32-(Assumptions!$B$23/Assumptions!$B$4)),0))</f>
        <v/>
      </c>
      <c r="J32" s="10">
        <f>D32-E32-F32-G32-H32-I32</f>
        <v/>
      </c>
      <c r="K32" s="10" t="n">
        <v>240000</v>
      </c>
      <c r="L32" s="10">
        <f>J32-K32</f>
        <v/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1260000</v>
      </c>
      <c r="E33" s="10" t="n">
        <v>866460</v>
      </c>
      <c r="F33" s="10">
        <f>IF(AND($A33&gt;=Assumptions!$B$33,$A33&lt;Assumptions!$B$33+Assumptions!$B$31),($O33+$C33)*Assumptions!$B$32,0)</f>
        <v/>
      </c>
      <c r="G33" s="10">
        <f>IF(AND($A33&gt;=Assumptions!$B$33,$A33&lt;Assumptions!$B$33+Assumptions!$B$31),MIN(($O33+$C33),Assumptions!$B$25-$F33),0)</f>
        <v/>
      </c>
      <c r="H33" s="10" t="n">
        <v>125932.8</v>
      </c>
      <c r="I33" s="10">
        <f>IF($A33&lt;Assumptions!$B$36,Assumptions!$B$34*Fleet_Schedule!$G33,ROUND(Assumptions!$B$34*(Fleet_Schedule!$G33-(Assumptions!$B$23/Assumptions!$B$4)),0))</f>
        <v/>
      </c>
      <c r="J33" s="10">
        <f>D33-E33-F33-G33-H33-I33</f>
        <v/>
      </c>
      <c r="K33" s="10" t="n">
        <v>0</v>
      </c>
      <c r="L33" s="10">
        <f>J33-K33</f>
        <v/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990000</v>
      </c>
      <c r="E34" s="10" t="n">
        <v>680790</v>
      </c>
      <c r="F34" s="10">
        <f>IF(AND($A34&gt;=Assumptions!$B$33,$A34&lt;Assumptions!$B$33+Assumptions!$B$31),($O34+$C34)*Assumptions!$B$32,0)</f>
        <v/>
      </c>
      <c r="G34" s="10">
        <f>IF(AND($A34&gt;=Assumptions!$B$33,$A34&lt;Assumptions!$B$33+Assumptions!$B$31),MIN(($O34+$C34),Assumptions!$B$25-$F34),0)</f>
        <v/>
      </c>
      <c r="H34" s="10" t="n">
        <v>98947.2</v>
      </c>
      <c r="I34" s="10">
        <f>IF($A34&lt;Assumptions!$B$36,Assumptions!$B$34*Fleet_Schedule!$G34,ROUND(Assumptions!$B$34*(Fleet_Schedule!$G34-(Assumptions!$B$23/Assumptions!$B$4)),0))</f>
        <v/>
      </c>
      <c r="J34" s="10">
        <f>D34-E34-F34-G34-H34-I34</f>
        <v/>
      </c>
      <c r="K34" s="10" t="n">
        <v>240000</v>
      </c>
      <c r="L34" s="10">
        <f>J34-K34</f>
        <v/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1110000</v>
      </c>
      <c r="E35" s="10" t="n">
        <v>763310</v>
      </c>
      <c r="F35" s="10">
        <f>IF(AND($A35&gt;=Assumptions!$B$33,$A35&lt;Assumptions!$B$33+Assumptions!$B$31),($O35+$C35)*Assumptions!$B$32,0)</f>
        <v/>
      </c>
      <c r="G35" s="10">
        <f>IF(AND($A35&gt;=Assumptions!$B$33,$A35&lt;Assumptions!$B$33+Assumptions!$B$31),MIN(($O35+$C35),Assumptions!$B$25-$F35),0)</f>
        <v/>
      </c>
      <c r="H35" s="10" t="n">
        <v>110940.8</v>
      </c>
      <c r="I35" s="10">
        <f>IF($A35&lt;Assumptions!$B$36,Assumptions!$B$34*Fleet_Schedule!$G35,ROUND(Assumptions!$B$34*(Fleet_Schedule!$G35-(Assumptions!$B$23/Assumptions!$B$4)),0))</f>
        <v/>
      </c>
      <c r="J35" s="10">
        <f>D35-E35-F35-G35-H35-I35</f>
        <v/>
      </c>
      <c r="K35" s="10" t="n">
        <v>0</v>
      </c>
      <c r="L35" s="10">
        <f>J35-K35</f>
        <v/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1110000</v>
      </c>
      <c r="E36" s="10" t="n">
        <v>763310</v>
      </c>
      <c r="F36" s="10">
        <f>IF(AND($A36&gt;=Assumptions!$B$33,$A36&lt;Assumptions!$B$33+Assumptions!$B$31),($O36+$C36)*Assumptions!$B$32,0)</f>
        <v/>
      </c>
      <c r="G36" s="10">
        <f>IF(AND($A36&gt;=Assumptions!$B$33,$A36&lt;Assumptions!$B$33+Assumptions!$B$31),MIN(($O36+$C36),Assumptions!$B$25-$F36),0)</f>
        <v/>
      </c>
      <c r="H36" s="10" t="n">
        <v>110940.8</v>
      </c>
      <c r="I36" s="10">
        <f>IF($A36&lt;Assumptions!$B$36,Assumptions!$B$34*Fleet_Schedule!$G36,ROUND(Assumptions!$B$34*(Fleet_Schedule!$G36-(Assumptions!$B$23/Assumptions!$B$4)),0))</f>
        <v/>
      </c>
      <c r="J36" s="10">
        <f>D36-E36-F36-G36-H36-I36</f>
        <v/>
      </c>
      <c r="K36" s="10" t="n">
        <v>240000</v>
      </c>
      <c r="L36" s="10">
        <f>J36-K36</f>
        <v/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1230000</v>
      </c>
      <c r="E37" s="10" t="n">
        <v>845830</v>
      </c>
      <c r="F37" s="10">
        <f>IF(AND($A37&gt;=Assumptions!$B$33,$A37&lt;Assumptions!$B$33+Assumptions!$B$31),($O37+$C37)*Assumptions!$B$32,0)</f>
        <v/>
      </c>
      <c r="G37" s="10">
        <f>IF(AND($A37&gt;=Assumptions!$B$33,$A37&lt;Assumptions!$B$33+Assumptions!$B$31),MIN(($O37+$C37),Assumptions!$B$25-$F37),0)</f>
        <v/>
      </c>
      <c r="H37" s="10" t="n">
        <v>122934.4</v>
      </c>
      <c r="I37" s="10">
        <f>IF($A37&lt;Assumptions!$B$36,Assumptions!$B$34*Fleet_Schedule!$G37,ROUND(Assumptions!$B$34*(Fleet_Schedule!$G37-(Assumptions!$B$23/Assumptions!$B$4)),0))</f>
        <v/>
      </c>
      <c r="J37" s="10">
        <f>D37-E37-F37-G37-H37-I37</f>
        <v/>
      </c>
      <c r="K37" s="10" t="n">
        <v>0</v>
      </c>
      <c r="L37" s="10">
        <f>J37-K37</f>
        <v/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1230000</v>
      </c>
      <c r="E38" s="10" t="n">
        <v>845830</v>
      </c>
      <c r="F38" s="10">
        <f>IF(AND($A38&gt;=Assumptions!$B$33,$A38&lt;Assumptions!$B$33+Assumptions!$B$31),($O38+$C38)*Assumptions!$B$32,0)</f>
        <v/>
      </c>
      <c r="G38" s="10">
        <f>IF(AND($A38&gt;=Assumptions!$B$33,$A38&lt;Assumptions!$B$33+Assumptions!$B$31),MIN(($O38+$C38),Assumptions!$B$25-$F38),0)</f>
        <v/>
      </c>
      <c r="H38" s="10" t="n">
        <v>122934.4</v>
      </c>
      <c r="I38" s="10">
        <f>IF($A38&lt;Assumptions!$B$36,Assumptions!$B$34*Fleet_Schedule!$G38,ROUND(Assumptions!$B$34*(Fleet_Schedule!$G38-(Assumptions!$B$23/Assumptions!$B$4)),0))</f>
        <v/>
      </c>
      <c r="J38" s="10">
        <f>D38-E38-F38-G38-H38-I38</f>
        <v/>
      </c>
      <c r="K38" s="10" t="n">
        <v>240000</v>
      </c>
      <c r="L38" s="10">
        <f>J38-K38</f>
        <v/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1230000</v>
      </c>
      <c r="E39" s="10" t="n">
        <v>845830</v>
      </c>
      <c r="F39" s="10">
        <f>IF(AND($A39&gt;=Assumptions!$B$33,$A39&lt;Assumptions!$B$33+Assumptions!$B$31),($O39+$C39)*Assumptions!$B$32,0)</f>
        <v/>
      </c>
      <c r="G39" s="10">
        <f>IF(AND($A39&gt;=Assumptions!$B$33,$A39&lt;Assumptions!$B$33+Assumptions!$B$31),MIN(($O39+$C39),Assumptions!$B$25-$F39),0)</f>
        <v/>
      </c>
      <c r="H39" s="10" t="n">
        <v>122934.4</v>
      </c>
      <c r="I39" s="10">
        <f>IF($A39&lt;Assumptions!$B$36,Assumptions!$B$34*Fleet_Schedule!$G39,ROUND(Assumptions!$B$34*(Fleet_Schedule!$G39-(Assumptions!$B$23/Assumptions!$B$4)),0))</f>
        <v/>
      </c>
      <c r="J39" s="10">
        <f>D39-E39-F39-G39-H39-I39</f>
        <v/>
      </c>
      <c r="K39" s="10" t="n">
        <v>0</v>
      </c>
      <c r="L39" s="10">
        <f>J39-K39</f>
        <v/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1230000</v>
      </c>
      <c r="E40" s="10" t="n">
        <v>845830</v>
      </c>
      <c r="F40" s="10">
        <f>IF(AND($A40&gt;=Assumptions!$B$33,$A40&lt;Assumptions!$B$33+Assumptions!$B$31),($O40+$C40)*Assumptions!$B$32,0)</f>
        <v/>
      </c>
      <c r="G40" s="10">
        <f>IF(AND($A40&gt;=Assumptions!$B$33,$A40&lt;Assumptions!$B$33+Assumptions!$B$31),MIN(($O40+$C40),Assumptions!$B$25-$F40),0)</f>
        <v/>
      </c>
      <c r="H40" s="10" t="n">
        <v>122934.4</v>
      </c>
      <c r="I40" s="10">
        <f>IF($A40&lt;Assumptions!$B$36,Assumptions!$B$34*Fleet_Schedule!$G40,ROUND(Assumptions!$B$34*(Fleet_Schedule!$G40-(Assumptions!$B$23/Assumptions!$B$4)),0))</f>
        <v/>
      </c>
      <c r="J40" s="10">
        <f>D40-E40-F40-G40-H40-I40</f>
        <v/>
      </c>
      <c r="K40" s="10" t="n">
        <v>240000</v>
      </c>
      <c r="L40" s="10">
        <f>J40-K40</f>
        <v/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1350000</v>
      </c>
      <c r="E41" s="10" t="n">
        <v>928350</v>
      </c>
      <c r="F41" s="10">
        <f>IF(AND($A41&gt;=Assumptions!$B$33,$A41&lt;Assumptions!$B$33+Assumptions!$B$31),($O41+$C41)*Assumptions!$B$32,0)</f>
        <v/>
      </c>
      <c r="G41" s="10">
        <f>IF(AND($A41&gt;=Assumptions!$B$33,$A41&lt;Assumptions!$B$33+Assumptions!$B$31),MIN(($O41+$C41),Assumptions!$B$25-$F41),0)</f>
        <v/>
      </c>
      <c r="H41" s="10" t="n">
        <v>134928</v>
      </c>
      <c r="I41" s="10">
        <f>IF($A41&lt;Assumptions!$B$36,Assumptions!$B$34*Fleet_Schedule!$G41,ROUND(Assumptions!$B$34*(Fleet_Schedule!$G41-(Assumptions!$B$23/Assumptions!$B$4)),0))</f>
        <v/>
      </c>
      <c r="J41" s="10">
        <f>D41-E41-F41-G41-H41-I41</f>
        <v/>
      </c>
      <c r="K41" s="10" t="n">
        <v>0</v>
      </c>
      <c r="L41" s="10">
        <f>J41-K41</f>
        <v/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1230000</v>
      </c>
      <c r="E42" s="10" t="n">
        <v>845830</v>
      </c>
      <c r="F42" s="10">
        <f>IF(AND($A42&gt;=Assumptions!$B$33,$A42&lt;Assumptions!$B$33+Assumptions!$B$31),($O42+$C42)*Assumptions!$B$32,0)</f>
        <v/>
      </c>
      <c r="G42" s="10">
        <f>IF(AND($A42&gt;=Assumptions!$B$33,$A42&lt;Assumptions!$B$33+Assumptions!$B$31),MIN(($O42+$C42),Assumptions!$B$25-$F42),0)</f>
        <v/>
      </c>
      <c r="H42" s="10" t="n">
        <v>122934.4</v>
      </c>
      <c r="I42" s="10">
        <f>IF($A42&lt;Assumptions!$B$36,Assumptions!$B$34*Fleet_Schedule!$G42,ROUND(Assumptions!$B$34*(Fleet_Schedule!$G42-(Assumptions!$B$23/Assumptions!$B$4)),0))</f>
        <v/>
      </c>
      <c r="J42" s="10">
        <f>D42-E42-F42-G42-H42-I42</f>
        <v/>
      </c>
      <c r="K42" s="10" t="n">
        <v>300000</v>
      </c>
      <c r="L42" s="10">
        <f>J42-K42</f>
        <v/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1350000</v>
      </c>
      <c r="E43" s="10" t="n">
        <v>928350</v>
      </c>
      <c r="F43" s="10">
        <f>IF(AND($A43&gt;=Assumptions!$B$33,$A43&lt;Assumptions!$B$33+Assumptions!$B$31),($O43+$C43)*Assumptions!$B$32,0)</f>
        <v/>
      </c>
      <c r="G43" s="10">
        <f>IF(AND($A43&gt;=Assumptions!$B$33,$A43&lt;Assumptions!$B$33+Assumptions!$B$31),MIN(($O43+$C43),Assumptions!$B$25-$F43),0)</f>
        <v/>
      </c>
      <c r="H43" s="10" t="n">
        <v>134928</v>
      </c>
      <c r="I43" s="10">
        <f>IF($A43&lt;Assumptions!$B$36,Assumptions!$B$34*Fleet_Schedule!$G43,ROUND(Assumptions!$B$34*(Fleet_Schedule!$G43-(Assumptions!$B$23/Assumptions!$B$4)),0))</f>
        <v/>
      </c>
      <c r="J43" s="10">
        <f>D43-E43-F43-G43-H43-I43</f>
        <v/>
      </c>
      <c r="K43" s="10" t="n">
        <v>0</v>
      </c>
      <c r="L43" s="10">
        <f>J43-K43</f>
        <v/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1350000</v>
      </c>
      <c r="E44" s="10" t="n">
        <v>928350</v>
      </c>
      <c r="F44" s="10">
        <f>IF(AND($A44&gt;=Assumptions!$B$33,$A44&lt;Assumptions!$B$33+Assumptions!$B$31),($O44+$C44)*Assumptions!$B$32,0)</f>
        <v/>
      </c>
      <c r="G44" s="10">
        <f>IF(AND($A44&gt;=Assumptions!$B$33,$A44&lt;Assumptions!$B$33+Assumptions!$B$31),MIN(($O44+$C44),Assumptions!$B$25-$F44),0)</f>
        <v/>
      </c>
      <c r="H44" s="10" t="n">
        <v>134928</v>
      </c>
      <c r="I44" s="10">
        <f>IF($A44&lt;Assumptions!$B$36,Assumptions!$B$34*Fleet_Schedule!$G44,ROUND(Assumptions!$B$34*(Fleet_Schedule!$G44-(Assumptions!$B$23/Assumptions!$B$4)),0))</f>
        <v/>
      </c>
      <c r="J44" s="10">
        <f>D44-E44-F44-G44-H44-I44</f>
        <v/>
      </c>
      <c r="K44" s="10" t="n">
        <v>300000</v>
      </c>
      <c r="L44" s="10">
        <f>J44-K44</f>
        <v/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1380000</v>
      </c>
      <c r="E45" s="10" t="n">
        <v>948980</v>
      </c>
      <c r="F45" s="10">
        <f>IF(AND($A45&gt;=Assumptions!$B$33,$A45&lt;Assumptions!$B$33+Assumptions!$B$31),($O45+$C45)*Assumptions!$B$32,0)</f>
        <v/>
      </c>
      <c r="G45" s="10">
        <f>IF(AND($A45&gt;=Assumptions!$B$33,$A45&lt;Assumptions!$B$33+Assumptions!$B$31),MIN(($O45+$C45),Assumptions!$B$25-$F45),0)</f>
        <v/>
      </c>
      <c r="H45" s="10" t="n">
        <v>137926.4</v>
      </c>
      <c r="I45" s="10">
        <f>IF($A45&lt;Assumptions!$B$36,Assumptions!$B$34*Fleet_Schedule!$G45,ROUND(Assumptions!$B$34*(Fleet_Schedule!$G45-(Assumptions!$B$23/Assumptions!$B$4)),0))</f>
        <v/>
      </c>
      <c r="J45" s="10">
        <f>D45-E45-F45-G45-H45-I45</f>
        <v/>
      </c>
      <c r="K45" s="10" t="n">
        <v>0</v>
      </c>
      <c r="L45" s="10">
        <f>J45-K45</f>
        <v/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1380000</v>
      </c>
      <c r="E46" s="10" t="n">
        <v>948980</v>
      </c>
      <c r="F46" s="10">
        <f>IF(AND($A46&gt;=Assumptions!$B$33,$A46&lt;Assumptions!$B$33+Assumptions!$B$31),($O46+$C46)*Assumptions!$B$32,0)</f>
        <v/>
      </c>
      <c r="G46" s="10">
        <f>IF(AND($A46&gt;=Assumptions!$B$33,$A46&lt;Assumptions!$B$33+Assumptions!$B$31),MIN(($O46+$C46),Assumptions!$B$25-$F46),0)</f>
        <v/>
      </c>
      <c r="H46" s="10" t="n">
        <v>137926.4</v>
      </c>
      <c r="I46" s="10">
        <f>IF($A46&lt;Assumptions!$B$36,Assumptions!$B$34*Fleet_Schedule!$G46,ROUND(Assumptions!$B$34*(Fleet_Schedule!$G46-(Assumptions!$B$23/Assumptions!$B$4)),0))</f>
        <v/>
      </c>
      <c r="J46" s="10">
        <f>D46-E46-F46-G46-H46-I46</f>
        <v/>
      </c>
      <c r="K46" s="10" t="n">
        <v>300000</v>
      </c>
      <c r="L46" s="10">
        <f>J46-K46</f>
        <v/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1410000</v>
      </c>
      <c r="E47" s="10" t="n">
        <v>969610</v>
      </c>
      <c r="F47" s="10">
        <f>IF(AND($A47&gt;=Assumptions!$B$33,$A47&lt;Assumptions!$B$33+Assumptions!$B$31),($O47+$C47)*Assumptions!$B$32,0)</f>
        <v/>
      </c>
      <c r="G47" s="10">
        <f>IF(AND($A47&gt;=Assumptions!$B$33,$A47&lt;Assumptions!$B$33+Assumptions!$B$31),MIN(($O47+$C47),Assumptions!$B$25-$F47),0)</f>
        <v/>
      </c>
      <c r="H47" s="10" t="n">
        <v>140924.8</v>
      </c>
      <c r="I47" s="10">
        <f>IF($A47&lt;Assumptions!$B$36,Assumptions!$B$34*Fleet_Schedule!$G47,ROUND(Assumptions!$B$34*(Fleet_Schedule!$G47-(Assumptions!$B$23/Assumptions!$B$4)),0))</f>
        <v/>
      </c>
      <c r="J47" s="10">
        <f>D47-E47-F47-G47-H47-I47</f>
        <v/>
      </c>
      <c r="K47" s="10" t="n">
        <v>0</v>
      </c>
      <c r="L47" s="10">
        <f>J47-K47</f>
        <v/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1410000</v>
      </c>
      <c r="E48" s="10" t="n">
        <v>969610</v>
      </c>
      <c r="F48" s="10">
        <f>IF(AND($A48&gt;=Assumptions!$B$33,$A48&lt;Assumptions!$B$33+Assumptions!$B$31),($O48+$C48)*Assumptions!$B$32,0)</f>
        <v/>
      </c>
      <c r="G48" s="10">
        <f>IF(AND($A48&gt;=Assumptions!$B$33,$A48&lt;Assumptions!$B$33+Assumptions!$B$31),MIN(($O48+$C48),Assumptions!$B$25-$F48),0)</f>
        <v/>
      </c>
      <c r="H48" s="10" t="n">
        <v>140924.8</v>
      </c>
      <c r="I48" s="10">
        <f>IF($A48&lt;Assumptions!$B$36,Assumptions!$B$34*Fleet_Schedule!$G48,ROUND(Assumptions!$B$34*(Fleet_Schedule!$G48-(Assumptions!$B$23/Assumptions!$B$4)),0))</f>
        <v/>
      </c>
      <c r="J48" s="10">
        <f>D48-E48-F48-G48-H48-I48</f>
        <v/>
      </c>
      <c r="K48" s="10" t="n">
        <v>240000</v>
      </c>
      <c r="L48" s="10">
        <f>J48-K48</f>
        <v/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1560000</v>
      </c>
      <c r="E49" s="10" t="n">
        <v>1072760</v>
      </c>
      <c r="F49" s="10">
        <f>IF(AND($A49&gt;=Assumptions!$B$33,$A49&lt;Assumptions!$B$33+Assumptions!$B$31),($O49+$C49)*Assumptions!$B$32,0)</f>
        <v/>
      </c>
      <c r="G49" s="10">
        <f>IF(AND($A49&gt;=Assumptions!$B$33,$A49&lt;Assumptions!$B$33+Assumptions!$B$31),MIN(($O49+$C49),Assumptions!$B$25-$F49),0)</f>
        <v/>
      </c>
      <c r="H49" s="10" t="n">
        <v>155916.8</v>
      </c>
      <c r="I49" s="10">
        <f>IF($A49&lt;Assumptions!$B$36,Assumptions!$B$34*Fleet_Schedule!$G49,ROUND(Assumptions!$B$34*(Fleet_Schedule!$G49-(Assumptions!$B$23/Assumptions!$B$4)),0))</f>
        <v/>
      </c>
      <c r="J49" s="10">
        <f>D49-E49-F49-G49-H49-I49</f>
        <v/>
      </c>
      <c r="K49" s="10" t="n">
        <v>0</v>
      </c>
      <c r="L49" s="10">
        <f>J49-K49</f>
        <v/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1440000</v>
      </c>
      <c r="E50" s="10" t="n">
        <v>990240</v>
      </c>
      <c r="F50" s="10">
        <f>IF(AND($A50&gt;=Assumptions!$B$33,$A50&lt;Assumptions!$B$33+Assumptions!$B$31),($O50+$C50)*Assumptions!$B$32,0)</f>
        <v/>
      </c>
      <c r="G50" s="10">
        <f>IF(AND($A50&gt;=Assumptions!$B$33,$A50&lt;Assumptions!$B$33+Assumptions!$B$31),MIN(($O50+$C50),Assumptions!$B$25-$F50),0)</f>
        <v/>
      </c>
      <c r="H50" s="10" t="n">
        <v>143923.2</v>
      </c>
      <c r="I50" s="10">
        <f>IF($A50&lt;Assumptions!$B$36,Assumptions!$B$34*Fleet_Schedule!$G50,ROUND(Assumptions!$B$34*(Fleet_Schedule!$G50-(Assumptions!$B$23/Assumptions!$B$4)),0))</f>
        <v/>
      </c>
      <c r="J50" s="10">
        <f>D50-E50-F50-G50-H50-I50</f>
        <v/>
      </c>
      <c r="K50" s="10" t="n">
        <v>360000</v>
      </c>
      <c r="L50" s="10">
        <f>J50-K50</f>
        <v/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1560000</v>
      </c>
      <c r="E51" s="10" t="n">
        <v>1072760</v>
      </c>
      <c r="F51" s="10">
        <f>IF(AND($A51&gt;=Assumptions!$B$33,$A51&lt;Assumptions!$B$33+Assumptions!$B$31),($O51+$C51)*Assumptions!$B$32,0)</f>
        <v/>
      </c>
      <c r="G51" s="10">
        <f>IF(AND($A51&gt;=Assumptions!$B$33,$A51&lt;Assumptions!$B$33+Assumptions!$B$31),MIN(($O51+$C51),Assumptions!$B$25-$F51),0)</f>
        <v/>
      </c>
      <c r="H51" s="10" t="n">
        <v>155916.8</v>
      </c>
      <c r="I51" s="10">
        <f>IF($A51&lt;Assumptions!$B$36,Assumptions!$B$34*Fleet_Schedule!$G51,ROUND(Assumptions!$B$34*(Fleet_Schedule!$G51-(Assumptions!$B$23/Assumptions!$B$4)),0))</f>
        <v/>
      </c>
      <c r="J51" s="10">
        <f>D51-E51-F51-G51-H51-I51</f>
        <v/>
      </c>
      <c r="K51" s="10" t="n">
        <v>0</v>
      </c>
      <c r="L51" s="10">
        <f>J51-K51</f>
        <v/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1440000</v>
      </c>
      <c r="E52" s="10" t="n">
        <v>990240</v>
      </c>
      <c r="F52" s="10">
        <f>IF(AND($A52&gt;=Assumptions!$B$33,$A52&lt;Assumptions!$B$33+Assumptions!$B$31),($O52+$C52)*Assumptions!$B$32,0)</f>
        <v/>
      </c>
      <c r="G52" s="10">
        <f>IF(AND($A52&gt;=Assumptions!$B$33,$A52&lt;Assumptions!$B$33+Assumptions!$B$31),MIN(($O52+$C52),Assumptions!$B$25-$F52),0)</f>
        <v/>
      </c>
      <c r="H52" s="10" t="n">
        <v>143923.2</v>
      </c>
      <c r="I52" s="10">
        <f>IF($A52&lt;Assumptions!$B$36,Assumptions!$B$34*Fleet_Schedule!$G52,ROUND(Assumptions!$B$34*(Fleet_Schedule!$G52-(Assumptions!$B$23/Assumptions!$B$4)),0))</f>
        <v/>
      </c>
      <c r="J52" s="10">
        <f>D52-E52-F52-G52-H52-I52</f>
        <v/>
      </c>
      <c r="K52" s="10" t="n">
        <v>300000</v>
      </c>
      <c r="L52" s="10">
        <f>J52-K52</f>
        <v/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1620000</v>
      </c>
      <c r="E53" s="10" t="n">
        <v>1114020</v>
      </c>
      <c r="F53" s="10">
        <f>IF(AND($A53&gt;=Assumptions!$B$33,$A53&lt;Assumptions!$B$33+Assumptions!$B$31),($O53+$C53)*Assumptions!$B$32,0)</f>
        <v/>
      </c>
      <c r="G53" s="10">
        <f>IF(AND($A53&gt;=Assumptions!$B$33,$A53&lt;Assumptions!$B$33+Assumptions!$B$31),MIN(($O53+$C53),Assumptions!$B$25-$F53),0)</f>
        <v/>
      </c>
      <c r="H53" s="10" t="n">
        <v>161913.6</v>
      </c>
      <c r="I53" s="10">
        <f>IF($A53&lt;Assumptions!$B$36,Assumptions!$B$34*Fleet_Schedule!$G53,ROUND(Assumptions!$B$34*(Fleet_Schedule!$G53-(Assumptions!$B$23/Assumptions!$B$4)),0))</f>
        <v/>
      </c>
      <c r="J53" s="10">
        <f>D53-E53-F53-G53-H53-I53</f>
        <v/>
      </c>
      <c r="K53" s="10" t="n">
        <v>0</v>
      </c>
      <c r="L53" s="10">
        <f>J53-K53</f>
        <v/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1620000</v>
      </c>
      <c r="E54" s="10" t="n">
        <v>1114020</v>
      </c>
      <c r="F54" s="10">
        <f>IF(AND($A54&gt;=Assumptions!$B$33,$A54&lt;Assumptions!$B$33+Assumptions!$B$31),($O54+$C54)*Assumptions!$B$32,0)</f>
        <v/>
      </c>
      <c r="G54" s="10">
        <f>IF(AND($A54&gt;=Assumptions!$B$33,$A54&lt;Assumptions!$B$33+Assumptions!$B$31),MIN(($O54+$C54),Assumptions!$B$25-$F54),0)</f>
        <v/>
      </c>
      <c r="H54" s="10" t="n">
        <v>161913.6</v>
      </c>
      <c r="I54" s="10">
        <f>IF($A54&lt;Assumptions!$B$36,Assumptions!$B$34*Fleet_Schedule!$G54,ROUND(Assumptions!$B$34*(Fleet_Schedule!$G54-(Assumptions!$B$23/Assumptions!$B$4)),0))</f>
        <v/>
      </c>
      <c r="J54" s="10">
        <f>D54-E54-F54-G54-H54-I54</f>
        <v/>
      </c>
      <c r="K54" s="10" t="n">
        <v>300000</v>
      </c>
      <c r="L54" s="10">
        <f>J54-K54</f>
        <v/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1620000</v>
      </c>
      <c r="E55" s="10" t="n">
        <v>1114020</v>
      </c>
      <c r="F55" s="10">
        <f>IF(AND($A55&gt;=Assumptions!$B$33,$A55&lt;Assumptions!$B$33+Assumptions!$B$31),($O55+$C55)*Assumptions!$B$32,0)</f>
        <v/>
      </c>
      <c r="G55" s="10">
        <f>IF(AND($A55&gt;=Assumptions!$B$33,$A55&lt;Assumptions!$B$33+Assumptions!$B$31),MIN(($O55+$C55),Assumptions!$B$25-$F55),0)</f>
        <v/>
      </c>
      <c r="H55" s="10" t="n">
        <v>161913.6</v>
      </c>
      <c r="I55" s="10">
        <f>IF($A55&lt;Assumptions!$B$36,Assumptions!$B$34*Fleet_Schedule!$G55,ROUND(Assumptions!$B$34*(Fleet_Schedule!$G55-(Assumptions!$B$23/Assumptions!$B$4)),0))</f>
        <v/>
      </c>
      <c r="J55" s="10">
        <f>D55-E55-F55-G55-H55-I55</f>
        <v/>
      </c>
      <c r="K55" s="10" t="n">
        <v>0</v>
      </c>
      <c r="L55" s="10">
        <f>J55-K55</f>
        <v/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1620000</v>
      </c>
      <c r="E56" s="10" t="n">
        <v>1114020</v>
      </c>
      <c r="F56" s="10">
        <f>IF(AND($A56&gt;=Assumptions!$B$33,$A56&lt;Assumptions!$B$33+Assumptions!$B$31),($O56+$C56)*Assumptions!$B$32,0)</f>
        <v/>
      </c>
      <c r="G56" s="10">
        <f>IF(AND($A56&gt;=Assumptions!$B$33,$A56&lt;Assumptions!$B$33+Assumptions!$B$31),MIN(($O56+$C56),Assumptions!$B$25-$F56),0)</f>
        <v/>
      </c>
      <c r="H56" s="10" t="n">
        <v>161913.6</v>
      </c>
      <c r="I56" s="10">
        <f>IF($A56&lt;Assumptions!$B$36,Assumptions!$B$34*Fleet_Schedule!$G56,ROUND(Assumptions!$B$34*(Fleet_Schedule!$G56-(Assumptions!$B$23/Assumptions!$B$4)),0))</f>
        <v/>
      </c>
      <c r="J56" s="10">
        <f>D56-E56-F56-G56-H56-I56</f>
        <v/>
      </c>
      <c r="K56" s="10" t="n">
        <v>360000</v>
      </c>
      <c r="L56" s="10">
        <f>J56-K56</f>
        <v/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1650000</v>
      </c>
      <c r="E57" s="10" t="n">
        <v>1134650</v>
      </c>
      <c r="F57" s="10">
        <f>IF(AND($A57&gt;=Assumptions!$B$33,$A57&lt;Assumptions!$B$33+Assumptions!$B$31),($O57+$C57)*Assumptions!$B$32,0)</f>
        <v/>
      </c>
      <c r="G57" s="10">
        <f>IF(AND($A57&gt;=Assumptions!$B$33,$A57&lt;Assumptions!$B$33+Assumptions!$B$31),MIN(($O57+$C57),Assumptions!$B$25-$F57),0)</f>
        <v/>
      </c>
      <c r="H57" s="10" t="n">
        <v>164912</v>
      </c>
      <c r="I57" s="10">
        <f>IF($A57&lt;Assumptions!$B$36,Assumptions!$B$34*Fleet_Schedule!$G57,ROUND(Assumptions!$B$34*(Fleet_Schedule!$G57-(Assumptions!$B$23/Assumptions!$B$4)),0))</f>
        <v/>
      </c>
      <c r="J57" s="10">
        <f>D57-E57-F57-G57-H57-I57</f>
        <v/>
      </c>
      <c r="K57" s="10" t="n">
        <v>0</v>
      </c>
      <c r="L57" s="10">
        <f>J57-K57</f>
        <v/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1650000</v>
      </c>
      <c r="E58" s="10" t="n">
        <v>1134650</v>
      </c>
      <c r="F58" s="10">
        <f>IF(AND($A58&gt;=Assumptions!$B$33,$A58&lt;Assumptions!$B$33+Assumptions!$B$31),($O58+$C58)*Assumptions!$B$32,0)</f>
        <v/>
      </c>
      <c r="G58" s="10">
        <f>IF(AND($A58&gt;=Assumptions!$B$33,$A58&lt;Assumptions!$B$33+Assumptions!$B$31),MIN(($O58+$C58),Assumptions!$B$25-$F58),0)</f>
        <v/>
      </c>
      <c r="H58" s="10" t="n">
        <v>164912</v>
      </c>
      <c r="I58" s="10">
        <f>IF($A58&lt;Assumptions!$B$36,Assumptions!$B$34*Fleet_Schedule!$G58,ROUND(Assumptions!$B$34*(Fleet_Schedule!$G58-(Assumptions!$B$23/Assumptions!$B$4)),0))</f>
        <v/>
      </c>
      <c r="J58" s="10">
        <f>D58-E58-F58-G58-H58-I58</f>
        <v/>
      </c>
      <c r="K58" s="10" t="n">
        <v>360000</v>
      </c>
      <c r="L58" s="10">
        <f>J58-K58</f>
        <v/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1710000</v>
      </c>
      <c r="E59" s="10" t="n">
        <v>1175910</v>
      </c>
      <c r="F59" s="10">
        <f>IF(AND($A59&gt;=Assumptions!$B$33,$A59&lt;Assumptions!$B$33+Assumptions!$B$31),($O59+$C59)*Assumptions!$B$32,0)</f>
        <v/>
      </c>
      <c r="G59" s="10">
        <f>IF(AND($A59&gt;=Assumptions!$B$33,$A59&lt;Assumptions!$B$33+Assumptions!$B$31),MIN(($O59+$C59),Assumptions!$B$25-$F59),0)</f>
        <v/>
      </c>
      <c r="H59" s="10" t="n">
        <v>170908.8</v>
      </c>
      <c r="I59" s="10">
        <f>IF($A59&lt;Assumptions!$B$36,Assumptions!$B$34*Fleet_Schedule!$G59,ROUND(Assumptions!$B$34*(Fleet_Schedule!$G59-(Assumptions!$B$23/Assumptions!$B$4)),0))</f>
        <v/>
      </c>
      <c r="J59" s="10">
        <f>D59-E59-F59-G59-H59-I59</f>
        <v/>
      </c>
      <c r="K59" s="10" t="n">
        <v>0</v>
      </c>
      <c r="L59" s="10">
        <f>J59-K59</f>
        <v/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1710000</v>
      </c>
      <c r="E60" s="10" t="n">
        <v>1175910</v>
      </c>
      <c r="F60" s="10">
        <f>IF(AND($A60&gt;=Assumptions!$B$33,$A60&lt;Assumptions!$B$33+Assumptions!$B$31),($O60+$C60)*Assumptions!$B$32,0)</f>
        <v/>
      </c>
      <c r="G60" s="10">
        <f>IF(AND($A60&gt;=Assumptions!$B$33,$A60&lt;Assumptions!$B$33+Assumptions!$B$31),MIN(($O60+$C60),Assumptions!$B$25-$F60),0)</f>
        <v/>
      </c>
      <c r="H60" s="10" t="n">
        <v>170908.8</v>
      </c>
      <c r="I60" s="10">
        <f>IF($A60&lt;Assumptions!$B$36,Assumptions!$B$34*Fleet_Schedule!$G60,ROUND(Assumptions!$B$34*(Fleet_Schedule!$G60-(Assumptions!$B$23/Assumptions!$B$4)),0))</f>
        <v/>
      </c>
      <c r="J60" s="10">
        <f>D60-E60-F60-G60-H60-I60</f>
        <v/>
      </c>
      <c r="K60" s="10" t="n">
        <v>300000</v>
      </c>
      <c r="L60" s="10">
        <f>J60-K60</f>
        <v/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1770000</v>
      </c>
      <c r="E61" s="10" t="n">
        <v>1217170</v>
      </c>
      <c r="F61" s="10">
        <f>IF(AND($A61&gt;=Assumptions!$B$33,$A61&lt;Assumptions!$B$33+Assumptions!$B$31),($O61+$C61)*Assumptions!$B$32,0)</f>
        <v/>
      </c>
      <c r="G61" s="10">
        <f>IF(AND($A61&gt;=Assumptions!$B$33,$A61&lt;Assumptions!$B$33+Assumptions!$B$31),MIN(($O61+$C61),Assumptions!$B$25-$F61),0)</f>
        <v/>
      </c>
      <c r="H61" s="10" t="n">
        <v>176905.6</v>
      </c>
      <c r="I61" s="10">
        <f>IF($A61&lt;Assumptions!$B$36,Assumptions!$B$34*Fleet_Schedule!$G61,ROUND(Assumptions!$B$34*(Fleet_Schedule!$G61-(Assumptions!$B$23/Assumptions!$B$4)),0))</f>
        <v/>
      </c>
      <c r="J61" s="10">
        <f>D61-E61-F61-G61-H61-I61</f>
        <v/>
      </c>
      <c r="K61" s="10" t="n">
        <v>0</v>
      </c>
      <c r="L61" s="10">
        <f>J61-K61</f>
        <v/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1770000</v>
      </c>
      <c r="E62" s="10" t="n">
        <v>1217170</v>
      </c>
      <c r="F62" s="10">
        <f>IF(AND($A62&gt;=Assumptions!$B$33,$A62&lt;Assumptions!$B$33+Assumptions!$B$31),($O62+$C62)*Assumptions!$B$32,0)</f>
        <v/>
      </c>
      <c r="G62" s="10">
        <f>IF(AND($A62&gt;=Assumptions!$B$33,$A62&lt;Assumptions!$B$33+Assumptions!$B$31),MIN(($O62+$C62),Assumptions!$B$25-$F62),0)</f>
        <v/>
      </c>
      <c r="H62" s="10" t="n">
        <v>176905.6</v>
      </c>
      <c r="I62" s="10">
        <f>IF($A62&lt;Assumptions!$B$36,Assumptions!$B$34*Fleet_Schedule!$G62,ROUND(Assumptions!$B$34*(Fleet_Schedule!$G62-(Assumptions!$B$23/Assumptions!$B$4)),0))</f>
        <v/>
      </c>
      <c r="J62" s="10">
        <f>D62-E62-F62-G62-H62-I62</f>
        <v/>
      </c>
      <c r="K62" s="10" t="n">
        <v>360000</v>
      </c>
      <c r="L62" s="10">
        <f>J62-K62</f>
        <v/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13</v>
      </c>
      <c r="D14" s="10" t="n">
        <v>390000</v>
      </c>
      <c r="E14" s="10" t="n">
        <v>169000</v>
      </c>
      <c r="F14" s="10" t="n">
        <v>3770</v>
      </c>
      <c r="G14" s="10" t="n">
        <v>3120</v>
      </c>
      <c r="H14" s="10" t="n">
        <v>16250</v>
      </c>
      <c r="I14" s="10" t="n">
        <v>18200</v>
      </c>
      <c r="J14" s="10" t="n">
        <v>6500</v>
      </c>
      <c r="K14" s="10" t="n">
        <v>12350</v>
      </c>
      <c r="L14" s="10" t="n">
        <v>229190</v>
      </c>
      <c r="M14" s="10" t="n">
        <v>160810</v>
      </c>
      <c r="N14" s="10" t="n">
        <v>39000</v>
      </c>
      <c r="O14" s="10" t="n">
        <v>39000</v>
      </c>
      <c r="P14" s="10" t="n">
        <v>121810</v>
      </c>
      <c r="Q14" s="10" t="n">
        <v>38979.2</v>
      </c>
      <c r="R14" s="10" t="n">
        <v>82830.8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17</v>
      </c>
      <c r="D15" s="10" t="n">
        <v>510000</v>
      </c>
      <c r="E15" s="10" t="n">
        <v>221000</v>
      </c>
      <c r="F15" s="10" t="n">
        <v>4930</v>
      </c>
      <c r="G15" s="10" t="n">
        <v>4080</v>
      </c>
      <c r="H15" s="10" t="n">
        <v>21250</v>
      </c>
      <c r="I15" s="10" t="n">
        <v>23800</v>
      </c>
      <c r="J15" s="10" t="n">
        <v>8500</v>
      </c>
      <c r="K15" s="10" t="n">
        <v>16150</v>
      </c>
      <c r="L15" s="10" t="n">
        <v>299710</v>
      </c>
      <c r="M15" s="10" t="n">
        <v>210290</v>
      </c>
      <c r="N15" s="10" t="n">
        <v>51000</v>
      </c>
      <c r="O15" s="10" t="n">
        <v>51000</v>
      </c>
      <c r="P15" s="10" t="n">
        <v>159290</v>
      </c>
      <c r="Q15" s="10" t="n">
        <v>50972.8</v>
      </c>
      <c r="R15" s="10" t="n">
        <v>108317.2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17</v>
      </c>
      <c r="D16" s="10" t="n">
        <v>510000</v>
      </c>
      <c r="E16" s="10" t="n">
        <v>221000</v>
      </c>
      <c r="F16" s="10" t="n">
        <v>4930</v>
      </c>
      <c r="G16" s="10" t="n">
        <v>4080</v>
      </c>
      <c r="H16" s="10" t="n">
        <v>21250</v>
      </c>
      <c r="I16" s="10" t="n">
        <v>23800</v>
      </c>
      <c r="J16" s="10" t="n">
        <v>8500</v>
      </c>
      <c r="K16" s="10" t="n">
        <v>16150</v>
      </c>
      <c r="L16" s="10" t="n">
        <v>299710</v>
      </c>
      <c r="M16" s="10" t="n">
        <v>210290</v>
      </c>
      <c r="N16" s="10" t="n">
        <v>51000</v>
      </c>
      <c r="O16" s="10" t="n">
        <v>51000</v>
      </c>
      <c r="P16" s="10" t="n">
        <v>159290</v>
      </c>
      <c r="Q16" s="10" t="n">
        <v>50972.8</v>
      </c>
      <c r="R16" s="10" t="n">
        <v>108317.2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17</v>
      </c>
      <c r="D17" s="10" t="n">
        <v>510000</v>
      </c>
      <c r="E17" s="10" t="n">
        <v>221000</v>
      </c>
      <c r="F17" s="10" t="n">
        <v>4930</v>
      </c>
      <c r="G17" s="10" t="n">
        <v>4080</v>
      </c>
      <c r="H17" s="10" t="n">
        <v>21250</v>
      </c>
      <c r="I17" s="10" t="n">
        <v>23800</v>
      </c>
      <c r="J17" s="10" t="n">
        <v>8500</v>
      </c>
      <c r="K17" s="10" t="n">
        <v>16150</v>
      </c>
      <c r="L17" s="10" t="n">
        <v>299710</v>
      </c>
      <c r="M17" s="10" t="n">
        <v>210290</v>
      </c>
      <c r="N17" s="10" t="n">
        <v>51000</v>
      </c>
      <c r="O17" s="10" t="n">
        <v>51000</v>
      </c>
      <c r="P17" s="10" t="n">
        <v>159290</v>
      </c>
      <c r="Q17" s="10" t="n">
        <v>50972.8</v>
      </c>
      <c r="R17" s="10" t="n">
        <v>108317.2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21</v>
      </c>
      <c r="D18" s="10" t="n">
        <v>630000</v>
      </c>
      <c r="E18" s="10" t="n">
        <v>273000</v>
      </c>
      <c r="F18" s="10" t="n">
        <v>6090</v>
      </c>
      <c r="G18" s="10" t="n">
        <v>5040</v>
      </c>
      <c r="H18" s="10" t="n">
        <v>26250</v>
      </c>
      <c r="I18" s="10" t="n">
        <v>29400</v>
      </c>
      <c r="J18" s="10" t="n">
        <v>10500</v>
      </c>
      <c r="K18" s="10" t="n">
        <v>19950</v>
      </c>
      <c r="L18" s="10" t="n">
        <v>370230</v>
      </c>
      <c r="M18" s="10" t="n">
        <v>259770</v>
      </c>
      <c r="N18" s="10" t="n">
        <v>63000</v>
      </c>
      <c r="O18" s="10" t="n">
        <v>63000</v>
      </c>
      <c r="P18" s="10" t="n">
        <v>196770</v>
      </c>
      <c r="Q18" s="10" t="n">
        <v>62966.4</v>
      </c>
      <c r="R18" s="10" t="n">
        <v>133803.6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21</v>
      </c>
      <c r="D19" s="10" t="n">
        <v>630000</v>
      </c>
      <c r="E19" s="10" t="n">
        <v>273000</v>
      </c>
      <c r="F19" s="10" t="n">
        <v>6090</v>
      </c>
      <c r="G19" s="10" t="n">
        <v>5040</v>
      </c>
      <c r="H19" s="10" t="n">
        <v>26250</v>
      </c>
      <c r="I19" s="10" t="n">
        <v>29400</v>
      </c>
      <c r="J19" s="10" t="n">
        <v>10500</v>
      </c>
      <c r="K19" s="10" t="n">
        <v>19950</v>
      </c>
      <c r="L19" s="10" t="n">
        <v>370230</v>
      </c>
      <c r="M19" s="10" t="n">
        <v>259770</v>
      </c>
      <c r="N19" s="10" t="n">
        <v>63000</v>
      </c>
      <c r="O19" s="10" t="n">
        <v>63000</v>
      </c>
      <c r="P19" s="10" t="n">
        <v>196770</v>
      </c>
      <c r="Q19" s="10" t="n">
        <v>62966.4</v>
      </c>
      <c r="R19" s="10" t="n">
        <v>133803.6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21</v>
      </c>
      <c r="D20" s="10" t="n">
        <v>630000</v>
      </c>
      <c r="E20" s="10" t="n">
        <v>273000</v>
      </c>
      <c r="F20" s="10" t="n">
        <v>6090</v>
      </c>
      <c r="G20" s="10" t="n">
        <v>5040</v>
      </c>
      <c r="H20" s="10" t="n">
        <v>26250</v>
      </c>
      <c r="I20" s="10" t="n">
        <v>29400</v>
      </c>
      <c r="J20" s="10" t="n">
        <v>10500</v>
      </c>
      <c r="K20" s="10" t="n">
        <v>19950</v>
      </c>
      <c r="L20" s="10" t="n">
        <v>370230</v>
      </c>
      <c r="M20" s="10" t="n">
        <v>259770</v>
      </c>
      <c r="N20" s="10" t="n">
        <v>63000</v>
      </c>
      <c r="O20" s="10" t="n">
        <v>63000</v>
      </c>
      <c r="P20" s="10" t="n">
        <v>196770</v>
      </c>
      <c r="Q20" s="10" t="n">
        <v>62966.4</v>
      </c>
      <c r="R20" s="10" t="n">
        <v>133803.6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25</v>
      </c>
      <c r="D21" s="10" t="n">
        <v>750000</v>
      </c>
      <c r="E21" s="10" t="n">
        <v>325000</v>
      </c>
      <c r="F21" s="10" t="n">
        <v>7250</v>
      </c>
      <c r="G21" s="10" t="n">
        <v>6000</v>
      </c>
      <c r="H21" s="10" t="n">
        <v>31250</v>
      </c>
      <c r="I21" s="10" t="n">
        <v>35000</v>
      </c>
      <c r="J21" s="10" t="n">
        <v>12500</v>
      </c>
      <c r="K21" s="10" t="n">
        <v>23750</v>
      </c>
      <c r="L21" s="10" t="n">
        <v>440750</v>
      </c>
      <c r="M21" s="10" t="n">
        <v>309250</v>
      </c>
      <c r="N21" s="10" t="n">
        <v>75000</v>
      </c>
      <c r="O21" s="10" t="n">
        <v>75000</v>
      </c>
      <c r="P21" s="10" t="n">
        <v>234250</v>
      </c>
      <c r="Q21" s="10" t="n">
        <v>74960</v>
      </c>
      <c r="R21" s="10" t="n">
        <v>159290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25</v>
      </c>
      <c r="D22" s="10" t="n">
        <v>750000</v>
      </c>
      <c r="E22" s="10" t="n">
        <v>325000</v>
      </c>
      <c r="F22" s="10" t="n">
        <v>7250</v>
      </c>
      <c r="G22" s="10" t="n">
        <v>6000</v>
      </c>
      <c r="H22" s="10" t="n">
        <v>31250</v>
      </c>
      <c r="I22" s="10" t="n">
        <v>35000</v>
      </c>
      <c r="J22" s="10" t="n">
        <v>12500</v>
      </c>
      <c r="K22" s="10" t="n">
        <v>23750</v>
      </c>
      <c r="L22" s="10" t="n">
        <v>440750</v>
      </c>
      <c r="M22" s="10" t="n">
        <v>309250</v>
      </c>
      <c r="N22" s="10" t="n">
        <v>75000</v>
      </c>
      <c r="O22" s="10" t="n">
        <v>75000</v>
      </c>
      <c r="P22" s="10" t="n">
        <v>234250</v>
      </c>
      <c r="Q22" s="10" t="n">
        <v>74960</v>
      </c>
      <c r="R22" s="10" t="n">
        <v>159290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29</v>
      </c>
      <c r="D23" s="10" t="n">
        <v>870000</v>
      </c>
      <c r="E23" s="10" t="n">
        <v>377000</v>
      </c>
      <c r="F23" s="10" t="n">
        <v>8410</v>
      </c>
      <c r="G23" s="10" t="n">
        <v>6960</v>
      </c>
      <c r="H23" s="10" t="n">
        <v>36250</v>
      </c>
      <c r="I23" s="10" t="n">
        <v>40600</v>
      </c>
      <c r="J23" s="10" t="n">
        <v>14500</v>
      </c>
      <c r="K23" s="10" t="n">
        <v>27550</v>
      </c>
      <c r="L23" s="10" t="n">
        <v>511270</v>
      </c>
      <c r="M23" s="10" t="n">
        <v>358730</v>
      </c>
      <c r="N23" s="10" t="n">
        <v>87000</v>
      </c>
      <c r="O23" s="10" t="n">
        <v>87000</v>
      </c>
      <c r="P23" s="10" t="n">
        <v>271730</v>
      </c>
      <c r="Q23" s="10" t="n">
        <v>86953.60000000001</v>
      </c>
      <c r="R23" s="10" t="n">
        <v>184776.4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29</v>
      </c>
      <c r="D24" s="10" t="n">
        <v>870000</v>
      </c>
      <c r="E24" s="10" t="n">
        <v>377000</v>
      </c>
      <c r="F24" s="10" t="n">
        <v>8410</v>
      </c>
      <c r="G24" s="10" t="n">
        <v>6960</v>
      </c>
      <c r="H24" s="10" t="n">
        <v>36250</v>
      </c>
      <c r="I24" s="10" t="n">
        <v>40600</v>
      </c>
      <c r="J24" s="10" t="n">
        <v>14500</v>
      </c>
      <c r="K24" s="10" t="n">
        <v>27550</v>
      </c>
      <c r="L24" s="10" t="n">
        <v>511270</v>
      </c>
      <c r="M24" s="10" t="n">
        <v>358730</v>
      </c>
      <c r="N24" s="10" t="n">
        <v>87000</v>
      </c>
      <c r="O24" s="10" t="n">
        <v>87000</v>
      </c>
      <c r="P24" s="10" t="n">
        <v>271730</v>
      </c>
      <c r="Q24" s="10" t="n">
        <v>86953.60000000001</v>
      </c>
      <c r="R24" s="10" t="n">
        <v>184776.4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29</v>
      </c>
      <c r="D25" s="10" t="n">
        <v>870000</v>
      </c>
      <c r="E25" s="10" t="n">
        <v>377000</v>
      </c>
      <c r="F25" s="10" t="n">
        <v>8410</v>
      </c>
      <c r="G25" s="10" t="n">
        <v>6960</v>
      </c>
      <c r="H25" s="10" t="n">
        <v>36250</v>
      </c>
      <c r="I25" s="10" t="n">
        <v>40600</v>
      </c>
      <c r="J25" s="10" t="n">
        <v>14500</v>
      </c>
      <c r="K25" s="10" t="n">
        <v>27550</v>
      </c>
      <c r="L25" s="10" t="n">
        <v>511270</v>
      </c>
      <c r="M25" s="10" t="n">
        <v>358730</v>
      </c>
      <c r="N25" s="10" t="n">
        <v>87000</v>
      </c>
      <c r="O25" s="10" t="n">
        <v>87000</v>
      </c>
      <c r="P25" s="10" t="n">
        <v>271730</v>
      </c>
      <c r="Q25" s="10" t="n">
        <v>86953.60000000001</v>
      </c>
      <c r="R25" s="10" t="n">
        <v>184776.4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33</v>
      </c>
      <c r="D26" s="10" t="n">
        <v>990000</v>
      </c>
      <c r="E26" s="10" t="n">
        <v>429000</v>
      </c>
      <c r="F26" s="10" t="n">
        <v>9570</v>
      </c>
      <c r="G26" s="10" t="n">
        <v>7920</v>
      </c>
      <c r="H26" s="10" t="n">
        <v>41250</v>
      </c>
      <c r="I26" s="10" t="n">
        <v>46200</v>
      </c>
      <c r="J26" s="10" t="n">
        <v>16500</v>
      </c>
      <c r="K26" s="10" t="n">
        <v>31350</v>
      </c>
      <c r="L26" s="10" t="n">
        <v>581790</v>
      </c>
      <c r="M26" s="10" t="n">
        <v>408210</v>
      </c>
      <c r="N26" s="10" t="n">
        <v>99000</v>
      </c>
      <c r="O26" s="10" t="n">
        <v>99000</v>
      </c>
      <c r="P26" s="10" t="n">
        <v>309210</v>
      </c>
      <c r="Q26" s="10" t="n">
        <v>98947.2</v>
      </c>
      <c r="R26" s="10" t="n">
        <v>210262.8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29</v>
      </c>
      <c r="D27" s="10" t="n">
        <v>870000</v>
      </c>
      <c r="E27" s="10" t="n">
        <v>377000</v>
      </c>
      <c r="F27" s="10" t="n">
        <v>8410</v>
      </c>
      <c r="G27" s="10" t="n">
        <v>6960</v>
      </c>
      <c r="H27" s="10" t="n">
        <v>36250</v>
      </c>
      <c r="I27" s="10" t="n">
        <v>40600</v>
      </c>
      <c r="J27" s="10" t="n">
        <v>14500</v>
      </c>
      <c r="K27" s="10" t="n">
        <v>27550</v>
      </c>
      <c r="L27" s="10" t="n">
        <v>511270</v>
      </c>
      <c r="M27" s="10" t="n">
        <v>358730</v>
      </c>
      <c r="N27" s="10" t="n">
        <v>87000</v>
      </c>
      <c r="O27" s="10" t="n">
        <v>87000</v>
      </c>
      <c r="P27" s="10" t="n">
        <v>271730</v>
      </c>
      <c r="Q27" s="10" t="n">
        <v>86953.60000000001</v>
      </c>
      <c r="R27" s="10" t="n">
        <v>184776.4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33</v>
      </c>
      <c r="D28" s="10" t="n">
        <v>990000</v>
      </c>
      <c r="E28" s="10" t="n">
        <v>429000</v>
      </c>
      <c r="F28" s="10" t="n">
        <v>9570</v>
      </c>
      <c r="G28" s="10" t="n">
        <v>7920</v>
      </c>
      <c r="H28" s="10" t="n">
        <v>41250</v>
      </c>
      <c r="I28" s="10" t="n">
        <v>46200</v>
      </c>
      <c r="J28" s="10" t="n">
        <v>16500</v>
      </c>
      <c r="K28" s="10" t="n">
        <v>31350</v>
      </c>
      <c r="L28" s="10" t="n">
        <v>581790</v>
      </c>
      <c r="M28" s="10" t="n">
        <v>408210</v>
      </c>
      <c r="N28" s="10" t="n">
        <v>99000</v>
      </c>
      <c r="O28" s="10" t="n">
        <v>99000</v>
      </c>
      <c r="P28" s="10" t="n">
        <v>309210</v>
      </c>
      <c r="Q28" s="10" t="n">
        <v>98947.2</v>
      </c>
      <c r="R28" s="10" t="n">
        <v>210262.8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33</v>
      </c>
      <c r="D29" s="10" t="n">
        <v>990000</v>
      </c>
      <c r="E29" s="10" t="n">
        <v>429000</v>
      </c>
      <c r="F29" s="10" t="n">
        <v>9570</v>
      </c>
      <c r="G29" s="10" t="n">
        <v>7920</v>
      </c>
      <c r="H29" s="10" t="n">
        <v>41250</v>
      </c>
      <c r="I29" s="10" t="n">
        <v>46200</v>
      </c>
      <c r="J29" s="10" t="n">
        <v>16500</v>
      </c>
      <c r="K29" s="10" t="n">
        <v>31350</v>
      </c>
      <c r="L29" s="10" t="n">
        <v>581790</v>
      </c>
      <c r="M29" s="10" t="n">
        <v>408210</v>
      </c>
      <c r="N29" s="10" t="n">
        <v>99000</v>
      </c>
      <c r="O29" s="10" t="n">
        <v>99000</v>
      </c>
      <c r="P29" s="10" t="n">
        <v>309210</v>
      </c>
      <c r="Q29" s="10" t="n">
        <v>98947.2</v>
      </c>
      <c r="R29" s="10" t="n">
        <v>210262.8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33</v>
      </c>
      <c r="D30" s="10" t="n">
        <v>990000</v>
      </c>
      <c r="E30" s="10" t="n">
        <v>429000</v>
      </c>
      <c r="F30" s="10" t="n">
        <v>9570</v>
      </c>
      <c r="G30" s="10" t="n">
        <v>7920</v>
      </c>
      <c r="H30" s="10" t="n">
        <v>41250</v>
      </c>
      <c r="I30" s="10" t="n">
        <v>46200</v>
      </c>
      <c r="J30" s="10" t="n">
        <v>16500</v>
      </c>
      <c r="K30" s="10" t="n">
        <v>31350</v>
      </c>
      <c r="L30" s="10" t="n">
        <v>581790</v>
      </c>
      <c r="M30" s="10" t="n">
        <v>408210</v>
      </c>
      <c r="N30" s="10" t="n">
        <v>99000</v>
      </c>
      <c r="O30" s="10" t="n">
        <v>99000</v>
      </c>
      <c r="P30" s="10" t="n">
        <v>309210</v>
      </c>
      <c r="Q30" s="10" t="n">
        <v>98947.2</v>
      </c>
      <c r="R30" s="10" t="n">
        <v>210262.8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38</v>
      </c>
      <c r="D31" s="10" t="n">
        <v>1140000</v>
      </c>
      <c r="E31" s="10" t="n">
        <v>494000</v>
      </c>
      <c r="F31" s="10" t="n">
        <v>11020</v>
      </c>
      <c r="G31" s="10" t="n">
        <v>9120</v>
      </c>
      <c r="H31" s="10" t="n">
        <v>47500</v>
      </c>
      <c r="I31" s="10" t="n">
        <v>53200</v>
      </c>
      <c r="J31" s="10" t="n">
        <v>19000</v>
      </c>
      <c r="K31" s="10" t="n">
        <v>36100</v>
      </c>
      <c r="L31" s="10" t="n">
        <v>669940</v>
      </c>
      <c r="M31" s="10" t="n">
        <v>470060</v>
      </c>
      <c r="N31" s="10" t="n">
        <v>114000</v>
      </c>
      <c r="O31" s="10" t="n">
        <v>114000</v>
      </c>
      <c r="P31" s="10" t="n">
        <v>356060</v>
      </c>
      <c r="Q31" s="10" t="n">
        <v>113939.2</v>
      </c>
      <c r="R31" s="10" t="n">
        <v>242120.8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38</v>
      </c>
      <c r="D32" s="10" t="n">
        <v>1140000</v>
      </c>
      <c r="E32" s="10" t="n">
        <v>494000</v>
      </c>
      <c r="F32" s="10" t="n">
        <v>11020</v>
      </c>
      <c r="G32" s="10" t="n">
        <v>9120</v>
      </c>
      <c r="H32" s="10" t="n">
        <v>47500</v>
      </c>
      <c r="I32" s="10" t="n">
        <v>53200</v>
      </c>
      <c r="J32" s="10" t="n">
        <v>19000</v>
      </c>
      <c r="K32" s="10" t="n">
        <v>36100</v>
      </c>
      <c r="L32" s="10" t="n">
        <v>669940</v>
      </c>
      <c r="M32" s="10" t="n">
        <v>470060</v>
      </c>
      <c r="N32" s="10" t="n">
        <v>114000</v>
      </c>
      <c r="O32" s="10" t="n">
        <v>114000</v>
      </c>
      <c r="P32" s="10" t="n">
        <v>356060</v>
      </c>
      <c r="Q32" s="10" t="n">
        <v>113939.2</v>
      </c>
      <c r="R32" s="10" t="n">
        <v>242120.8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42</v>
      </c>
      <c r="D33" s="10" t="n">
        <v>1260000</v>
      </c>
      <c r="E33" s="10" t="n">
        <v>546000</v>
      </c>
      <c r="F33" s="10" t="n">
        <v>12180</v>
      </c>
      <c r="G33" s="10" t="n">
        <v>10080</v>
      </c>
      <c r="H33" s="10" t="n">
        <v>52500</v>
      </c>
      <c r="I33" s="10" t="n">
        <v>58800</v>
      </c>
      <c r="J33" s="10" t="n">
        <v>21000</v>
      </c>
      <c r="K33" s="10" t="n">
        <v>39900</v>
      </c>
      <c r="L33" s="10" t="n">
        <v>740460</v>
      </c>
      <c r="M33" s="10" t="n">
        <v>519540</v>
      </c>
      <c r="N33" s="10" t="n">
        <v>126000</v>
      </c>
      <c r="O33" s="10" t="n">
        <v>126000</v>
      </c>
      <c r="P33" s="10" t="n">
        <v>393540</v>
      </c>
      <c r="Q33" s="10" t="n">
        <v>125932.8</v>
      </c>
      <c r="R33" s="10" t="n">
        <v>267607.2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33</v>
      </c>
      <c r="D34" s="10" t="n">
        <v>990000</v>
      </c>
      <c r="E34" s="10" t="n">
        <v>429000</v>
      </c>
      <c r="F34" s="10" t="n">
        <v>9570</v>
      </c>
      <c r="G34" s="10" t="n">
        <v>7920</v>
      </c>
      <c r="H34" s="10" t="n">
        <v>41250</v>
      </c>
      <c r="I34" s="10" t="n">
        <v>46200</v>
      </c>
      <c r="J34" s="10" t="n">
        <v>16500</v>
      </c>
      <c r="K34" s="10" t="n">
        <v>31350</v>
      </c>
      <c r="L34" s="10" t="n">
        <v>581790</v>
      </c>
      <c r="M34" s="10" t="n">
        <v>408210</v>
      </c>
      <c r="N34" s="10" t="n">
        <v>99000</v>
      </c>
      <c r="O34" s="10" t="n">
        <v>99000</v>
      </c>
      <c r="P34" s="10" t="n">
        <v>309210</v>
      </c>
      <c r="Q34" s="10" t="n">
        <v>98947.2</v>
      </c>
      <c r="R34" s="10" t="n">
        <v>210262.8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37</v>
      </c>
      <c r="D35" s="10" t="n">
        <v>1110000</v>
      </c>
      <c r="E35" s="10" t="n">
        <v>481000</v>
      </c>
      <c r="F35" s="10" t="n">
        <v>10730</v>
      </c>
      <c r="G35" s="10" t="n">
        <v>8880</v>
      </c>
      <c r="H35" s="10" t="n">
        <v>46250</v>
      </c>
      <c r="I35" s="10" t="n">
        <v>51800</v>
      </c>
      <c r="J35" s="10" t="n">
        <v>18500</v>
      </c>
      <c r="K35" s="10" t="n">
        <v>35150</v>
      </c>
      <c r="L35" s="10" t="n">
        <v>652310</v>
      </c>
      <c r="M35" s="10" t="n">
        <v>457690</v>
      </c>
      <c r="N35" s="10" t="n">
        <v>111000</v>
      </c>
      <c r="O35" s="10" t="n">
        <v>111000</v>
      </c>
      <c r="P35" s="10" t="n">
        <v>346690</v>
      </c>
      <c r="Q35" s="10" t="n">
        <v>110940.8</v>
      </c>
      <c r="R35" s="10" t="n">
        <v>235749.2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37</v>
      </c>
      <c r="D36" s="10" t="n">
        <v>1110000</v>
      </c>
      <c r="E36" s="10" t="n">
        <v>481000</v>
      </c>
      <c r="F36" s="10" t="n">
        <v>10730</v>
      </c>
      <c r="G36" s="10" t="n">
        <v>8880</v>
      </c>
      <c r="H36" s="10" t="n">
        <v>46250</v>
      </c>
      <c r="I36" s="10" t="n">
        <v>51800</v>
      </c>
      <c r="J36" s="10" t="n">
        <v>18500</v>
      </c>
      <c r="K36" s="10" t="n">
        <v>35150</v>
      </c>
      <c r="L36" s="10" t="n">
        <v>652310</v>
      </c>
      <c r="M36" s="10" t="n">
        <v>457690</v>
      </c>
      <c r="N36" s="10" t="n">
        <v>111000</v>
      </c>
      <c r="O36" s="10" t="n">
        <v>111000</v>
      </c>
      <c r="P36" s="10" t="n">
        <v>346690</v>
      </c>
      <c r="Q36" s="10" t="n">
        <v>110940.8</v>
      </c>
      <c r="R36" s="10" t="n">
        <v>235749.2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41</v>
      </c>
      <c r="D37" s="10" t="n">
        <v>1230000</v>
      </c>
      <c r="E37" s="10" t="n">
        <v>533000</v>
      </c>
      <c r="F37" s="10" t="n">
        <v>11890</v>
      </c>
      <c r="G37" s="10" t="n">
        <v>9840</v>
      </c>
      <c r="H37" s="10" t="n">
        <v>51250</v>
      </c>
      <c r="I37" s="10" t="n">
        <v>57400</v>
      </c>
      <c r="J37" s="10" t="n">
        <v>20500</v>
      </c>
      <c r="K37" s="10" t="n">
        <v>38950</v>
      </c>
      <c r="L37" s="10" t="n">
        <v>722830</v>
      </c>
      <c r="M37" s="10" t="n">
        <v>507170</v>
      </c>
      <c r="N37" s="10" t="n">
        <v>123000</v>
      </c>
      <c r="O37" s="10" t="n">
        <v>123000</v>
      </c>
      <c r="P37" s="10" t="n">
        <v>384170</v>
      </c>
      <c r="Q37" s="10" t="n">
        <v>122934.4</v>
      </c>
      <c r="R37" s="10" t="n">
        <v>261235.6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41</v>
      </c>
      <c r="D38" s="10" t="n">
        <v>1230000</v>
      </c>
      <c r="E38" s="10" t="n">
        <v>533000</v>
      </c>
      <c r="F38" s="10" t="n">
        <v>11890</v>
      </c>
      <c r="G38" s="10" t="n">
        <v>9840</v>
      </c>
      <c r="H38" s="10" t="n">
        <v>51250</v>
      </c>
      <c r="I38" s="10" t="n">
        <v>57400</v>
      </c>
      <c r="J38" s="10" t="n">
        <v>20500</v>
      </c>
      <c r="K38" s="10" t="n">
        <v>38950</v>
      </c>
      <c r="L38" s="10" t="n">
        <v>722830</v>
      </c>
      <c r="M38" s="10" t="n">
        <v>507170</v>
      </c>
      <c r="N38" s="10" t="n">
        <v>123000</v>
      </c>
      <c r="O38" s="10" t="n">
        <v>123000</v>
      </c>
      <c r="P38" s="10" t="n">
        <v>384170</v>
      </c>
      <c r="Q38" s="10" t="n">
        <v>122934.4</v>
      </c>
      <c r="R38" s="10" t="n">
        <v>261235.6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41</v>
      </c>
      <c r="D39" s="10" t="n">
        <v>1230000</v>
      </c>
      <c r="E39" s="10" t="n">
        <v>533000</v>
      </c>
      <c r="F39" s="10" t="n">
        <v>11890</v>
      </c>
      <c r="G39" s="10" t="n">
        <v>9840</v>
      </c>
      <c r="H39" s="10" t="n">
        <v>51250</v>
      </c>
      <c r="I39" s="10" t="n">
        <v>57400</v>
      </c>
      <c r="J39" s="10" t="n">
        <v>20500</v>
      </c>
      <c r="K39" s="10" t="n">
        <v>38950</v>
      </c>
      <c r="L39" s="10" t="n">
        <v>722830</v>
      </c>
      <c r="M39" s="10" t="n">
        <v>507170</v>
      </c>
      <c r="N39" s="10" t="n">
        <v>123000</v>
      </c>
      <c r="O39" s="10" t="n">
        <v>123000</v>
      </c>
      <c r="P39" s="10" t="n">
        <v>384170</v>
      </c>
      <c r="Q39" s="10" t="n">
        <v>122934.4</v>
      </c>
      <c r="R39" s="10" t="n">
        <v>261235.6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41</v>
      </c>
      <c r="D40" s="10" t="n">
        <v>1230000</v>
      </c>
      <c r="E40" s="10" t="n">
        <v>533000</v>
      </c>
      <c r="F40" s="10" t="n">
        <v>11890</v>
      </c>
      <c r="G40" s="10" t="n">
        <v>9840</v>
      </c>
      <c r="H40" s="10" t="n">
        <v>51250</v>
      </c>
      <c r="I40" s="10" t="n">
        <v>57400</v>
      </c>
      <c r="J40" s="10" t="n">
        <v>20500</v>
      </c>
      <c r="K40" s="10" t="n">
        <v>38950</v>
      </c>
      <c r="L40" s="10" t="n">
        <v>722830</v>
      </c>
      <c r="M40" s="10" t="n">
        <v>507170</v>
      </c>
      <c r="N40" s="10" t="n">
        <v>123000</v>
      </c>
      <c r="O40" s="10" t="n">
        <v>123000</v>
      </c>
      <c r="P40" s="10" t="n">
        <v>384170</v>
      </c>
      <c r="Q40" s="10" t="n">
        <v>122934.4</v>
      </c>
      <c r="R40" s="10" t="n">
        <v>261235.6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45</v>
      </c>
      <c r="D41" s="10" t="n">
        <v>1350000</v>
      </c>
      <c r="E41" s="10" t="n">
        <v>585000</v>
      </c>
      <c r="F41" s="10" t="n">
        <v>13050</v>
      </c>
      <c r="G41" s="10" t="n">
        <v>10800</v>
      </c>
      <c r="H41" s="10" t="n">
        <v>56250</v>
      </c>
      <c r="I41" s="10" t="n">
        <v>63000</v>
      </c>
      <c r="J41" s="10" t="n">
        <v>22500</v>
      </c>
      <c r="K41" s="10" t="n">
        <v>42750</v>
      </c>
      <c r="L41" s="10" t="n">
        <v>793350</v>
      </c>
      <c r="M41" s="10" t="n">
        <v>556650</v>
      </c>
      <c r="N41" s="10" t="n">
        <v>135000</v>
      </c>
      <c r="O41" s="10" t="n">
        <v>135000</v>
      </c>
      <c r="P41" s="10" t="n">
        <v>421650</v>
      </c>
      <c r="Q41" s="10" t="n">
        <v>134928</v>
      </c>
      <c r="R41" s="10" t="n">
        <v>286722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41</v>
      </c>
      <c r="D42" s="10" t="n">
        <v>1230000</v>
      </c>
      <c r="E42" s="10" t="n">
        <v>533000</v>
      </c>
      <c r="F42" s="10" t="n">
        <v>11890</v>
      </c>
      <c r="G42" s="10" t="n">
        <v>9840</v>
      </c>
      <c r="H42" s="10" t="n">
        <v>51250</v>
      </c>
      <c r="I42" s="10" t="n">
        <v>57400</v>
      </c>
      <c r="J42" s="10" t="n">
        <v>20500</v>
      </c>
      <c r="K42" s="10" t="n">
        <v>38950</v>
      </c>
      <c r="L42" s="10" t="n">
        <v>722830</v>
      </c>
      <c r="M42" s="10" t="n">
        <v>507170</v>
      </c>
      <c r="N42" s="10" t="n">
        <v>123000</v>
      </c>
      <c r="O42" s="10" t="n">
        <v>123000</v>
      </c>
      <c r="P42" s="10" t="n">
        <v>384170</v>
      </c>
      <c r="Q42" s="10" t="n">
        <v>122934.4</v>
      </c>
      <c r="R42" s="10" t="n">
        <v>261235.6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45</v>
      </c>
      <c r="D43" s="10" t="n">
        <v>1350000</v>
      </c>
      <c r="E43" s="10" t="n">
        <v>585000</v>
      </c>
      <c r="F43" s="10" t="n">
        <v>13050</v>
      </c>
      <c r="G43" s="10" t="n">
        <v>10800</v>
      </c>
      <c r="H43" s="10" t="n">
        <v>56250</v>
      </c>
      <c r="I43" s="10" t="n">
        <v>63000</v>
      </c>
      <c r="J43" s="10" t="n">
        <v>22500</v>
      </c>
      <c r="K43" s="10" t="n">
        <v>42750</v>
      </c>
      <c r="L43" s="10" t="n">
        <v>793350</v>
      </c>
      <c r="M43" s="10" t="n">
        <v>556650</v>
      </c>
      <c r="N43" s="10" t="n">
        <v>135000</v>
      </c>
      <c r="O43" s="10" t="n">
        <v>135000</v>
      </c>
      <c r="P43" s="10" t="n">
        <v>421650</v>
      </c>
      <c r="Q43" s="10" t="n">
        <v>134928</v>
      </c>
      <c r="R43" s="10" t="n">
        <v>286722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45</v>
      </c>
      <c r="D44" s="10" t="n">
        <v>1350000</v>
      </c>
      <c r="E44" s="10" t="n">
        <v>585000</v>
      </c>
      <c r="F44" s="10" t="n">
        <v>13050</v>
      </c>
      <c r="G44" s="10" t="n">
        <v>10800</v>
      </c>
      <c r="H44" s="10" t="n">
        <v>56250</v>
      </c>
      <c r="I44" s="10" t="n">
        <v>63000</v>
      </c>
      <c r="J44" s="10" t="n">
        <v>22500</v>
      </c>
      <c r="K44" s="10" t="n">
        <v>42750</v>
      </c>
      <c r="L44" s="10" t="n">
        <v>793350</v>
      </c>
      <c r="M44" s="10" t="n">
        <v>556650</v>
      </c>
      <c r="N44" s="10" t="n">
        <v>135000</v>
      </c>
      <c r="O44" s="10" t="n">
        <v>135000</v>
      </c>
      <c r="P44" s="10" t="n">
        <v>421650</v>
      </c>
      <c r="Q44" s="10" t="n">
        <v>134928</v>
      </c>
      <c r="R44" s="10" t="n">
        <v>286722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46</v>
      </c>
      <c r="D45" s="10" t="n">
        <v>1380000</v>
      </c>
      <c r="E45" s="10" t="n">
        <v>598000</v>
      </c>
      <c r="F45" s="10" t="n">
        <v>13340</v>
      </c>
      <c r="G45" s="10" t="n">
        <v>11040</v>
      </c>
      <c r="H45" s="10" t="n">
        <v>57500</v>
      </c>
      <c r="I45" s="10" t="n">
        <v>64400</v>
      </c>
      <c r="J45" s="10" t="n">
        <v>23000</v>
      </c>
      <c r="K45" s="10" t="n">
        <v>43700</v>
      </c>
      <c r="L45" s="10" t="n">
        <v>810980</v>
      </c>
      <c r="M45" s="10" t="n">
        <v>569020</v>
      </c>
      <c r="N45" s="10" t="n">
        <v>138000</v>
      </c>
      <c r="O45" s="10" t="n">
        <v>138000</v>
      </c>
      <c r="P45" s="10" t="n">
        <v>431020</v>
      </c>
      <c r="Q45" s="10" t="n">
        <v>137926.4</v>
      </c>
      <c r="R45" s="10" t="n">
        <v>293093.6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46</v>
      </c>
      <c r="D46" s="10" t="n">
        <v>1380000</v>
      </c>
      <c r="E46" s="10" t="n">
        <v>598000</v>
      </c>
      <c r="F46" s="10" t="n">
        <v>13340</v>
      </c>
      <c r="G46" s="10" t="n">
        <v>11040</v>
      </c>
      <c r="H46" s="10" t="n">
        <v>57500</v>
      </c>
      <c r="I46" s="10" t="n">
        <v>64400</v>
      </c>
      <c r="J46" s="10" t="n">
        <v>23000</v>
      </c>
      <c r="K46" s="10" t="n">
        <v>43700</v>
      </c>
      <c r="L46" s="10" t="n">
        <v>810980</v>
      </c>
      <c r="M46" s="10" t="n">
        <v>569020</v>
      </c>
      <c r="N46" s="10" t="n">
        <v>138000</v>
      </c>
      <c r="O46" s="10" t="n">
        <v>138000</v>
      </c>
      <c r="P46" s="10" t="n">
        <v>431020</v>
      </c>
      <c r="Q46" s="10" t="n">
        <v>137926.4</v>
      </c>
      <c r="R46" s="10" t="n">
        <v>293093.6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47</v>
      </c>
      <c r="D47" s="10" t="n">
        <v>1410000</v>
      </c>
      <c r="E47" s="10" t="n">
        <v>611000</v>
      </c>
      <c r="F47" s="10" t="n">
        <v>13630</v>
      </c>
      <c r="G47" s="10" t="n">
        <v>11280</v>
      </c>
      <c r="H47" s="10" t="n">
        <v>58750</v>
      </c>
      <c r="I47" s="10" t="n">
        <v>65800</v>
      </c>
      <c r="J47" s="10" t="n">
        <v>23500</v>
      </c>
      <c r="K47" s="10" t="n">
        <v>44650</v>
      </c>
      <c r="L47" s="10" t="n">
        <v>828610</v>
      </c>
      <c r="M47" s="10" t="n">
        <v>581390</v>
      </c>
      <c r="N47" s="10" t="n">
        <v>141000</v>
      </c>
      <c r="O47" s="10" t="n">
        <v>141000</v>
      </c>
      <c r="P47" s="10" t="n">
        <v>440390</v>
      </c>
      <c r="Q47" s="10" t="n">
        <v>140924.8</v>
      </c>
      <c r="R47" s="10" t="n">
        <v>299465.2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47</v>
      </c>
      <c r="D48" s="10" t="n">
        <v>1410000</v>
      </c>
      <c r="E48" s="10" t="n">
        <v>611000</v>
      </c>
      <c r="F48" s="10" t="n">
        <v>13630</v>
      </c>
      <c r="G48" s="10" t="n">
        <v>11280</v>
      </c>
      <c r="H48" s="10" t="n">
        <v>58750</v>
      </c>
      <c r="I48" s="10" t="n">
        <v>65800</v>
      </c>
      <c r="J48" s="10" t="n">
        <v>23500</v>
      </c>
      <c r="K48" s="10" t="n">
        <v>44650</v>
      </c>
      <c r="L48" s="10" t="n">
        <v>828610</v>
      </c>
      <c r="M48" s="10" t="n">
        <v>581390</v>
      </c>
      <c r="N48" s="10" t="n">
        <v>141000</v>
      </c>
      <c r="O48" s="10" t="n">
        <v>141000</v>
      </c>
      <c r="P48" s="10" t="n">
        <v>440390</v>
      </c>
      <c r="Q48" s="10" t="n">
        <v>140924.8</v>
      </c>
      <c r="R48" s="10" t="n">
        <v>299465.2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52</v>
      </c>
      <c r="D49" s="10" t="n">
        <v>1560000</v>
      </c>
      <c r="E49" s="10" t="n">
        <v>676000</v>
      </c>
      <c r="F49" s="10" t="n">
        <v>15080</v>
      </c>
      <c r="G49" s="10" t="n">
        <v>12480</v>
      </c>
      <c r="H49" s="10" t="n">
        <v>65000</v>
      </c>
      <c r="I49" s="10" t="n">
        <v>72800</v>
      </c>
      <c r="J49" s="10" t="n">
        <v>26000</v>
      </c>
      <c r="K49" s="10" t="n">
        <v>49400</v>
      </c>
      <c r="L49" s="10" t="n">
        <v>916760</v>
      </c>
      <c r="M49" s="10" t="n">
        <v>643240</v>
      </c>
      <c r="N49" s="10" t="n">
        <v>156000</v>
      </c>
      <c r="O49" s="10" t="n">
        <v>156000</v>
      </c>
      <c r="P49" s="10" t="n">
        <v>487240</v>
      </c>
      <c r="Q49" s="10" t="n">
        <v>155916.8</v>
      </c>
      <c r="R49" s="10" t="n">
        <v>331323.2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48</v>
      </c>
      <c r="D50" s="10" t="n">
        <v>1440000</v>
      </c>
      <c r="E50" s="10" t="n">
        <v>624000</v>
      </c>
      <c r="F50" s="10" t="n">
        <v>13920</v>
      </c>
      <c r="G50" s="10" t="n">
        <v>11520</v>
      </c>
      <c r="H50" s="10" t="n">
        <v>60000</v>
      </c>
      <c r="I50" s="10" t="n">
        <v>67200</v>
      </c>
      <c r="J50" s="10" t="n">
        <v>24000</v>
      </c>
      <c r="K50" s="10" t="n">
        <v>45600</v>
      </c>
      <c r="L50" s="10" t="n">
        <v>846240</v>
      </c>
      <c r="M50" s="10" t="n">
        <v>593760</v>
      </c>
      <c r="N50" s="10" t="n">
        <v>144000</v>
      </c>
      <c r="O50" s="10" t="n">
        <v>144000</v>
      </c>
      <c r="P50" s="10" t="n">
        <v>449760</v>
      </c>
      <c r="Q50" s="10" t="n">
        <v>143923.2</v>
      </c>
      <c r="R50" s="10" t="n">
        <v>305836.8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52</v>
      </c>
      <c r="D51" s="10" t="n">
        <v>1560000</v>
      </c>
      <c r="E51" s="10" t="n">
        <v>676000</v>
      </c>
      <c r="F51" s="10" t="n">
        <v>15080</v>
      </c>
      <c r="G51" s="10" t="n">
        <v>12480</v>
      </c>
      <c r="H51" s="10" t="n">
        <v>65000</v>
      </c>
      <c r="I51" s="10" t="n">
        <v>72800</v>
      </c>
      <c r="J51" s="10" t="n">
        <v>26000</v>
      </c>
      <c r="K51" s="10" t="n">
        <v>49400</v>
      </c>
      <c r="L51" s="10" t="n">
        <v>916760</v>
      </c>
      <c r="M51" s="10" t="n">
        <v>643240</v>
      </c>
      <c r="N51" s="10" t="n">
        <v>156000</v>
      </c>
      <c r="O51" s="10" t="n">
        <v>156000</v>
      </c>
      <c r="P51" s="10" t="n">
        <v>487240</v>
      </c>
      <c r="Q51" s="10" t="n">
        <v>155916.8</v>
      </c>
      <c r="R51" s="10" t="n">
        <v>331323.2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48</v>
      </c>
      <c r="D52" s="10" t="n">
        <v>1440000</v>
      </c>
      <c r="E52" s="10" t="n">
        <v>624000</v>
      </c>
      <c r="F52" s="10" t="n">
        <v>13920</v>
      </c>
      <c r="G52" s="10" t="n">
        <v>11520</v>
      </c>
      <c r="H52" s="10" t="n">
        <v>60000</v>
      </c>
      <c r="I52" s="10" t="n">
        <v>67200</v>
      </c>
      <c r="J52" s="10" t="n">
        <v>24000</v>
      </c>
      <c r="K52" s="10" t="n">
        <v>45600</v>
      </c>
      <c r="L52" s="10" t="n">
        <v>846240</v>
      </c>
      <c r="M52" s="10" t="n">
        <v>593760</v>
      </c>
      <c r="N52" s="10" t="n">
        <v>144000</v>
      </c>
      <c r="O52" s="10" t="n">
        <v>144000</v>
      </c>
      <c r="P52" s="10" t="n">
        <v>449760</v>
      </c>
      <c r="Q52" s="10" t="n">
        <v>143923.2</v>
      </c>
      <c r="R52" s="10" t="n">
        <v>305836.8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54</v>
      </c>
      <c r="D53" s="10" t="n">
        <v>1620000</v>
      </c>
      <c r="E53" s="10" t="n">
        <v>702000</v>
      </c>
      <c r="F53" s="10" t="n">
        <v>15660</v>
      </c>
      <c r="G53" s="10" t="n">
        <v>12960</v>
      </c>
      <c r="H53" s="10" t="n">
        <v>67500</v>
      </c>
      <c r="I53" s="10" t="n">
        <v>75600</v>
      </c>
      <c r="J53" s="10" t="n">
        <v>27000</v>
      </c>
      <c r="K53" s="10" t="n">
        <v>51300</v>
      </c>
      <c r="L53" s="10" t="n">
        <v>952020</v>
      </c>
      <c r="M53" s="10" t="n">
        <v>667980</v>
      </c>
      <c r="N53" s="10" t="n">
        <v>162000</v>
      </c>
      <c r="O53" s="10" t="n">
        <v>162000</v>
      </c>
      <c r="P53" s="10" t="n">
        <v>505980</v>
      </c>
      <c r="Q53" s="10" t="n">
        <v>161913.6</v>
      </c>
      <c r="R53" s="10" t="n">
        <v>344066.4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54</v>
      </c>
      <c r="D54" s="10" t="n">
        <v>1620000</v>
      </c>
      <c r="E54" s="10" t="n">
        <v>702000</v>
      </c>
      <c r="F54" s="10" t="n">
        <v>15660</v>
      </c>
      <c r="G54" s="10" t="n">
        <v>12960</v>
      </c>
      <c r="H54" s="10" t="n">
        <v>67500</v>
      </c>
      <c r="I54" s="10" t="n">
        <v>75600</v>
      </c>
      <c r="J54" s="10" t="n">
        <v>27000</v>
      </c>
      <c r="K54" s="10" t="n">
        <v>51300</v>
      </c>
      <c r="L54" s="10" t="n">
        <v>952020</v>
      </c>
      <c r="M54" s="10" t="n">
        <v>667980</v>
      </c>
      <c r="N54" s="10" t="n">
        <v>162000</v>
      </c>
      <c r="O54" s="10" t="n">
        <v>162000</v>
      </c>
      <c r="P54" s="10" t="n">
        <v>505980</v>
      </c>
      <c r="Q54" s="10" t="n">
        <v>161913.6</v>
      </c>
      <c r="R54" s="10" t="n">
        <v>344066.4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54</v>
      </c>
      <c r="D55" s="10" t="n">
        <v>1620000</v>
      </c>
      <c r="E55" s="10" t="n">
        <v>702000</v>
      </c>
      <c r="F55" s="10" t="n">
        <v>15660</v>
      </c>
      <c r="G55" s="10" t="n">
        <v>12960</v>
      </c>
      <c r="H55" s="10" t="n">
        <v>67500</v>
      </c>
      <c r="I55" s="10" t="n">
        <v>75600</v>
      </c>
      <c r="J55" s="10" t="n">
        <v>27000</v>
      </c>
      <c r="K55" s="10" t="n">
        <v>51300</v>
      </c>
      <c r="L55" s="10" t="n">
        <v>952020</v>
      </c>
      <c r="M55" s="10" t="n">
        <v>667980</v>
      </c>
      <c r="N55" s="10" t="n">
        <v>162000</v>
      </c>
      <c r="O55" s="10" t="n">
        <v>162000</v>
      </c>
      <c r="P55" s="10" t="n">
        <v>505980</v>
      </c>
      <c r="Q55" s="10" t="n">
        <v>161913.6</v>
      </c>
      <c r="R55" s="10" t="n">
        <v>344066.4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54</v>
      </c>
      <c r="D56" s="10" t="n">
        <v>1620000</v>
      </c>
      <c r="E56" s="10" t="n">
        <v>702000</v>
      </c>
      <c r="F56" s="10" t="n">
        <v>15660</v>
      </c>
      <c r="G56" s="10" t="n">
        <v>12960</v>
      </c>
      <c r="H56" s="10" t="n">
        <v>67500</v>
      </c>
      <c r="I56" s="10" t="n">
        <v>75600</v>
      </c>
      <c r="J56" s="10" t="n">
        <v>27000</v>
      </c>
      <c r="K56" s="10" t="n">
        <v>51300</v>
      </c>
      <c r="L56" s="10" t="n">
        <v>952020</v>
      </c>
      <c r="M56" s="10" t="n">
        <v>667980</v>
      </c>
      <c r="N56" s="10" t="n">
        <v>162000</v>
      </c>
      <c r="O56" s="10" t="n">
        <v>162000</v>
      </c>
      <c r="P56" s="10" t="n">
        <v>505980</v>
      </c>
      <c r="Q56" s="10" t="n">
        <v>161913.6</v>
      </c>
      <c r="R56" s="10" t="n">
        <v>344066.4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55</v>
      </c>
      <c r="D57" s="10" t="n">
        <v>1650000</v>
      </c>
      <c r="E57" s="10" t="n">
        <v>715000</v>
      </c>
      <c r="F57" s="10" t="n">
        <v>15950</v>
      </c>
      <c r="G57" s="10" t="n">
        <v>13200</v>
      </c>
      <c r="H57" s="10" t="n">
        <v>68750</v>
      </c>
      <c r="I57" s="10" t="n">
        <v>77000</v>
      </c>
      <c r="J57" s="10" t="n">
        <v>27500</v>
      </c>
      <c r="K57" s="10" t="n">
        <v>52250</v>
      </c>
      <c r="L57" s="10" t="n">
        <v>969650</v>
      </c>
      <c r="M57" s="10" t="n">
        <v>680350</v>
      </c>
      <c r="N57" s="10" t="n">
        <v>165000</v>
      </c>
      <c r="O57" s="10" t="n">
        <v>165000</v>
      </c>
      <c r="P57" s="10" t="n">
        <v>515350</v>
      </c>
      <c r="Q57" s="10" t="n">
        <v>164912</v>
      </c>
      <c r="R57" s="10" t="n">
        <v>350438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55</v>
      </c>
      <c r="D58" s="10" t="n">
        <v>1650000</v>
      </c>
      <c r="E58" s="10" t="n">
        <v>715000</v>
      </c>
      <c r="F58" s="10" t="n">
        <v>15950</v>
      </c>
      <c r="G58" s="10" t="n">
        <v>13200</v>
      </c>
      <c r="H58" s="10" t="n">
        <v>68750</v>
      </c>
      <c r="I58" s="10" t="n">
        <v>77000</v>
      </c>
      <c r="J58" s="10" t="n">
        <v>27500</v>
      </c>
      <c r="K58" s="10" t="n">
        <v>52250</v>
      </c>
      <c r="L58" s="10" t="n">
        <v>969650</v>
      </c>
      <c r="M58" s="10" t="n">
        <v>680350</v>
      </c>
      <c r="N58" s="10" t="n">
        <v>165000</v>
      </c>
      <c r="O58" s="10" t="n">
        <v>165000</v>
      </c>
      <c r="P58" s="10" t="n">
        <v>515350</v>
      </c>
      <c r="Q58" s="10" t="n">
        <v>164912</v>
      </c>
      <c r="R58" s="10" t="n">
        <v>350438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57</v>
      </c>
      <c r="D59" s="10" t="n">
        <v>1710000</v>
      </c>
      <c r="E59" s="10" t="n">
        <v>741000</v>
      </c>
      <c r="F59" s="10" t="n">
        <v>16530</v>
      </c>
      <c r="G59" s="10" t="n">
        <v>13680</v>
      </c>
      <c r="H59" s="10" t="n">
        <v>71250</v>
      </c>
      <c r="I59" s="10" t="n">
        <v>79800</v>
      </c>
      <c r="J59" s="10" t="n">
        <v>28500</v>
      </c>
      <c r="K59" s="10" t="n">
        <v>54150</v>
      </c>
      <c r="L59" s="10" t="n">
        <v>1004910</v>
      </c>
      <c r="M59" s="10" t="n">
        <v>705090</v>
      </c>
      <c r="N59" s="10" t="n">
        <v>171000</v>
      </c>
      <c r="O59" s="10" t="n">
        <v>171000</v>
      </c>
      <c r="P59" s="10" t="n">
        <v>534090</v>
      </c>
      <c r="Q59" s="10" t="n">
        <v>170908.8</v>
      </c>
      <c r="R59" s="10" t="n">
        <v>363181.2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57</v>
      </c>
      <c r="D60" s="10" t="n">
        <v>1710000</v>
      </c>
      <c r="E60" s="10" t="n">
        <v>741000</v>
      </c>
      <c r="F60" s="10" t="n">
        <v>16530</v>
      </c>
      <c r="G60" s="10" t="n">
        <v>13680</v>
      </c>
      <c r="H60" s="10" t="n">
        <v>71250</v>
      </c>
      <c r="I60" s="10" t="n">
        <v>79800</v>
      </c>
      <c r="J60" s="10" t="n">
        <v>28500</v>
      </c>
      <c r="K60" s="10" t="n">
        <v>54150</v>
      </c>
      <c r="L60" s="10" t="n">
        <v>1004910</v>
      </c>
      <c r="M60" s="10" t="n">
        <v>705090</v>
      </c>
      <c r="N60" s="10" t="n">
        <v>171000</v>
      </c>
      <c r="O60" s="10" t="n">
        <v>171000</v>
      </c>
      <c r="P60" s="10" t="n">
        <v>534090</v>
      </c>
      <c r="Q60" s="10" t="n">
        <v>170908.8</v>
      </c>
      <c r="R60" s="10" t="n">
        <v>363181.2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59</v>
      </c>
      <c r="D61" s="10" t="n">
        <v>1770000</v>
      </c>
      <c r="E61" s="10" t="n">
        <v>767000</v>
      </c>
      <c r="F61" s="10" t="n">
        <v>17110</v>
      </c>
      <c r="G61" s="10" t="n">
        <v>14160</v>
      </c>
      <c r="H61" s="10" t="n">
        <v>73750</v>
      </c>
      <c r="I61" s="10" t="n">
        <v>82600</v>
      </c>
      <c r="J61" s="10" t="n">
        <v>29500</v>
      </c>
      <c r="K61" s="10" t="n">
        <v>56050</v>
      </c>
      <c r="L61" s="10" t="n">
        <v>1040170</v>
      </c>
      <c r="M61" s="10" t="n">
        <v>729830</v>
      </c>
      <c r="N61" s="10" t="n">
        <v>177000</v>
      </c>
      <c r="O61" s="10" t="n">
        <v>177000</v>
      </c>
      <c r="P61" s="10" t="n">
        <v>552830</v>
      </c>
      <c r="Q61" s="10" t="n">
        <v>176905.6</v>
      </c>
      <c r="R61" s="10" t="n">
        <v>375924.4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59</v>
      </c>
      <c r="D62" s="10" t="n">
        <v>1770000</v>
      </c>
      <c r="E62" s="10" t="n">
        <v>767000</v>
      </c>
      <c r="F62" s="10" t="n">
        <v>17110</v>
      </c>
      <c r="G62" s="10" t="n">
        <v>14160</v>
      </c>
      <c r="H62" s="10" t="n">
        <v>73750</v>
      </c>
      <c r="I62" s="10" t="n">
        <v>82600</v>
      </c>
      <c r="J62" s="10" t="n">
        <v>29500</v>
      </c>
      <c r="K62" s="10" t="n">
        <v>56050</v>
      </c>
      <c r="L62" s="10" t="n">
        <v>1040170</v>
      </c>
      <c r="M62" s="10" t="n">
        <v>729830</v>
      </c>
      <c r="N62" s="10" t="n">
        <v>177000</v>
      </c>
      <c r="O62" s="10" t="n">
        <v>177000</v>
      </c>
      <c r="P62" s="10" t="n">
        <v>552830</v>
      </c>
      <c r="Q62" s="10" t="n">
        <v>176905.6</v>
      </c>
      <c r="R62" s="10" t="n">
        <v>375924.4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>
        <f>IF($A3&gt;1,0,Assumptions!$B$22+IF($B3&gt;4,Assumptions!$B$27,0))</f>
        <v/>
      </c>
      <c r="D3" s="10">
        <f>IF($U3&gt;(Assumptions!$B$22 + Assumptions!$B$23),0,IF($B3&gt;4,(Assumptions!$B$22+Assumptions!$B$27)-$U3,Assumptions!$B$22-$U3))</f>
        <v/>
      </c>
      <c r="E3" s="10">
        <f>Cash_Flow!$P3</f>
        <v/>
      </c>
      <c r="F3" s="8" t="n">
        <v>4</v>
      </c>
      <c r="G3" s="8">
        <f>Fleet_Schedule!$I3</f>
        <v/>
      </c>
      <c r="H3" s="10">
        <f>$F3*Assumptions!$B$4</f>
        <v/>
      </c>
      <c r="I3" s="10">
        <f>$G3*Assumptions!$B$4</f>
        <v/>
      </c>
      <c r="J3" s="16">
        <f>Cash_Flow!$J3</f>
        <v/>
      </c>
      <c r="K3" s="16">
        <f>Cash_Flow!$K3</f>
        <v/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>
        <f>IF($A4&gt;1,0,Assumptions!$B$22+IF($B4&gt;4,Assumptions!$B$27,0))</f>
        <v/>
      </c>
      <c r="D4" s="10">
        <f>IF($U4&gt;(Assumptions!$B$22 + Assumptions!$B$23),0,IF($B4&gt;4,(Assumptions!$B$22+Assumptions!$B$27)-$U4,Assumptions!$B$22-$U4))</f>
        <v/>
      </c>
      <c r="E4" s="10">
        <f>Cash_Flow!$P4</f>
        <v/>
      </c>
      <c r="F4" s="8" t="n">
        <v>4</v>
      </c>
      <c r="G4" s="8">
        <f>Fleet_Schedule!$I4</f>
        <v/>
      </c>
      <c r="H4" s="10">
        <f>$F4*Assumptions!$B$4</f>
        <v/>
      </c>
      <c r="I4" s="10">
        <f>$G4*Assumptions!$B$4</f>
        <v/>
      </c>
      <c r="J4" s="16">
        <f>Cash_Flow!$J4</f>
        <v/>
      </c>
      <c r="K4" s="16">
        <f>Cash_Flow!$K4</f>
        <v/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>
        <f>IF($A5&gt;1,0,Assumptions!$B$22+IF($B5&gt;4,Assumptions!$B$27,0))</f>
        <v/>
      </c>
      <c r="D5" s="10">
        <f>IF($U5&gt;(Assumptions!$B$22 + Assumptions!$B$23),0,IF($B5&gt;4,(Assumptions!$B$22+Assumptions!$B$27)-$U5,Assumptions!$B$22-$U5))</f>
        <v/>
      </c>
      <c r="E5" s="10">
        <f>Cash_Flow!$P5</f>
        <v/>
      </c>
      <c r="F5" s="8" t="n">
        <v>4</v>
      </c>
      <c r="G5" s="8">
        <f>Fleet_Schedule!$I5</f>
        <v/>
      </c>
      <c r="H5" s="10">
        <f>$F5*Assumptions!$B$4</f>
        <v/>
      </c>
      <c r="I5" s="10">
        <f>$G5*Assumptions!$B$4</f>
        <v/>
      </c>
      <c r="J5" s="16">
        <f>Cash_Flow!$J5</f>
        <v/>
      </c>
      <c r="K5" s="16">
        <f>Cash_Flow!$K5</f>
        <v/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>
        <f>IF($A6&gt;1,0,Assumptions!$B$22+IF($B6&gt;4,Assumptions!$B$27,0))</f>
        <v/>
      </c>
      <c r="D6" s="10">
        <f>IF($U6&gt;(Assumptions!$B$22 + Assumptions!$B$23),0,IF($B6&gt;4,(Assumptions!$B$22+Assumptions!$B$27)-$U6,Assumptions!$B$22-$U6))</f>
        <v/>
      </c>
      <c r="E6" s="10">
        <f>Cash_Flow!$P6</f>
        <v/>
      </c>
      <c r="F6" s="8" t="n">
        <v>4</v>
      </c>
      <c r="G6" s="8">
        <f>Fleet_Schedule!$I6</f>
        <v/>
      </c>
      <c r="H6" s="10">
        <f>$F6*Assumptions!$B$4</f>
        <v/>
      </c>
      <c r="I6" s="10">
        <f>$G6*Assumptions!$B$4</f>
        <v/>
      </c>
      <c r="J6" s="16">
        <f>Cash_Flow!$J6</f>
        <v/>
      </c>
      <c r="K6" s="16">
        <f>Cash_Flow!$K6</f>
        <v/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>
        <f>IF($A7&gt;1,0,Assumptions!$B$22+IF($B7&gt;4,Assumptions!$B$27,0))</f>
        <v/>
      </c>
      <c r="D7" s="10">
        <f>IF($U7&gt;(Assumptions!$B$22 + Assumptions!$B$23),0,IF($B7&gt;4,(Assumptions!$B$22+Assumptions!$B$27)-$U7,Assumptions!$B$22-$U7))</f>
        <v/>
      </c>
      <c r="E7" s="10">
        <f>Cash_Flow!$P7</f>
        <v/>
      </c>
      <c r="F7" s="8" t="n">
        <v>4</v>
      </c>
      <c r="G7" s="8">
        <f>Fleet_Schedule!$I7</f>
        <v/>
      </c>
      <c r="H7" s="10">
        <f>$F7*Assumptions!$B$4</f>
        <v/>
      </c>
      <c r="I7" s="10">
        <f>$G7*Assumptions!$B$4</f>
        <v/>
      </c>
      <c r="J7" s="16">
        <f>Cash_Flow!$J7</f>
        <v/>
      </c>
      <c r="K7" s="16">
        <f>Cash_Flow!$K7</f>
        <v/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>
        <f>IF($A8&gt;1,0,Assumptions!$B$22+IF($B8&gt;4,Assumptions!$B$27,0))</f>
        <v/>
      </c>
      <c r="D8" s="10">
        <f>IF($U8&gt;(Assumptions!$B$22 + Assumptions!$B$23),0,IF($B8&gt;4,(Assumptions!$B$22+Assumptions!$B$27)-$U8,Assumptions!$B$22-$U8))</f>
        <v/>
      </c>
      <c r="E8" s="10">
        <f>Cash_Flow!$P8</f>
        <v/>
      </c>
      <c r="F8" s="8" t="n">
        <v>4</v>
      </c>
      <c r="G8" s="8">
        <f>Fleet_Schedule!$I8</f>
        <v/>
      </c>
      <c r="H8" s="10">
        <f>$F8*Assumptions!$B$4</f>
        <v/>
      </c>
      <c r="I8" s="10">
        <f>$G8*Assumptions!$B$4</f>
        <v/>
      </c>
      <c r="J8" s="16">
        <f>Cash_Flow!$J8</f>
        <v/>
      </c>
      <c r="K8" s="16">
        <f>Cash_Flow!$K8</f>
        <v/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>
        <f>IF($A9&gt;1,0,Assumptions!$B$22+IF($B9&gt;4,Assumptions!$B$27,0))</f>
        <v/>
      </c>
      <c r="D9" s="10">
        <f>IF($U9&gt;(Assumptions!$B$22 + Assumptions!$B$23),0,IF($B9&gt;4,(Assumptions!$B$22+Assumptions!$B$27)-$U9,Assumptions!$B$22-$U9))</f>
        <v/>
      </c>
      <c r="E9" s="10">
        <f>Cash_Flow!$P9</f>
        <v/>
      </c>
      <c r="F9" s="8" t="n">
        <v>4</v>
      </c>
      <c r="G9" s="8">
        <f>Fleet_Schedule!$I9</f>
        <v/>
      </c>
      <c r="H9" s="10">
        <f>$F9*Assumptions!$B$4</f>
        <v/>
      </c>
      <c r="I9" s="10">
        <f>$G9*Assumptions!$B$4</f>
        <v/>
      </c>
      <c r="J9" s="16">
        <f>Cash_Flow!$J9</f>
        <v/>
      </c>
      <c r="K9" s="16">
        <f>Cash_Flow!$K9</f>
        <v/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>
        <f>IF($A10&gt;1,0,Assumptions!$B$22+IF($B10&gt;4,Assumptions!$B$27,0))</f>
        <v/>
      </c>
      <c r="D10" s="10">
        <f>IF($U10&gt;(Assumptions!$B$22 + Assumptions!$B$23),0,IF($B10&gt;4,(Assumptions!$B$22+Assumptions!$B$27)-$U10,Assumptions!$B$22-$U10))</f>
        <v/>
      </c>
      <c r="E10" s="10">
        <f>Cash_Flow!$P10</f>
        <v/>
      </c>
      <c r="F10" s="8" t="n">
        <v>13</v>
      </c>
      <c r="G10" s="8">
        <f>Fleet_Schedule!$I10</f>
        <v/>
      </c>
      <c r="H10" s="10">
        <f>$F10*Assumptions!$B$4</f>
        <v/>
      </c>
      <c r="I10" s="10">
        <f>$G10*Assumptions!$B$4</f>
        <v/>
      </c>
      <c r="J10" s="16">
        <f>Cash_Flow!$J10</f>
        <v/>
      </c>
      <c r="K10" s="16">
        <f>Cash_Flow!$K10</f>
        <v/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>
        <f>IF($A11&gt;1,0,Assumptions!$B$22+IF($B11&gt;4,Assumptions!$B$27,0))</f>
        <v/>
      </c>
      <c r="D11" s="10">
        <f>IF($U11&gt;(Assumptions!$B$22 + Assumptions!$B$23),0,IF($B11&gt;4,(Assumptions!$B$22+Assumptions!$B$27)-$U11,Assumptions!$B$22-$U11))</f>
        <v/>
      </c>
      <c r="E11" s="10">
        <f>Cash_Flow!$P11</f>
        <v/>
      </c>
      <c r="F11" s="8" t="n">
        <v>13</v>
      </c>
      <c r="G11" s="8">
        <f>Fleet_Schedule!$I11</f>
        <v/>
      </c>
      <c r="H11" s="10">
        <f>$F11*Assumptions!$B$4</f>
        <v/>
      </c>
      <c r="I11" s="10">
        <f>$G11*Assumptions!$B$4</f>
        <v/>
      </c>
      <c r="J11" s="16">
        <f>Cash_Flow!$J11</f>
        <v/>
      </c>
      <c r="K11" s="16">
        <f>Cash_Flow!$K11</f>
        <v/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>
        <f>IF($A12&gt;1,0,Assumptions!$B$22+IF($B12&gt;4,Assumptions!$B$27,0))</f>
        <v/>
      </c>
      <c r="D12" s="10">
        <f>IF($U12&gt;(Assumptions!$B$22 + Assumptions!$B$23),0,IF($B12&gt;4,(Assumptions!$B$22+Assumptions!$B$27)-$U12,Assumptions!$B$22-$U12))</f>
        <v/>
      </c>
      <c r="E12" s="10">
        <f>Cash_Flow!$P12</f>
        <v/>
      </c>
      <c r="F12" s="8" t="n">
        <v>13</v>
      </c>
      <c r="G12" s="8">
        <f>Fleet_Schedule!$I12</f>
        <v/>
      </c>
      <c r="H12" s="10">
        <f>$F12*Assumptions!$B$4</f>
        <v/>
      </c>
      <c r="I12" s="10">
        <f>$G12*Assumptions!$B$4</f>
        <v/>
      </c>
      <c r="J12" s="16">
        <f>Cash_Flow!$J12</f>
        <v/>
      </c>
      <c r="K12" s="16">
        <f>Cash_Flow!$K12</f>
        <v/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>
        <f>IF($A13&gt;1,0,Assumptions!$B$22+IF($B13&gt;4,Assumptions!$B$27,0))</f>
        <v/>
      </c>
      <c r="D13" s="10">
        <f>IF($U13&gt;(Assumptions!$B$22 + Assumptions!$B$23),0,IF($B13&gt;4,(Assumptions!$B$22+Assumptions!$B$27)-$U13,Assumptions!$B$22-$U13))</f>
        <v/>
      </c>
      <c r="E13" s="10">
        <f>Cash_Flow!$P13</f>
        <v/>
      </c>
      <c r="F13" s="8" t="n">
        <v>13</v>
      </c>
      <c r="G13" s="8">
        <f>Fleet_Schedule!$I13</f>
        <v/>
      </c>
      <c r="H13" s="10">
        <f>$F13*Assumptions!$B$4</f>
        <v/>
      </c>
      <c r="I13" s="10">
        <f>$G13*Assumptions!$B$4</f>
        <v/>
      </c>
      <c r="J13" s="16">
        <f>Cash_Flow!$J13</f>
        <v/>
      </c>
      <c r="K13" s="16">
        <f>Cash_Flow!$K13</f>
        <v/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>
        <f>IF($A14&gt;1,0,Assumptions!$B$22+IF($B14&gt;4,Assumptions!$B$27,0))</f>
        <v/>
      </c>
      <c r="D14" s="10">
        <f>IF($U14&gt;(Assumptions!$B$22 + Assumptions!$B$23),0,IF($B14&gt;4,(Assumptions!$B$22+Assumptions!$B$27)-$U14,Assumptions!$B$22-$U14))</f>
        <v/>
      </c>
      <c r="E14" s="10">
        <f>Cash_Flow!$P14</f>
        <v/>
      </c>
      <c r="F14" s="8" t="n">
        <v>13</v>
      </c>
      <c r="G14" s="8">
        <f>Fleet_Schedule!$I14</f>
        <v/>
      </c>
      <c r="H14" s="10">
        <f>$F14*Assumptions!$B$4</f>
        <v/>
      </c>
      <c r="I14" s="10">
        <f>$G14*Assumptions!$B$4</f>
        <v/>
      </c>
      <c r="J14" s="16">
        <f>Cash_Flow!$J14</f>
        <v/>
      </c>
      <c r="K14" s="16">
        <f>Cash_Flow!$K14</f>
        <v/>
      </c>
      <c r="L14" s="16" t="n">
        <v>2790000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>
        <f>IF($A15&gt;1,0,Assumptions!$B$22+IF($B15&gt;4,Assumptions!$B$27,0))</f>
        <v/>
      </c>
      <c r="D15" s="10">
        <f>IF($U15&gt;(Assumptions!$B$22 + Assumptions!$B$23),0,IF($B15&gt;4,(Assumptions!$B$22+Assumptions!$B$27)-$U15,Assumptions!$B$22-$U15))</f>
        <v/>
      </c>
      <c r="E15" s="10">
        <f>Cash_Flow!$P15</f>
        <v/>
      </c>
      <c r="F15" s="8" t="n">
        <v>17</v>
      </c>
      <c r="G15" s="8">
        <f>Fleet_Schedule!$I15</f>
        <v/>
      </c>
      <c r="H15" s="10">
        <f>$F15*Assumptions!$B$4</f>
        <v/>
      </c>
      <c r="I15" s="10">
        <f>$G15*Assumptions!$B$4</f>
        <v/>
      </c>
      <c r="J15" s="16">
        <f>Cash_Flow!$J15</f>
        <v/>
      </c>
      <c r="K15" s="16">
        <f>Cash_Flow!$K15</f>
        <v/>
      </c>
      <c r="L15" s="16" t="n">
        <v>3300000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>
        <f>IF($A16&gt;1,0,Assumptions!$B$22+IF($B16&gt;4,Assumptions!$B$27,0))</f>
        <v/>
      </c>
      <c r="D16" s="10">
        <f>IF($U16&gt;(Assumptions!$B$22 + Assumptions!$B$23),0,IF($B16&gt;4,(Assumptions!$B$22+Assumptions!$B$27)-$U16,Assumptions!$B$22-$U16))</f>
        <v/>
      </c>
      <c r="E16" s="10">
        <f>Cash_Flow!$P16</f>
        <v/>
      </c>
      <c r="F16" s="8" t="n">
        <v>17</v>
      </c>
      <c r="G16" s="8">
        <f>Fleet_Schedule!$I16</f>
        <v/>
      </c>
      <c r="H16" s="10">
        <f>$F16*Assumptions!$B$4</f>
        <v/>
      </c>
      <c r="I16" s="10">
        <f>$G16*Assumptions!$B$4</f>
        <v/>
      </c>
      <c r="J16" s="16">
        <f>Cash_Flow!$J16</f>
        <v/>
      </c>
      <c r="K16" s="16">
        <f>Cash_Flow!$K16</f>
        <v/>
      </c>
      <c r="L16" s="16" t="n">
        <v>3810000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>
        <f>IF($A17&gt;1,0,Assumptions!$B$22+IF($B17&gt;4,Assumptions!$B$27,0))</f>
        <v/>
      </c>
      <c r="D17" s="10">
        <f>IF($U17&gt;(Assumptions!$B$22 + Assumptions!$B$23),0,IF($B17&gt;4,(Assumptions!$B$22+Assumptions!$B$27)-$U17,Assumptions!$B$22-$U17))</f>
        <v/>
      </c>
      <c r="E17" s="10">
        <f>Cash_Flow!$P17</f>
        <v/>
      </c>
      <c r="F17" s="8" t="n">
        <v>17</v>
      </c>
      <c r="G17" s="8">
        <f>Fleet_Schedule!$I17</f>
        <v/>
      </c>
      <c r="H17" s="10">
        <f>$F17*Assumptions!$B$4</f>
        <v/>
      </c>
      <c r="I17" s="10">
        <f>$G17*Assumptions!$B$4</f>
        <v/>
      </c>
      <c r="J17" s="16">
        <f>Cash_Flow!$J17</f>
        <v/>
      </c>
      <c r="K17" s="16">
        <f>Cash_Flow!$K17</f>
        <v/>
      </c>
      <c r="L17" s="16" t="n">
        <v>4320000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>
        <f>IF($A18&gt;1,0,Assumptions!$B$22+IF($B18&gt;4,Assumptions!$B$27,0))</f>
        <v/>
      </c>
      <c r="D18" s="10">
        <f>IF($U18&gt;(Assumptions!$B$22 + Assumptions!$B$23),0,IF($B18&gt;4,(Assumptions!$B$22+Assumptions!$B$27)-$U18,Assumptions!$B$22-$U18))</f>
        <v/>
      </c>
      <c r="E18" s="10">
        <f>Cash_Flow!$P18</f>
        <v/>
      </c>
      <c r="F18" s="8" t="n">
        <v>21</v>
      </c>
      <c r="G18" s="8">
        <f>Fleet_Schedule!$I18</f>
        <v/>
      </c>
      <c r="H18" s="10">
        <f>$F18*Assumptions!$B$4</f>
        <v/>
      </c>
      <c r="I18" s="10">
        <f>$G18*Assumptions!$B$4</f>
        <v/>
      </c>
      <c r="J18" s="16">
        <f>Cash_Flow!$J18</f>
        <v/>
      </c>
      <c r="K18" s="16">
        <f>Cash_Flow!$K18</f>
        <v/>
      </c>
      <c r="L18" s="16" t="n">
        <v>4950000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>
        <f>IF($A19&gt;1,0,Assumptions!$B$22+IF($B19&gt;4,Assumptions!$B$27,0))</f>
        <v/>
      </c>
      <c r="D19" s="10">
        <f>IF($U19&gt;(Assumptions!$B$22 + Assumptions!$B$23),0,IF($B19&gt;4,(Assumptions!$B$22+Assumptions!$B$27)-$U19,Assumptions!$B$22-$U19))</f>
        <v/>
      </c>
      <c r="E19" s="10">
        <f>Cash_Flow!$P19</f>
        <v/>
      </c>
      <c r="F19" s="8" t="n">
        <v>21</v>
      </c>
      <c r="G19" s="8">
        <f>Fleet_Schedule!$I19</f>
        <v/>
      </c>
      <c r="H19" s="10">
        <f>$F19*Assumptions!$B$4</f>
        <v/>
      </c>
      <c r="I19" s="10">
        <f>$G19*Assumptions!$B$4</f>
        <v/>
      </c>
      <c r="J19" s="16">
        <f>Cash_Flow!$J19</f>
        <v/>
      </c>
      <c r="K19" s="16">
        <f>Cash_Flow!$K19</f>
        <v/>
      </c>
      <c r="L19" s="16" t="n">
        <v>5580000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>
        <f>IF($A20&gt;1,0,Assumptions!$B$22+IF($B20&gt;4,Assumptions!$B$27,0))</f>
        <v/>
      </c>
      <c r="D20" s="10">
        <f>IF($U20&gt;(Assumptions!$B$22 + Assumptions!$B$23),0,IF($B20&gt;4,(Assumptions!$B$22+Assumptions!$B$27)-$U20,Assumptions!$B$22-$U20))</f>
        <v/>
      </c>
      <c r="E20" s="10">
        <f>Cash_Flow!$P20</f>
        <v/>
      </c>
      <c r="F20" s="8" t="n">
        <v>21</v>
      </c>
      <c r="G20" s="8">
        <f>Fleet_Schedule!$I20</f>
        <v/>
      </c>
      <c r="H20" s="10">
        <f>$F20*Assumptions!$B$4</f>
        <v/>
      </c>
      <c r="I20" s="10">
        <f>$G20*Assumptions!$B$4</f>
        <v/>
      </c>
      <c r="J20" s="16">
        <f>Cash_Flow!$J20</f>
        <v/>
      </c>
      <c r="K20" s="16">
        <f>Cash_Flow!$K20</f>
        <v/>
      </c>
      <c r="L20" s="16" t="n">
        <v>6210000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>
        <f>IF($A21&gt;1,0,Assumptions!$B$22+IF($B21&gt;4,Assumptions!$B$27,0))</f>
        <v/>
      </c>
      <c r="D21" s="10">
        <f>IF($U21&gt;(Assumptions!$B$22 + Assumptions!$B$23),0,IF($B21&gt;4,(Assumptions!$B$22+Assumptions!$B$27)-$U21,Assumptions!$B$22-$U21))</f>
        <v/>
      </c>
      <c r="E21" s="10">
        <f>Cash_Flow!$P21</f>
        <v/>
      </c>
      <c r="F21" s="8" t="n">
        <v>25</v>
      </c>
      <c r="G21" s="8">
        <f>Fleet_Schedule!$I21</f>
        <v/>
      </c>
      <c r="H21" s="10">
        <f>$F21*Assumptions!$B$4</f>
        <v/>
      </c>
      <c r="I21" s="10">
        <f>$G21*Assumptions!$B$4</f>
        <v/>
      </c>
      <c r="J21" s="16">
        <f>Cash_Flow!$J21</f>
        <v/>
      </c>
      <c r="K21" s="16">
        <f>Cash_Flow!$K21</f>
        <v/>
      </c>
      <c r="L21" s="16" t="n">
        <v>6960000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>
        <f>IF($A22&gt;1,0,Assumptions!$B$22+IF($B22&gt;4,Assumptions!$B$27,0))</f>
        <v/>
      </c>
      <c r="D22" s="10">
        <f>IF($U22&gt;(Assumptions!$B$22 + Assumptions!$B$23),0,IF($B22&gt;4,(Assumptions!$B$22+Assumptions!$B$27)-$U22,Assumptions!$B$22-$U22))</f>
        <v/>
      </c>
      <c r="E22" s="10">
        <f>Cash_Flow!$P22</f>
        <v/>
      </c>
      <c r="F22" s="8" t="n">
        <v>25</v>
      </c>
      <c r="G22" s="8">
        <f>Fleet_Schedule!$I22</f>
        <v/>
      </c>
      <c r="H22" s="10">
        <f>$F22*Assumptions!$B$4</f>
        <v/>
      </c>
      <c r="I22" s="10">
        <f>$G22*Assumptions!$B$4</f>
        <v/>
      </c>
      <c r="J22" s="16">
        <f>Cash_Flow!$J22</f>
        <v/>
      </c>
      <c r="K22" s="16">
        <f>Cash_Flow!$K22</f>
        <v/>
      </c>
      <c r="L22" s="16" t="n">
        <v>7710000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>
        <f>IF($A23&gt;1,0,Assumptions!$B$22+IF($B23&gt;4,Assumptions!$B$27,0))</f>
        <v/>
      </c>
      <c r="D23" s="10">
        <f>IF($U23&gt;(Assumptions!$B$22 + Assumptions!$B$23),0,IF($B23&gt;4,(Assumptions!$B$22+Assumptions!$B$27)-$U23,Assumptions!$B$22-$U23))</f>
        <v/>
      </c>
      <c r="E23" s="10">
        <f>Cash_Flow!$P23</f>
        <v/>
      </c>
      <c r="F23" s="8" t="n">
        <v>29</v>
      </c>
      <c r="G23" s="8">
        <f>Fleet_Schedule!$I23</f>
        <v/>
      </c>
      <c r="H23" s="10">
        <f>$F23*Assumptions!$B$4</f>
        <v/>
      </c>
      <c r="I23" s="10">
        <f>$G23*Assumptions!$B$4</f>
        <v/>
      </c>
      <c r="J23" s="16">
        <f>Cash_Flow!$J23</f>
        <v/>
      </c>
      <c r="K23" s="16">
        <f>Cash_Flow!$K23</f>
        <v/>
      </c>
      <c r="L23" s="16" t="n">
        <v>8580000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>
        <f>IF($A24&gt;1,0,Assumptions!$B$22+IF($B24&gt;4,Assumptions!$B$27,0))</f>
        <v/>
      </c>
      <c r="D24" s="10">
        <f>IF($U24&gt;(Assumptions!$B$22 + Assumptions!$B$23),0,IF($B24&gt;4,(Assumptions!$B$22+Assumptions!$B$27)-$U24,Assumptions!$B$22-$U24))</f>
        <v/>
      </c>
      <c r="E24" s="10">
        <f>Cash_Flow!$P24</f>
        <v/>
      </c>
      <c r="F24" s="8" t="n">
        <v>29</v>
      </c>
      <c r="G24" s="8">
        <f>Fleet_Schedule!$I24</f>
        <v/>
      </c>
      <c r="H24" s="10">
        <f>$F24*Assumptions!$B$4</f>
        <v/>
      </c>
      <c r="I24" s="10">
        <f>$G24*Assumptions!$B$4</f>
        <v/>
      </c>
      <c r="J24" s="16">
        <f>Cash_Flow!$J24</f>
        <v/>
      </c>
      <c r="K24" s="16">
        <f>Cash_Flow!$K24</f>
        <v/>
      </c>
      <c r="L24" s="16" t="n">
        <v>9450000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>
        <f>IF($A25&gt;1,0,Assumptions!$B$22+IF($B25&gt;4,Assumptions!$B$27,0))</f>
        <v/>
      </c>
      <c r="D25" s="10">
        <f>IF($U25&gt;(Assumptions!$B$22 + Assumptions!$B$23),0,IF($B25&gt;4,(Assumptions!$B$22+Assumptions!$B$27)-$U25,Assumptions!$B$22-$U25))</f>
        <v/>
      </c>
      <c r="E25" s="10">
        <f>Cash_Flow!$P25</f>
        <v/>
      </c>
      <c r="F25" s="8" t="n">
        <v>29</v>
      </c>
      <c r="G25" s="8">
        <f>Fleet_Schedule!$I25</f>
        <v/>
      </c>
      <c r="H25" s="10">
        <f>$F25*Assumptions!$B$4</f>
        <v/>
      </c>
      <c r="I25" s="10">
        <f>$G25*Assumptions!$B$4</f>
        <v/>
      </c>
      <c r="J25" s="16">
        <f>Cash_Flow!$J25</f>
        <v/>
      </c>
      <c r="K25" s="16">
        <f>Cash_Flow!$K25</f>
        <v/>
      </c>
      <c r="L25" s="16" t="n">
        <v>10320000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>
        <f>IF($A26&gt;1,0,Assumptions!$B$22+IF($B26&gt;4,Assumptions!$B$27,0))</f>
        <v/>
      </c>
      <c r="D26" s="10">
        <f>IF($U26&gt;(Assumptions!$B$22 + Assumptions!$B$23),0,IF($B26&gt;4,(Assumptions!$B$22+Assumptions!$B$27)-$U26,Assumptions!$B$22-$U26))</f>
        <v/>
      </c>
      <c r="E26" s="10">
        <f>Cash_Flow!$P26</f>
        <v/>
      </c>
      <c r="F26" s="8" t="n">
        <v>33</v>
      </c>
      <c r="G26" s="8">
        <f>Fleet_Schedule!$I26</f>
        <v/>
      </c>
      <c r="H26" s="10">
        <f>$F26*Assumptions!$B$4</f>
        <v/>
      </c>
      <c r="I26" s="10">
        <f>$G26*Assumptions!$B$4</f>
        <v/>
      </c>
      <c r="J26" s="16">
        <f>Cash_Flow!$J26</f>
        <v/>
      </c>
      <c r="K26" s="16">
        <f>Cash_Flow!$K26</f>
        <v/>
      </c>
      <c r="L26" s="16" t="n">
        <v>11310000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>
        <f>IF($A27&gt;1,0,Assumptions!$B$22+IF($B27&gt;4,Assumptions!$B$27,0))</f>
        <v/>
      </c>
      <c r="D27" s="10">
        <f>IF($U27&gt;(Assumptions!$B$22 + Assumptions!$B$23),0,IF($B27&gt;4,(Assumptions!$B$22+Assumptions!$B$27)-$U27,Assumptions!$B$22-$U27))</f>
        <v/>
      </c>
      <c r="E27" s="10">
        <f>Cash_Flow!$P27</f>
        <v/>
      </c>
      <c r="F27" s="8" t="n">
        <v>29</v>
      </c>
      <c r="G27" s="8">
        <f>Fleet_Schedule!$I27</f>
        <v/>
      </c>
      <c r="H27" s="10">
        <f>$F27*Assumptions!$B$4</f>
        <v/>
      </c>
      <c r="I27" s="10">
        <f>$G27*Assumptions!$B$4</f>
        <v/>
      </c>
      <c r="J27" s="16">
        <f>Cash_Flow!$J27</f>
        <v/>
      </c>
      <c r="K27" s="16">
        <f>Cash_Flow!$K27</f>
        <v/>
      </c>
      <c r="L27" s="16" t="n">
        <v>12180000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>
        <f>IF($A28&gt;1,0,Assumptions!$B$22+IF($B28&gt;4,Assumptions!$B$27,0))</f>
        <v/>
      </c>
      <c r="D28" s="10">
        <f>IF($U28&gt;(Assumptions!$B$22 + Assumptions!$B$23),0,IF($B28&gt;4,(Assumptions!$B$22+Assumptions!$B$27)-$U28,Assumptions!$B$22-$U28))</f>
        <v/>
      </c>
      <c r="E28" s="10">
        <f>Cash_Flow!$P28</f>
        <v/>
      </c>
      <c r="F28" s="8" t="n">
        <v>33</v>
      </c>
      <c r="G28" s="8">
        <f>Fleet_Schedule!$I28</f>
        <v/>
      </c>
      <c r="H28" s="10">
        <f>$F28*Assumptions!$B$4</f>
        <v/>
      </c>
      <c r="I28" s="10">
        <f>$G28*Assumptions!$B$4</f>
        <v/>
      </c>
      <c r="J28" s="16">
        <f>Cash_Flow!$J28</f>
        <v/>
      </c>
      <c r="K28" s="16">
        <f>Cash_Flow!$K28</f>
        <v/>
      </c>
      <c r="L28" s="16" t="n">
        <v>13170000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>
        <f>IF($A29&gt;1,0,Assumptions!$B$22+IF($B29&gt;4,Assumptions!$B$27,0))</f>
        <v/>
      </c>
      <c r="D29" s="10">
        <f>IF($U29&gt;(Assumptions!$B$22 + Assumptions!$B$23),0,IF($B29&gt;4,(Assumptions!$B$22+Assumptions!$B$27)-$U29,Assumptions!$B$22-$U29))</f>
        <v/>
      </c>
      <c r="E29" s="10">
        <f>Cash_Flow!$P29</f>
        <v/>
      </c>
      <c r="F29" s="8" t="n">
        <v>33</v>
      </c>
      <c r="G29" s="8">
        <f>Fleet_Schedule!$I29</f>
        <v/>
      </c>
      <c r="H29" s="10">
        <f>$F29*Assumptions!$B$4</f>
        <v/>
      </c>
      <c r="I29" s="10">
        <f>$G29*Assumptions!$B$4</f>
        <v/>
      </c>
      <c r="J29" s="16">
        <f>Cash_Flow!$J29</f>
        <v/>
      </c>
      <c r="K29" s="16">
        <f>Cash_Flow!$K29</f>
        <v/>
      </c>
      <c r="L29" s="16" t="n">
        <v>14160000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>
        <f>IF($A30&gt;1,0,Assumptions!$B$22+IF($B30&gt;4,Assumptions!$B$27,0))</f>
        <v/>
      </c>
      <c r="D30" s="10">
        <f>IF($U30&gt;(Assumptions!$B$22 + Assumptions!$B$23),0,IF($B30&gt;4,(Assumptions!$B$22+Assumptions!$B$27)-$U30,Assumptions!$B$22-$U30))</f>
        <v/>
      </c>
      <c r="E30" s="10">
        <f>Cash_Flow!$P30</f>
        <v/>
      </c>
      <c r="F30" s="8" t="n">
        <v>33</v>
      </c>
      <c r="G30" s="8">
        <f>Fleet_Schedule!$I30</f>
        <v/>
      </c>
      <c r="H30" s="10">
        <f>$F30*Assumptions!$B$4</f>
        <v/>
      </c>
      <c r="I30" s="10">
        <f>$G30*Assumptions!$B$4</f>
        <v/>
      </c>
      <c r="J30" s="16">
        <f>Cash_Flow!$J30</f>
        <v/>
      </c>
      <c r="K30" s="16">
        <f>Cash_Flow!$K30</f>
        <v/>
      </c>
      <c r="L30" s="16" t="n">
        <v>15150000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>
        <f>IF($A31&gt;1,0,Assumptions!$B$22+IF($B31&gt;4,Assumptions!$B$27,0))</f>
        <v/>
      </c>
      <c r="D31" s="10">
        <f>IF($U31&gt;(Assumptions!$B$22 + Assumptions!$B$23),0,IF($B31&gt;4,(Assumptions!$B$22+Assumptions!$B$27)-$U31,Assumptions!$B$22-$U31))</f>
        <v/>
      </c>
      <c r="E31" s="10">
        <f>Cash_Flow!$P31</f>
        <v/>
      </c>
      <c r="F31" s="8" t="n">
        <v>38</v>
      </c>
      <c r="G31" s="8">
        <f>Fleet_Schedule!$I31</f>
        <v/>
      </c>
      <c r="H31" s="10">
        <f>$F31*Assumptions!$B$4</f>
        <v/>
      </c>
      <c r="I31" s="10">
        <f>$G31*Assumptions!$B$4</f>
        <v/>
      </c>
      <c r="J31" s="16">
        <f>Cash_Flow!$J31</f>
        <v/>
      </c>
      <c r="K31" s="16">
        <f>Cash_Flow!$K31</f>
        <v/>
      </c>
      <c r="L31" s="16" t="n">
        <v>16290000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>
        <f>IF($A32&gt;1,0,Assumptions!$B$22+IF($B32&gt;4,Assumptions!$B$27,0))</f>
        <v/>
      </c>
      <c r="D32" s="10">
        <f>IF($U32&gt;(Assumptions!$B$22 + Assumptions!$B$23),0,IF($B32&gt;4,(Assumptions!$B$22+Assumptions!$B$27)-$U32,Assumptions!$B$22-$U32))</f>
        <v/>
      </c>
      <c r="E32" s="10">
        <f>Cash_Flow!$P32</f>
        <v/>
      </c>
      <c r="F32" s="8" t="n">
        <v>38</v>
      </c>
      <c r="G32" s="8">
        <f>Fleet_Schedule!$I32</f>
        <v/>
      </c>
      <c r="H32" s="10">
        <f>$F32*Assumptions!$B$4</f>
        <v/>
      </c>
      <c r="I32" s="10">
        <f>$G32*Assumptions!$B$4</f>
        <v/>
      </c>
      <c r="J32" s="16">
        <f>Cash_Flow!$J32</f>
        <v/>
      </c>
      <c r="K32" s="16">
        <f>Cash_Flow!$K32</f>
        <v/>
      </c>
      <c r="L32" s="16" t="n">
        <v>17430000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>
        <f>IF($A33&gt;1,0,Assumptions!$B$22+IF($B33&gt;4,Assumptions!$B$27,0))</f>
        <v/>
      </c>
      <c r="D33" s="10">
        <f>IF($U33&gt;(Assumptions!$B$22 + Assumptions!$B$23),0,IF($B33&gt;4,(Assumptions!$B$22+Assumptions!$B$27)-$U33,Assumptions!$B$22-$U33))</f>
        <v/>
      </c>
      <c r="E33" s="10">
        <f>Cash_Flow!$P33</f>
        <v/>
      </c>
      <c r="F33" s="8" t="n">
        <v>42</v>
      </c>
      <c r="G33" s="8">
        <f>Fleet_Schedule!$I33</f>
        <v/>
      </c>
      <c r="H33" s="10">
        <f>$F33*Assumptions!$B$4</f>
        <v/>
      </c>
      <c r="I33" s="10">
        <f>$G33*Assumptions!$B$4</f>
        <v/>
      </c>
      <c r="J33" s="16">
        <f>Cash_Flow!$J33</f>
        <v/>
      </c>
      <c r="K33" s="16">
        <f>Cash_Flow!$K33</f>
        <v/>
      </c>
      <c r="L33" s="16" t="n">
        <v>18690000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>
        <f>IF($A34&gt;1,0,Assumptions!$B$22+IF($B34&gt;4,Assumptions!$B$27,0))</f>
        <v/>
      </c>
      <c r="D34" s="10">
        <f>IF($U34&gt;(Assumptions!$B$22 + Assumptions!$B$23),0,IF($B34&gt;4,(Assumptions!$B$22+Assumptions!$B$27)-$U34,Assumptions!$B$22-$U34))</f>
        <v/>
      </c>
      <c r="E34" s="10">
        <f>Cash_Flow!$P34</f>
        <v/>
      </c>
      <c r="F34" s="8" t="n">
        <v>33</v>
      </c>
      <c r="G34" s="8">
        <f>Fleet_Schedule!$I34</f>
        <v/>
      </c>
      <c r="H34" s="10">
        <f>$F34*Assumptions!$B$4</f>
        <v/>
      </c>
      <c r="I34" s="10">
        <f>$G34*Assumptions!$B$4</f>
        <v/>
      </c>
      <c r="J34" s="16">
        <f>Cash_Flow!$J34</f>
        <v/>
      </c>
      <c r="K34" s="16">
        <f>Cash_Flow!$K34</f>
        <v/>
      </c>
      <c r="L34" s="16" t="n">
        <v>19680000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>
        <f>IF($A35&gt;1,0,Assumptions!$B$22+IF($B35&gt;4,Assumptions!$B$27,0))</f>
        <v/>
      </c>
      <c r="D35" s="10">
        <f>IF($U35&gt;(Assumptions!$B$22 + Assumptions!$B$23),0,IF($B35&gt;4,(Assumptions!$B$22+Assumptions!$B$27)-$U35,Assumptions!$B$22-$U35))</f>
        <v/>
      </c>
      <c r="E35" s="10">
        <f>Cash_Flow!$P35</f>
        <v/>
      </c>
      <c r="F35" s="8" t="n">
        <v>37</v>
      </c>
      <c r="G35" s="8">
        <f>Fleet_Schedule!$I35</f>
        <v/>
      </c>
      <c r="H35" s="10">
        <f>$F35*Assumptions!$B$4</f>
        <v/>
      </c>
      <c r="I35" s="10">
        <f>$G35*Assumptions!$B$4</f>
        <v/>
      </c>
      <c r="J35" s="16">
        <f>Cash_Flow!$J35</f>
        <v/>
      </c>
      <c r="K35" s="16">
        <f>Cash_Flow!$K35</f>
        <v/>
      </c>
      <c r="L35" s="16" t="n">
        <v>20790000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>
        <f>IF($A36&gt;1,0,Assumptions!$B$22+IF($B36&gt;4,Assumptions!$B$27,0))</f>
        <v/>
      </c>
      <c r="D36" s="10">
        <f>IF($U36&gt;(Assumptions!$B$22 + Assumptions!$B$23),0,IF($B36&gt;4,(Assumptions!$B$22+Assumptions!$B$27)-$U36,Assumptions!$B$22-$U36))</f>
        <v/>
      </c>
      <c r="E36" s="10">
        <f>Cash_Flow!$P36</f>
        <v/>
      </c>
      <c r="F36" s="8" t="n">
        <v>37</v>
      </c>
      <c r="G36" s="8">
        <f>Fleet_Schedule!$I36</f>
        <v/>
      </c>
      <c r="H36" s="10">
        <f>$F36*Assumptions!$B$4</f>
        <v/>
      </c>
      <c r="I36" s="10">
        <f>$G36*Assumptions!$B$4</f>
        <v/>
      </c>
      <c r="J36" s="16">
        <f>Cash_Flow!$J36</f>
        <v/>
      </c>
      <c r="K36" s="16">
        <f>Cash_Flow!$K36</f>
        <v/>
      </c>
      <c r="L36" s="16" t="n">
        <v>21900000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>
        <f>IF($A37&gt;1,0,Assumptions!$B$22+IF($B37&gt;4,Assumptions!$B$27,0))</f>
        <v/>
      </c>
      <c r="D37" s="10">
        <f>IF($U37&gt;(Assumptions!$B$22 + Assumptions!$B$23),0,IF($B37&gt;4,(Assumptions!$B$22+Assumptions!$B$27)-$U37,Assumptions!$B$22-$U37))</f>
        <v/>
      </c>
      <c r="E37" s="10">
        <f>Cash_Flow!$P37</f>
        <v/>
      </c>
      <c r="F37" s="8" t="n">
        <v>41</v>
      </c>
      <c r="G37" s="8">
        <f>Fleet_Schedule!$I37</f>
        <v/>
      </c>
      <c r="H37" s="10">
        <f>$F37*Assumptions!$B$4</f>
        <v/>
      </c>
      <c r="I37" s="10">
        <f>$G37*Assumptions!$B$4</f>
        <v/>
      </c>
      <c r="J37" s="16">
        <f>Cash_Flow!$J37</f>
        <v/>
      </c>
      <c r="K37" s="16">
        <f>Cash_Flow!$K37</f>
        <v/>
      </c>
      <c r="L37" s="16" t="n">
        <v>23130000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>
        <f>IF($A38&gt;1,0,Assumptions!$B$22+IF($B38&gt;4,Assumptions!$B$27,0))</f>
        <v/>
      </c>
      <c r="D38" s="10">
        <f>IF($U38&gt;(Assumptions!$B$22 + Assumptions!$B$23),0,IF($B38&gt;4,(Assumptions!$B$22+Assumptions!$B$27)-$U38,Assumptions!$B$22-$U38))</f>
        <v/>
      </c>
      <c r="E38" s="10">
        <f>Cash_Flow!$P38</f>
        <v/>
      </c>
      <c r="F38" s="8" t="n">
        <v>41</v>
      </c>
      <c r="G38" s="8">
        <f>Fleet_Schedule!$I38</f>
        <v/>
      </c>
      <c r="H38" s="10">
        <f>$F38*Assumptions!$B$4</f>
        <v/>
      </c>
      <c r="I38" s="10">
        <f>$G38*Assumptions!$B$4</f>
        <v/>
      </c>
      <c r="J38" s="16">
        <f>Cash_Flow!$J38</f>
        <v/>
      </c>
      <c r="K38" s="16">
        <f>Cash_Flow!$K38</f>
        <v/>
      </c>
      <c r="L38" s="16" t="n">
        <v>24360000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>
        <f>IF($A39&gt;1,0,Assumptions!$B$22+IF($B39&gt;4,Assumptions!$B$27,0))</f>
        <v/>
      </c>
      <c r="D39" s="10">
        <f>IF($U39&gt;(Assumptions!$B$22 + Assumptions!$B$23),0,IF($B39&gt;4,(Assumptions!$B$22+Assumptions!$B$27)-$U39,Assumptions!$B$22-$U39))</f>
        <v/>
      </c>
      <c r="E39" s="10">
        <f>Cash_Flow!$P39</f>
        <v/>
      </c>
      <c r="F39" s="8" t="n">
        <v>41</v>
      </c>
      <c r="G39" s="8">
        <f>Fleet_Schedule!$I39</f>
        <v/>
      </c>
      <c r="H39" s="10">
        <f>$F39*Assumptions!$B$4</f>
        <v/>
      </c>
      <c r="I39" s="10">
        <f>$G39*Assumptions!$B$4</f>
        <v/>
      </c>
      <c r="J39" s="16">
        <f>Cash_Flow!$J39</f>
        <v/>
      </c>
      <c r="K39" s="16">
        <f>Cash_Flow!$K39</f>
        <v/>
      </c>
      <c r="L39" s="16" t="n">
        <v>25590000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>
        <f>IF($A40&gt;1,0,Assumptions!$B$22+IF($B40&gt;4,Assumptions!$B$27,0))</f>
        <v/>
      </c>
      <c r="D40" s="10">
        <f>IF($U40&gt;(Assumptions!$B$22 + Assumptions!$B$23),0,IF($B40&gt;4,(Assumptions!$B$22+Assumptions!$B$27)-$U40,Assumptions!$B$22-$U40))</f>
        <v/>
      </c>
      <c r="E40" s="10">
        <f>Cash_Flow!$P40</f>
        <v/>
      </c>
      <c r="F40" s="8" t="n">
        <v>41</v>
      </c>
      <c r="G40" s="8">
        <f>Fleet_Schedule!$I40</f>
        <v/>
      </c>
      <c r="H40" s="10">
        <f>$F40*Assumptions!$B$4</f>
        <v/>
      </c>
      <c r="I40" s="10">
        <f>$G40*Assumptions!$B$4</f>
        <v/>
      </c>
      <c r="J40" s="16">
        <f>Cash_Flow!$J40</f>
        <v/>
      </c>
      <c r="K40" s="16">
        <f>Cash_Flow!$K40</f>
        <v/>
      </c>
      <c r="L40" s="16" t="n">
        <v>26820000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>
        <f>IF($A41&gt;1,0,Assumptions!$B$22+IF($B41&gt;4,Assumptions!$B$27,0))</f>
        <v/>
      </c>
      <c r="D41" s="10">
        <f>IF($U41&gt;(Assumptions!$B$22 + Assumptions!$B$23),0,IF($B41&gt;4,(Assumptions!$B$22+Assumptions!$B$27)-$U41,Assumptions!$B$22-$U41))</f>
        <v/>
      </c>
      <c r="E41" s="10">
        <f>Cash_Flow!$P41</f>
        <v/>
      </c>
      <c r="F41" s="8" t="n">
        <v>45</v>
      </c>
      <c r="G41" s="8">
        <f>Fleet_Schedule!$I41</f>
        <v/>
      </c>
      <c r="H41" s="10">
        <f>$F41*Assumptions!$B$4</f>
        <v/>
      </c>
      <c r="I41" s="10">
        <f>$G41*Assumptions!$B$4</f>
        <v/>
      </c>
      <c r="J41" s="16">
        <f>Cash_Flow!$J41</f>
        <v/>
      </c>
      <c r="K41" s="16">
        <f>Cash_Flow!$K41</f>
        <v/>
      </c>
      <c r="L41" s="16" t="n">
        <v>28170000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>
        <f>IF($A42&gt;1,0,Assumptions!$B$22+IF($B42&gt;4,Assumptions!$B$27,0))</f>
        <v/>
      </c>
      <c r="D42" s="10">
        <f>IF($U42&gt;(Assumptions!$B$22 + Assumptions!$B$23),0,IF($B42&gt;4,(Assumptions!$B$22+Assumptions!$B$27)-$U42,Assumptions!$B$22-$U42))</f>
        <v/>
      </c>
      <c r="E42" s="10">
        <f>Cash_Flow!$P42</f>
        <v/>
      </c>
      <c r="F42" s="8" t="n">
        <v>41</v>
      </c>
      <c r="G42" s="8">
        <f>Fleet_Schedule!$I42</f>
        <v/>
      </c>
      <c r="H42" s="10">
        <f>$F42*Assumptions!$B$4</f>
        <v/>
      </c>
      <c r="I42" s="10">
        <f>$G42*Assumptions!$B$4</f>
        <v/>
      </c>
      <c r="J42" s="16">
        <f>Cash_Flow!$J42</f>
        <v/>
      </c>
      <c r="K42" s="16">
        <f>Cash_Flow!$K42</f>
        <v/>
      </c>
      <c r="L42" s="16" t="n">
        <v>29400000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>
        <f>IF($A43&gt;1,0,Assumptions!$B$22+IF($B43&gt;4,Assumptions!$B$27,0))</f>
        <v/>
      </c>
      <c r="D43" s="10">
        <f>IF($U43&gt;(Assumptions!$B$22 + Assumptions!$B$23),0,IF($B43&gt;4,(Assumptions!$B$22+Assumptions!$B$27)-$U43,Assumptions!$B$22-$U43))</f>
        <v/>
      </c>
      <c r="E43" s="10">
        <f>Cash_Flow!$P43</f>
        <v/>
      </c>
      <c r="F43" s="8" t="n">
        <v>45</v>
      </c>
      <c r="G43" s="8">
        <f>Fleet_Schedule!$I43</f>
        <v/>
      </c>
      <c r="H43" s="10">
        <f>$F43*Assumptions!$B$4</f>
        <v/>
      </c>
      <c r="I43" s="10">
        <f>$G43*Assumptions!$B$4</f>
        <v/>
      </c>
      <c r="J43" s="16">
        <f>Cash_Flow!$J43</f>
        <v/>
      </c>
      <c r="K43" s="16">
        <f>Cash_Flow!$K43</f>
        <v/>
      </c>
      <c r="L43" s="16" t="n">
        <v>30750000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>
        <f>IF($A44&gt;1,0,Assumptions!$B$22+IF($B44&gt;4,Assumptions!$B$27,0))</f>
        <v/>
      </c>
      <c r="D44" s="10">
        <f>IF($U44&gt;(Assumptions!$B$22 + Assumptions!$B$23),0,IF($B44&gt;4,(Assumptions!$B$22+Assumptions!$B$27)-$U44,Assumptions!$B$22-$U44))</f>
        <v/>
      </c>
      <c r="E44" s="10">
        <f>Cash_Flow!$P44</f>
        <v/>
      </c>
      <c r="F44" s="8" t="n">
        <v>45</v>
      </c>
      <c r="G44" s="8">
        <f>Fleet_Schedule!$I44</f>
        <v/>
      </c>
      <c r="H44" s="10">
        <f>$F44*Assumptions!$B$4</f>
        <v/>
      </c>
      <c r="I44" s="10">
        <f>$G44*Assumptions!$B$4</f>
        <v/>
      </c>
      <c r="J44" s="16">
        <f>Cash_Flow!$J44</f>
        <v/>
      </c>
      <c r="K44" s="16">
        <f>Cash_Flow!$K44</f>
        <v/>
      </c>
      <c r="L44" s="16" t="n">
        <v>32100000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>
        <f>IF($A45&gt;1,0,Assumptions!$B$22+IF($B45&gt;4,Assumptions!$B$27,0))</f>
        <v/>
      </c>
      <c r="D45" s="10">
        <f>IF($U45&gt;(Assumptions!$B$22 + Assumptions!$B$23),0,IF($B45&gt;4,(Assumptions!$B$22+Assumptions!$B$27)-$U45,Assumptions!$B$22-$U45))</f>
        <v/>
      </c>
      <c r="E45" s="10">
        <f>Cash_Flow!$P45</f>
        <v/>
      </c>
      <c r="F45" s="8" t="n">
        <v>46</v>
      </c>
      <c r="G45" s="8">
        <f>Fleet_Schedule!$I45</f>
        <v/>
      </c>
      <c r="H45" s="10">
        <f>$F45*Assumptions!$B$4</f>
        <v/>
      </c>
      <c r="I45" s="10">
        <f>$G45*Assumptions!$B$4</f>
        <v/>
      </c>
      <c r="J45" s="16">
        <f>Cash_Flow!$J45</f>
        <v/>
      </c>
      <c r="K45" s="16">
        <f>Cash_Flow!$K45</f>
        <v/>
      </c>
      <c r="L45" s="16" t="n">
        <v>33480000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>
        <f>IF($A46&gt;1,0,Assumptions!$B$22+IF($B46&gt;4,Assumptions!$B$27,0))</f>
        <v/>
      </c>
      <c r="D46" s="10">
        <f>IF($U46&gt;(Assumptions!$B$22 + Assumptions!$B$23),0,IF($B46&gt;4,(Assumptions!$B$22+Assumptions!$B$27)-$U46,Assumptions!$B$22-$U46))</f>
        <v/>
      </c>
      <c r="E46" s="10">
        <f>Cash_Flow!$P46</f>
        <v/>
      </c>
      <c r="F46" s="8" t="n">
        <v>46</v>
      </c>
      <c r="G46" s="8">
        <f>Fleet_Schedule!$I46</f>
        <v/>
      </c>
      <c r="H46" s="10">
        <f>$F46*Assumptions!$B$4</f>
        <v/>
      </c>
      <c r="I46" s="10">
        <f>$G46*Assumptions!$B$4</f>
        <v/>
      </c>
      <c r="J46" s="16">
        <f>Cash_Flow!$J46</f>
        <v/>
      </c>
      <c r="K46" s="16">
        <f>Cash_Flow!$K46</f>
        <v/>
      </c>
      <c r="L46" s="16" t="n">
        <v>34860000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>
        <f>IF($A47&gt;1,0,Assumptions!$B$22+IF($B47&gt;4,Assumptions!$B$27,0))</f>
        <v/>
      </c>
      <c r="D47" s="10">
        <f>IF($U47&gt;(Assumptions!$B$22 + Assumptions!$B$23),0,IF($B47&gt;4,(Assumptions!$B$22+Assumptions!$B$27)-$U47,Assumptions!$B$22-$U47))</f>
        <v/>
      </c>
      <c r="E47" s="10">
        <f>Cash_Flow!$P47</f>
        <v/>
      </c>
      <c r="F47" s="8" t="n">
        <v>47</v>
      </c>
      <c r="G47" s="8">
        <f>Fleet_Schedule!$I47</f>
        <v/>
      </c>
      <c r="H47" s="10">
        <f>$F47*Assumptions!$B$4</f>
        <v/>
      </c>
      <c r="I47" s="10">
        <f>$G47*Assumptions!$B$4</f>
        <v/>
      </c>
      <c r="J47" s="16">
        <f>Cash_Flow!$J47</f>
        <v/>
      </c>
      <c r="K47" s="16">
        <f>Cash_Flow!$K47</f>
        <v/>
      </c>
      <c r="L47" s="16" t="n">
        <v>36270000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>
        <f>IF($A48&gt;1,0,Assumptions!$B$22+IF($B48&gt;4,Assumptions!$B$27,0))</f>
        <v/>
      </c>
      <c r="D48" s="10">
        <f>IF($U48&gt;(Assumptions!$B$22 + Assumptions!$B$23),0,IF($B48&gt;4,(Assumptions!$B$22+Assumptions!$B$27)-$U48,Assumptions!$B$22-$U48))</f>
        <v/>
      </c>
      <c r="E48" s="10">
        <f>Cash_Flow!$P48</f>
        <v/>
      </c>
      <c r="F48" s="8" t="n">
        <v>47</v>
      </c>
      <c r="G48" s="8">
        <f>Fleet_Schedule!$I48</f>
        <v/>
      </c>
      <c r="H48" s="10">
        <f>$F48*Assumptions!$B$4</f>
        <v/>
      </c>
      <c r="I48" s="10">
        <f>$G48*Assumptions!$B$4</f>
        <v/>
      </c>
      <c r="J48" s="16">
        <f>Cash_Flow!$J48</f>
        <v/>
      </c>
      <c r="K48" s="16">
        <f>Cash_Flow!$K48</f>
        <v/>
      </c>
      <c r="L48" s="16" t="n">
        <v>37680000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>
        <f>IF($A49&gt;1,0,Assumptions!$B$22+IF($B49&gt;4,Assumptions!$B$27,0))</f>
        <v/>
      </c>
      <c r="D49" s="10">
        <f>IF($U49&gt;(Assumptions!$B$22 + Assumptions!$B$23),0,IF($B49&gt;4,(Assumptions!$B$22+Assumptions!$B$27)-$U49,Assumptions!$B$22-$U49))</f>
        <v/>
      </c>
      <c r="E49" s="10">
        <f>Cash_Flow!$P49</f>
        <v/>
      </c>
      <c r="F49" s="8" t="n">
        <v>52</v>
      </c>
      <c r="G49" s="8">
        <f>Fleet_Schedule!$I49</f>
        <v/>
      </c>
      <c r="H49" s="10">
        <f>$F49*Assumptions!$B$4</f>
        <v/>
      </c>
      <c r="I49" s="10">
        <f>$G49*Assumptions!$B$4</f>
        <v/>
      </c>
      <c r="J49" s="16">
        <f>Cash_Flow!$J49</f>
        <v/>
      </c>
      <c r="K49" s="16">
        <f>Cash_Flow!$K49</f>
        <v/>
      </c>
      <c r="L49" s="16" t="n">
        <v>39240000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>
        <f>IF($A50&gt;1,0,Assumptions!$B$22+IF($B50&gt;4,Assumptions!$B$27,0))</f>
        <v/>
      </c>
      <c r="D50" s="10">
        <f>IF($U50&gt;(Assumptions!$B$22 + Assumptions!$B$23),0,IF($B50&gt;4,(Assumptions!$B$22+Assumptions!$B$27)-$U50,Assumptions!$B$22-$U50))</f>
        <v/>
      </c>
      <c r="E50" s="10">
        <f>Cash_Flow!$P50</f>
        <v/>
      </c>
      <c r="F50" s="8" t="n">
        <v>48</v>
      </c>
      <c r="G50" s="8">
        <f>Fleet_Schedule!$I50</f>
        <v/>
      </c>
      <c r="H50" s="10">
        <f>$F50*Assumptions!$B$4</f>
        <v/>
      </c>
      <c r="I50" s="10">
        <f>$G50*Assumptions!$B$4</f>
        <v/>
      </c>
      <c r="J50" s="16">
        <f>Cash_Flow!$J50</f>
        <v/>
      </c>
      <c r="K50" s="16">
        <f>Cash_Flow!$K50</f>
        <v/>
      </c>
      <c r="L50" s="16" t="n">
        <v>40680000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>
        <f>IF($A51&gt;1,0,Assumptions!$B$22+IF($B51&gt;4,Assumptions!$B$27,0))</f>
        <v/>
      </c>
      <c r="D51" s="10">
        <f>IF($U51&gt;(Assumptions!$B$22 + Assumptions!$B$23),0,IF($B51&gt;4,(Assumptions!$B$22+Assumptions!$B$27)-$U51,Assumptions!$B$22-$U51))</f>
        <v/>
      </c>
      <c r="E51" s="10">
        <f>Cash_Flow!$P51</f>
        <v/>
      </c>
      <c r="F51" s="8" t="n">
        <v>52</v>
      </c>
      <c r="G51" s="8">
        <f>Fleet_Schedule!$I51</f>
        <v/>
      </c>
      <c r="H51" s="10">
        <f>$F51*Assumptions!$B$4</f>
        <v/>
      </c>
      <c r="I51" s="10">
        <f>$G51*Assumptions!$B$4</f>
        <v/>
      </c>
      <c r="J51" s="16">
        <f>Cash_Flow!$J51</f>
        <v/>
      </c>
      <c r="K51" s="16">
        <f>Cash_Flow!$K51</f>
        <v/>
      </c>
      <c r="L51" s="16" t="n">
        <v>42240000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>
        <f>IF($A52&gt;1,0,Assumptions!$B$22+IF($B52&gt;4,Assumptions!$B$27,0))</f>
        <v/>
      </c>
      <c r="D52" s="10">
        <f>IF($U52&gt;(Assumptions!$B$22 + Assumptions!$B$23),0,IF($B52&gt;4,(Assumptions!$B$22+Assumptions!$B$27)-$U52,Assumptions!$B$22-$U52))</f>
        <v/>
      </c>
      <c r="E52" s="10">
        <f>Cash_Flow!$P52</f>
        <v/>
      </c>
      <c r="F52" s="8" t="n">
        <v>48</v>
      </c>
      <c r="G52" s="8">
        <f>Fleet_Schedule!$I52</f>
        <v/>
      </c>
      <c r="H52" s="10">
        <f>$F52*Assumptions!$B$4</f>
        <v/>
      </c>
      <c r="I52" s="10">
        <f>$G52*Assumptions!$B$4</f>
        <v/>
      </c>
      <c r="J52" s="16">
        <f>Cash_Flow!$J52</f>
        <v/>
      </c>
      <c r="K52" s="16">
        <f>Cash_Flow!$K52</f>
        <v/>
      </c>
      <c r="L52" s="16" t="n">
        <v>43680000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>
        <f>IF($A53&gt;1,0,Assumptions!$B$22+IF($B53&gt;4,Assumptions!$B$27,0))</f>
        <v/>
      </c>
      <c r="D53" s="10">
        <f>IF($U53&gt;(Assumptions!$B$22 + Assumptions!$B$23),0,IF($B53&gt;4,(Assumptions!$B$22+Assumptions!$B$27)-$U53,Assumptions!$B$22-$U53))</f>
        <v/>
      </c>
      <c r="E53" s="10">
        <f>Cash_Flow!$P53</f>
        <v/>
      </c>
      <c r="F53" s="8" t="n">
        <v>54</v>
      </c>
      <c r="G53" s="8">
        <f>Fleet_Schedule!$I53</f>
        <v/>
      </c>
      <c r="H53" s="10">
        <f>$F53*Assumptions!$B$4</f>
        <v/>
      </c>
      <c r="I53" s="10">
        <f>$G53*Assumptions!$B$4</f>
        <v/>
      </c>
      <c r="J53" s="16">
        <f>Cash_Flow!$J53</f>
        <v/>
      </c>
      <c r="K53" s="16">
        <f>Cash_Flow!$K53</f>
        <v/>
      </c>
      <c r="L53" s="16" t="n">
        <v>45300000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>
        <f>IF($A54&gt;1,0,Assumptions!$B$22+IF($B54&gt;4,Assumptions!$B$27,0))</f>
        <v/>
      </c>
      <c r="D54" s="10">
        <f>IF($U54&gt;(Assumptions!$B$22 + Assumptions!$B$23),0,IF($B54&gt;4,(Assumptions!$B$22+Assumptions!$B$27)-$U54,Assumptions!$B$22-$U54))</f>
        <v/>
      </c>
      <c r="E54" s="10">
        <f>Cash_Flow!$P54</f>
        <v/>
      </c>
      <c r="F54" s="8" t="n">
        <v>54</v>
      </c>
      <c r="G54" s="8">
        <f>Fleet_Schedule!$I54</f>
        <v/>
      </c>
      <c r="H54" s="10">
        <f>$F54*Assumptions!$B$4</f>
        <v/>
      </c>
      <c r="I54" s="10">
        <f>$G54*Assumptions!$B$4</f>
        <v/>
      </c>
      <c r="J54" s="16">
        <f>Cash_Flow!$J54</f>
        <v/>
      </c>
      <c r="K54" s="16">
        <f>Cash_Flow!$K54</f>
        <v/>
      </c>
      <c r="L54" s="16" t="n">
        <v>46920000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>
        <f>IF($A55&gt;1,0,Assumptions!$B$22+IF($B55&gt;4,Assumptions!$B$27,0))</f>
        <v/>
      </c>
      <c r="D55" s="10">
        <f>IF($U55&gt;(Assumptions!$B$22 + Assumptions!$B$23),0,IF($B55&gt;4,(Assumptions!$B$22+Assumptions!$B$27)-$U55,Assumptions!$B$22-$U55))</f>
        <v/>
      </c>
      <c r="E55" s="10">
        <f>Cash_Flow!$P55</f>
        <v/>
      </c>
      <c r="F55" s="8" t="n">
        <v>54</v>
      </c>
      <c r="G55" s="8">
        <f>Fleet_Schedule!$I55</f>
        <v/>
      </c>
      <c r="H55" s="10">
        <f>$F55*Assumptions!$B$4</f>
        <v/>
      </c>
      <c r="I55" s="10">
        <f>$G55*Assumptions!$B$4</f>
        <v/>
      </c>
      <c r="J55" s="16">
        <f>Cash_Flow!$J55</f>
        <v/>
      </c>
      <c r="K55" s="16">
        <f>Cash_Flow!$K55</f>
        <v/>
      </c>
      <c r="L55" s="16" t="n">
        <v>48540000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>
        <f>IF($A56&gt;1,0,Assumptions!$B$22+IF($B56&gt;4,Assumptions!$B$27,0))</f>
        <v/>
      </c>
      <c r="D56" s="10">
        <f>IF($U56&gt;(Assumptions!$B$22 + Assumptions!$B$23),0,IF($B56&gt;4,(Assumptions!$B$22+Assumptions!$B$27)-$U56,Assumptions!$B$22-$U56))</f>
        <v/>
      </c>
      <c r="E56" s="10">
        <f>Cash_Flow!$P56</f>
        <v/>
      </c>
      <c r="F56" s="8" t="n">
        <v>54</v>
      </c>
      <c r="G56" s="8">
        <f>Fleet_Schedule!$I56</f>
        <v/>
      </c>
      <c r="H56" s="10">
        <f>$F56*Assumptions!$B$4</f>
        <v/>
      </c>
      <c r="I56" s="10">
        <f>$G56*Assumptions!$B$4</f>
        <v/>
      </c>
      <c r="J56" s="16">
        <f>Cash_Flow!$J56</f>
        <v/>
      </c>
      <c r="K56" s="16">
        <f>Cash_Flow!$K56</f>
        <v/>
      </c>
      <c r="L56" s="16" t="n">
        <v>50160000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>
        <f>IF($A57&gt;1,0,Assumptions!$B$22+IF($B57&gt;4,Assumptions!$B$27,0))</f>
        <v/>
      </c>
      <c r="D57" s="10">
        <f>IF($U57&gt;(Assumptions!$B$22 + Assumptions!$B$23),0,IF($B57&gt;4,(Assumptions!$B$22+Assumptions!$B$27)-$U57,Assumptions!$B$22-$U57))</f>
        <v/>
      </c>
      <c r="E57" s="10">
        <f>Cash_Flow!$P57</f>
        <v/>
      </c>
      <c r="F57" s="8" t="n">
        <v>55</v>
      </c>
      <c r="G57" s="8">
        <f>Fleet_Schedule!$I57</f>
        <v/>
      </c>
      <c r="H57" s="10">
        <f>$F57*Assumptions!$B$4</f>
        <v/>
      </c>
      <c r="I57" s="10">
        <f>$G57*Assumptions!$B$4</f>
        <v/>
      </c>
      <c r="J57" s="16">
        <f>Cash_Flow!$J57</f>
        <v/>
      </c>
      <c r="K57" s="16">
        <f>Cash_Flow!$K57</f>
        <v/>
      </c>
      <c r="L57" s="16" t="n">
        <v>51810000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>
        <f>IF($A58&gt;1,0,Assumptions!$B$22+IF($B58&gt;4,Assumptions!$B$27,0))</f>
        <v/>
      </c>
      <c r="D58" s="10">
        <f>IF($U58&gt;(Assumptions!$B$22 + Assumptions!$B$23),0,IF($B58&gt;4,(Assumptions!$B$22+Assumptions!$B$27)-$U58,Assumptions!$B$22-$U58))</f>
        <v/>
      </c>
      <c r="E58" s="10">
        <f>Cash_Flow!$P58</f>
        <v/>
      </c>
      <c r="F58" s="8" t="n">
        <v>55</v>
      </c>
      <c r="G58" s="8">
        <f>Fleet_Schedule!$I58</f>
        <v/>
      </c>
      <c r="H58" s="10">
        <f>$F58*Assumptions!$B$4</f>
        <v/>
      </c>
      <c r="I58" s="10">
        <f>$G58*Assumptions!$B$4</f>
        <v/>
      </c>
      <c r="J58" s="16">
        <f>Cash_Flow!$J58</f>
        <v/>
      </c>
      <c r="K58" s="16">
        <f>Cash_Flow!$K58</f>
        <v/>
      </c>
      <c r="L58" s="16" t="n">
        <v>53460000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>
        <f>IF($A59&gt;1,0,Assumptions!$B$22+IF($B59&gt;4,Assumptions!$B$27,0))</f>
        <v/>
      </c>
      <c r="D59" s="10">
        <f>IF($U59&gt;(Assumptions!$B$22 + Assumptions!$B$23),0,IF($B59&gt;4,(Assumptions!$B$22+Assumptions!$B$27)-$U59,Assumptions!$B$22-$U59))</f>
        <v/>
      </c>
      <c r="E59" s="10">
        <f>Cash_Flow!$P59</f>
        <v/>
      </c>
      <c r="F59" s="8" t="n">
        <v>57</v>
      </c>
      <c r="G59" s="8">
        <f>Fleet_Schedule!$I59</f>
        <v/>
      </c>
      <c r="H59" s="10">
        <f>$F59*Assumptions!$B$4</f>
        <v/>
      </c>
      <c r="I59" s="10">
        <f>$G59*Assumptions!$B$4</f>
        <v/>
      </c>
      <c r="J59" s="16">
        <f>Cash_Flow!$J59</f>
        <v/>
      </c>
      <c r="K59" s="16">
        <f>Cash_Flow!$K59</f>
        <v/>
      </c>
      <c r="L59" s="16" t="n">
        <v>55170000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>
        <f>IF($A60&gt;1,0,Assumptions!$B$22+IF($B60&gt;4,Assumptions!$B$27,0))</f>
        <v/>
      </c>
      <c r="D60" s="10">
        <f>IF($U60&gt;(Assumptions!$B$22 + Assumptions!$B$23),0,IF($B60&gt;4,(Assumptions!$B$22+Assumptions!$B$27)-$U60,Assumptions!$B$22-$U60))</f>
        <v/>
      </c>
      <c r="E60" s="10">
        <f>Cash_Flow!$P60</f>
        <v/>
      </c>
      <c r="F60" s="8" t="n">
        <v>57</v>
      </c>
      <c r="G60" s="8">
        <f>Fleet_Schedule!$I60</f>
        <v/>
      </c>
      <c r="H60" s="10">
        <f>$F60*Assumptions!$B$4</f>
        <v/>
      </c>
      <c r="I60" s="10">
        <f>$G60*Assumptions!$B$4</f>
        <v/>
      </c>
      <c r="J60" s="16">
        <f>Cash_Flow!$J60</f>
        <v/>
      </c>
      <c r="K60" s="16">
        <f>Cash_Flow!$K60</f>
        <v/>
      </c>
      <c r="L60" s="16" t="n">
        <v>56880000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>
        <f>IF($A61&gt;1,0,Assumptions!$B$22+IF($B61&gt;4,Assumptions!$B$27,0))</f>
        <v/>
      </c>
      <c r="D61" s="10">
        <f>IF($U61&gt;(Assumptions!$B$22 + Assumptions!$B$23),0,IF($B61&gt;4,(Assumptions!$B$22+Assumptions!$B$27)-$U61,Assumptions!$B$22-$U61))</f>
        <v/>
      </c>
      <c r="E61" s="10">
        <f>Cash_Flow!$P61</f>
        <v/>
      </c>
      <c r="F61" s="8" t="n">
        <v>59</v>
      </c>
      <c r="G61" s="8">
        <f>Fleet_Schedule!$I61</f>
        <v/>
      </c>
      <c r="H61" s="10">
        <f>$F61*Assumptions!$B$4</f>
        <v/>
      </c>
      <c r="I61" s="10">
        <f>$G61*Assumptions!$B$4</f>
        <v/>
      </c>
      <c r="J61" s="16">
        <f>Cash_Flow!$J61</f>
        <v/>
      </c>
      <c r="K61" s="16">
        <f>Cash_Flow!$K61</f>
        <v/>
      </c>
      <c r="L61" s="16" t="n">
        <v>58650000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>
        <f>IF($A62&gt;1,0,Assumptions!$B$22+IF($B62&gt;4,Assumptions!$B$27,0))</f>
        <v/>
      </c>
      <c r="D62" s="10">
        <f>IF($U62&gt;(Assumptions!$B$22 + Assumptions!$B$23),0,IF($B62&gt;4,(Assumptions!$B$22+Assumptions!$B$27)-$U62,Assumptions!$B$22-$U62))</f>
        <v/>
      </c>
      <c r="E62" s="10">
        <f>Cash_Flow!$P62</f>
        <v/>
      </c>
      <c r="F62" s="8" t="n">
        <v>59</v>
      </c>
      <c r="G62" s="8">
        <f>Fleet_Schedule!$I62</f>
        <v/>
      </c>
      <c r="H62" s="10">
        <f>$F62*Assumptions!$B$4</f>
        <v/>
      </c>
      <c r="I62" s="10">
        <f>$G62*Assumptions!$B$4</f>
        <v/>
      </c>
      <c r="J62" s="16">
        <f>Cash_Flow!$J62</f>
        <v/>
      </c>
      <c r="K62" s="16">
        <f>Cash_Flow!$K62</f>
        <v/>
      </c>
      <c r="L62" s="16" t="n">
        <v>60420000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>
        <f>Assumptions!$B$18</f>
        <v/>
      </c>
      <c r="C5" s="10">
        <f>INDEX(Cash_Flow!$F:$F,MATCH(Assumptions!$B$28+A5-1,Cash_Flow!$A:$A,0))</f>
        <v/>
      </c>
      <c r="D5" s="10">
        <f>INDEX(Cash_Flow!$G:$G,MATCH(Assumptions!$B$28+A5-1,Cash_Flow!$A:$A,0))</f>
        <v/>
      </c>
      <c r="E5" s="10">
        <f>C5+D5</f>
        <v/>
      </c>
      <c r="F5" s="10">
        <f>MAX(0,B5-D5)</f>
        <v/>
      </c>
    </row>
    <row r="6">
      <c r="A6" s="8" t="n">
        <v>2</v>
      </c>
      <c r="B6" s="10">
        <f>F5</f>
        <v/>
      </c>
      <c r="C6" s="10">
        <f>INDEX(Cash_Flow!$F:$F,MATCH(Assumptions!$B$28+A6-1,Cash_Flow!$A:$A,0))</f>
        <v/>
      </c>
      <c r="D6" s="10">
        <f>INDEX(Cash_Flow!$G:$G,MATCH(Assumptions!$B$28+A6-1,Cash_Flow!$A:$A,0))</f>
        <v/>
      </c>
      <c r="E6" s="10">
        <f>C6+D6</f>
        <v/>
      </c>
      <c r="F6" s="10">
        <f>MAX(0,B6-D6)</f>
        <v/>
      </c>
    </row>
    <row r="7">
      <c r="A7" s="8" t="n">
        <v>3</v>
      </c>
      <c r="B7" s="10">
        <f>F6</f>
        <v/>
      </c>
      <c r="C7" s="10">
        <f>INDEX(Cash_Flow!$F:$F,MATCH(Assumptions!$B$28+A7-1,Cash_Flow!$A:$A,0))</f>
        <v/>
      </c>
      <c r="D7" s="10">
        <f>INDEX(Cash_Flow!$G:$G,MATCH(Assumptions!$B$28+A7-1,Cash_Flow!$A:$A,0))</f>
        <v/>
      </c>
      <c r="E7" s="10">
        <f>C7+D7</f>
        <v/>
      </c>
      <c r="F7" s="10">
        <f>MAX(0,B7-D7)</f>
        <v/>
      </c>
    </row>
    <row r="8">
      <c r="A8" s="8" t="n">
        <v>4</v>
      </c>
      <c r="B8" s="10">
        <f>F7</f>
        <v/>
      </c>
      <c r="C8" s="10">
        <f>INDEX(Cash_Flow!$F:$F,MATCH(Assumptions!$B$28+A8-1,Cash_Flow!$A:$A,0))</f>
        <v/>
      </c>
      <c r="D8" s="10">
        <f>INDEX(Cash_Flow!$G:$G,MATCH(Assumptions!$B$28+A8-1,Cash_Flow!$A:$A,0))</f>
        <v/>
      </c>
      <c r="E8" s="10">
        <f>C8+D8</f>
        <v/>
      </c>
      <c r="F8" s="10">
        <f>MAX(0,B8-D8)</f>
        <v/>
      </c>
    </row>
    <row r="9">
      <c r="A9" s="8" t="n">
        <v>5</v>
      </c>
      <c r="B9" s="10">
        <f>F8</f>
        <v/>
      </c>
      <c r="C9" s="10">
        <f>INDEX(Cash_Flow!$F:$F,MATCH(Assumptions!$B$28+A9-1,Cash_Flow!$A:$A,0))</f>
        <v/>
      </c>
      <c r="D9" s="10">
        <f>INDEX(Cash_Flow!$G:$G,MATCH(Assumptions!$B$28+A9-1,Cash_Flow!$A:$A,0))</f>
        <v/>
      </c>
      <c r="E9" s="10">
        <f>C9+D9</f>
        <v/>
      </c>
      <c r="F9" s="10">
        <f>MAX(0,B9-D9)</f>
        <v/>
      </c>
    </row>
    <row r="10">
      <c r="A10" s="8" t="n">
        <v>6</v>
      </c>
      <c r="B10" s="10">
        <f>F9</f>
        <v/>
      </c>
      <c r="C10" s="10">
        <f>INDEX(Cash_Flow!$F:$F,MATCH(Assumptions!$B$28+A10-1,Cash_Flow!$A:$A,0))</f>
        <v/>
      </c>
      <c r="D10" s="10">
        <f>INDEX(Cash_Flow!$G:$G,MATCH(Assumptions!$B$28+A10-1,Cash_Flow!$A:$A,0))</f>
        <v/>
      </c>
      <c r="E10" s="10">
        <f>C10+D10</f>
        <v/>
      </c>
      <c r="F10" s="10">
        <f>MAX(0,B10-D10)</f>
        <v/>
      </c>
    </row>
    <row r="11">
      <c r="A11" s="8" t="n">
        <v>7</v>
      </c>
      <c r="B11" s="10">
        <f>F10</f>
        <v/>
      </c>
      <c r="C11" s="10">
        <f>INDEX(Cash_Flow!$F:$F,MATCH(Assumptions!$B$28+A11-1,Cash_Flow!$A:$A,0))</f>
        <v/>
      </c>
      <c r="D11" s="10">
        <f>INDEX(Cash_Flow!$G:$G,MATCH(Assumptions!$B$28+A11-1,Cash_Flow!$A:$A,0))</f>
        <v/>
      </c>
      <c r="E11" s="10">
        <f>C11+D11</f>
        <v/>
      </c>
      <c r="F11" s="10">
        <f>MAX(0,B11-D11)</f>
        <v/>
      </c>
    </row>
    <row r="12">
      <c r="A12" s="8" t="n">
        <v>8</v>
      </c>
      <c r="B12" s="10">
        <f>F11</f>
        <v/>
      </c>
      <c r="C12" s="10">
        <f>INDEX(Cash_Flow!$F:$F,MATCH(Assumptions!$B$28+A12-1,Cash_Flow!$A:$A,0))</f>
        <v/>
      </c>
      <c r="D12" s="10">
        <f>INDEX(Cash_Flow!$G:$G,MATCH(Assumptions!$B$28+A12-1,Cash_Flow!$A:$A,0))</f>
        <v/>
      </c>
      <c r="E12" s="10">
        <f>C12+D12</f>
        <v/>
      </c>
      <c r="F12" s="10">
        <f>MAX(0,B12-D12)</f>
        <v/>
      </c>
    </row>
    <row r="13">
      <c r="A13" s="8" t="n">
        <v>9</v>
      </c>
      <c r="B13" s="10">
        <f>F12</f>
        <v/>
      </c>
      <c r="C13" s="10">
        <f>INDEX(Cash_Flow!$F:$F,MATCH(Assumptions!$B$28+A13-1,Cash_Flow!$A:$A,0))</f>
        <v/>
      </c>
      <c r="D13" s="10">
        <f>INDEX(Cash_Flow!$G:$G,MATCH(Assumptions!$B$28+A13-1,Cash_Flow!$A:$A,0))</f>
        <v/>
      </c>
      <c r="E13" s="10">
        <f>C13+D13</f>
        <v/>
      </c>
      <c r="F13" s="10">
        <f>MAX(0,B13-D13)</f>
        <v/>
      </c>
    </row>
    <row r="14">
      <c r="A14" s="8" t="n">
        <v>10</v>
      </c>
      <c r="B14" s="10">
        <f>F13</f>
        <v/>
      </c>
      <c r="C14" s="10">
        <f>INDEX(Cash_Flow!$F:$F,MATCH(Assumptions!$B$28+A14-1,Cash_Flow!$A:$A,0))</f>
        <v/>
      </c>
      <c r="D14" s="10">
        <f>INDEX(Cash_Flow!$G:$G,MATCH(Assumptions!$B$28+A14-1,Cash_Flow!$A:$A,0))</f>
        <v/>
      </c>
      <c r="E14" s="10">
        <f>C14+D14</f>
        <v/>
      </c>
      <c r="F14" s="10">
        <f>MAX(0,B14-D14)</f>
        <v/>
      </c>
    </row>
    <row r="15">
      <c r="A15" s="8" t="n">
        <v>11</v>
      </c>
      <c r="B15" s="10">
        <f>F14</f>
        <v/>
      </c>
      <c r="C15" s="10">
        <f>INDEX(Cash_Flow!$F:$F,MATCH(Assumptions!$B$28+A15-1,Cash_Flow!$A:$A,0))</f>
        <v/>
      </c>
      <c r="D15" s="10">
        <f>INDEX(Cash_Flow!$G:$G,MATCH(Assumptions!$B$28+A15-1,Cash_Flow!$A:$A,0))</f>
        <v/>
      </c>
      <c r="E15" s="10">
        <f>C15+D15</f>
        <v/>
      </c>
      <c r="F15" s="10">
        <f>MAX(0,B15-D15)</f>
        <v/>
      </c>
    </row>
    <row r="16">
      <c r="A16" s="8" t="n">
        <v>12</v>
      </c>
      <c r="B16" s="10">
        <f>F15</f>
        <v/>
      </c>
      <c r="C16" s="10">
        <f>INDEX(Cash_Flow!$F:$F,MATCH(Assumptions!$B$28+A16-1,Cash_Flow!$A:$A,0))</f>
        <v/>
      </c>
      <c r="D16" s="10">
        <f>INDEX(Cash_Flow!$G:$G,MATCH(Assumptions!$B$28+A16-1,Cash_Flow!$A:$A,0))</f>
        <v/>
      </c>
      <c r="E16" s="10">
        <f>C16+D16</f>
        <v/>
      </c>
      <c r="F16" s="10">
        <f>MAX(0,B16-D16)</f>
        <v/>
      </c>
    </row>
    <row r="17">
      <c r="A17" s="8" t="n">
        <v>13</v>
      </c>
      <c r="B17" s="10">
        <f>F16</f>
        <v/>
      </c>
      <c r="C17" s="10">
        <f>INDEX(Cash_Flow!$F:$F,MATCH(Assumptions!$B$28+A17-1,Cash_Flow!$A:$A,0))</f>
        <v/>
      </c>
      <c r="D17" s="10">
        <f>INDEX(Cash_Flow!$G:$G,MATCH(Assumptions!$B$28+A17-1,Cash_Flow!$A:$A,0))</f>
        <v/>
      </c>
      <c r="E17" s="10">
        <f>C17+D17</f>
        <v/>
      </c>
      <c r="F17" s="10">
        <f>MAX(0,B17-D17)</f>
        <v/>
      </c>
    </row>
    <row r="18">
      <c r="A18" s="8" t="n">
        <v>14</v>
      </c>
      <c r="B18" s="10">
        <f>F17</f>
        <v/>
      </c>
      <c r="C18" s="10">
        <f>INDEX(Cash_Flow!$F:$F,MATCH(Assumptions!$B$28+A18-1,Cash_Flow!$A:$A,0))</f>
        <v/>
      </c>
      <c r="D18" s="10">
        <f>INDEX(Cash_Flow!$G:$G,MATCH(Assumptions!$B$28+A18-1,Cash_Flow!$A:$A,0))</f>
        <v/>
      </c>
      <c r="E18" s="10">
        <f>C18+D18</f>
        <v/>
      </c>
      <c r="F18" s="10">
        <f>MAX(0,B18-D18)</f>
        <v/>
      </c>
    </row>
    <row r="19">
      <c r="A19" s="8" t="n">
        <v>15</v>
      </c>
      <c r="B19" s="10">
        <f>F18</f>
        <v/>
      </c>
      <c r="C19" s="10">
        <f>INDEX(Cash_Flow!$F:$F,MATCH(Assumptions!$B$28+A19-1,Cash_Flow!$A:$A,0))</f>
        <v/>
      </c>
      <c r="D19" s="10">
        <f>INDEX(Cash_Flow!$G:$G,MATCH(Assumptions!$B$28+A19-1,Cash_Flow!$A:$A,0))</f>
        <v/>
      </c>
      <c r="E19" s="10">
        <f>C19+D19</f>
        <v/>
      </c>
      <c r="F19" s="10">
        <f>MAX(0,B19-D19)</f>
        <v/>
      </c>
    </row>
    <row r="20">
      <c r="A20" s="8" t="n">
        <v>16</v>
      </c>
      <c r="B20" s="10">
        <f>F19</f>
        <v/>
      </c>
      <c r="C20" s="10">
        <f>INDEX(Cash_Flow!$F:$F,MATCH(Assumptions!$B$28+A20-1,Cash_Flow!$A:$A,0))</f>
        <v/>
      </c>
      <c r="D20" s="10">
        <f>INDEX(Cash_Flow!$G:$G,MATCH(Assumptions!$B$28+A20-1,Cash_Flow!$A:$A,0))</f>
        <v/>
      </c>
      <c r="E20" s="10">
        <f>C20+D20</f>
        <v/>
      </c>
      <c r="F20" s="10">
        <f>MAX(0,B20-D20)</f>
        <v/>
      </c>
    </row>
    <row r="21">
      <c r="A21" s="8" t="n">
        <v>17</v>
      </c>
      <c r="B21" s="10">
        <f>F20</f>
        <v/>
      </c>
      <c r="C21" s="10">
        <f>INDEX(Cash_Flow!$F:$F,MATCH(Assumptions!$B$28+A21-1,Cash_Flow!$A:$A,0))</f>
        <v/>
      </c>
      <c r="D21" s="10">
        <f>INDEX(Cash_Flow!$G:$G,MATCH(Assumptions!$B$28+A21-1,Cash_Flow!$A:$A,0))</f>
        <v/>
      </c>
      <c r="E21" s="10">
        <f>C21+D21</f>
        <v/>
      </c>
      <c r="F21" s="10">
        <f>MAX(0,B21-D21)</f>
        <v/>
      </c>
    </row>
    <row r="22">
      <c r="A22" s="8" t="n">
        <v>18</v>
      </c>
      <c r="B22" s="10">
        <f>F21</f>
        <v/>
      </c>
      <c r="C22" s="10">
        <f>INDEX(Cash_Flow!$F:$F,MATCH(Assumptions!$B$28+A22-1,Cash_Flow!$A:$A,0))</f>
        <v/>
      </c>
      <c r="D22" s="10">
        <f>INDEX(Cash_Flow!$G:$G,MATCH(Assumptions!$B$28+A22-1,Cash_Flow!$A:$A,0))</f>
        <v/>
      </c>
      <c r="E22" s="10">
        <f>C22+D22</f>
        <v/>
      </c>
      <c r="F22" s="10">
        <f>MAX(0,B22-D22)</f>
        <v/>
      </c>
    </row>
    <row r="23">
      <c r="A23" s="8" t="n">
        <v>19</v>
      </c>
      <c r="B23" s="10">
        <f>F22</f>
        <v/>
      </c>
      <c r="C23" s="10">
        <f>INDEX(Cash_Flow!$F:$F,MATCH(Assumptions!$B$28+A23-1,Cash_Flow!$A:$A,0))</f>
        <v/>
      </c>
      <c r="D23" s="10">
        <f>INDEX(Cash_Flow!$G:$G,MATCH(Assumptions!$B$28+A23-1,Cash_Flow!$A:$A,0))</f>
        <v/>
      </c>
      <c r="E23" s="10">
        <f>C23+D23</f>
        <v/>
      </c>
      <c r="F23" s="10">
        <f>MAX(0,B23-D23)</f>
        <v/>
      </c>
    </row>
    <row r="24">
      <c r="A24" s="8" t="n">
        <v>20</v>
      </c>
      <c r="B24" s="10">
        <f>F23</f>
        <v/>
      </c>
      <c r="C24" s="10">
        <f>INDEX(Cash_Flow!$F:$F,MATCH(Assumptions!$B$28+A24-1,Cash_Flow!$A:$A,0))</f>
        <v/>
      </c>
      <c r="D24" s="10">
        <f>INDEX(Cash_Flow!$G:$G,MATCH(Assumptions!$B$28+A24-1,Cash_Flow!$A:$A,0))</f>
        <v/>
      </c>
      <c r="E24" s="10">
        <f>C24+D24</f>
        <v/>
      </c>
      <c r="F24" s="10">
        <f>MAX(0,B24-D24)</f>
        <v/>
      </c>
    </row>
    <row r="25">
      <c r="A25" s="8" t="n">
        <v>21</v>
      </c>
      <c r="B25" s="10">
        <f>F24</f>
        <v/>
      </c>
      <c r="C25" s="10">
        <f>INDEX(Cash_Flow!$F:$F,MATCH(Assumptions!$B$28+A25-1,Cash_Flow!$A:$A,0))</f>
        <v/>
      </c>
      <c r="D25" s="10">
        <f>INDEX(Cash_Flow!$G:$G,MATCH(Assumptions!$B$28+A25-1,Cash_Flow!$A:$A,0))</f>
        <v/>
      </c>
      <c r="E25" s="10">
        <f>C25+D25</f>
        <v/>
      </c>
      <c r="F25" s="10">
        <f>MAX(0,B25-D25)</f>
        <v/>
      </c>
    </row>
    <row r="26">
      <c r="A26" s="8" t="n">
        <v>22</v>
      </c>
      <c r="B26" s="10">
        <f>F25</f>
        <v/>
      </c>
      <c r="C26" s="10">
        <f>INDEX(Cash_Flow!$F:$F,MATCH(Assumptions!$B$28+A26-1,Cash_Flow!$A:$A,0))</f>
        <v/>
      </c>
      <c r="D26" s="10">
        <f>INDEX(Cash_Flow!$G:$G,MATCH(Assumptions!$B$28+A26-1,Cash_Flow!$A:$A,0))</f>
        <v/>
      </c>
      <c r="E26" s="10">
        <f>C26+D26</f>
        <v/>
      </c>
      <c r="F26" s="10">
        <f>MAX(0,B26-D26)</f>
        <v/>
      </c>
    </row>
    <row r="27">
      <c r="A27" s="8" t="n">
        <v>23</v>
      </c>
      <c r="B27" s="10">
        <f>F26</f>
        <v/>
      </c>
      <c r="C27" s="10">
        <f>INDEX(Cash_Flow!$F:$F,MATCH(Assumptions!$B$28+A27-1,Cash_Flow!$A:$A,0))</f>
        <v/>
      </c>
      <c r="D27" s="10">
        <f>INDEX(Cash_Flow!$G:$G,MATCH(Assumptions!$B$28+A27-1,Cash_Flow!$A:$A,0))</f>
        <v/>
      </c>
      <c r="E27" s="10">
        <f>C27+D27</f>
        <v/>
      </c>
      <c r="F27" s="10">
        <f>MAX(0,B27-D27)</f>
        <v/>
      </c>
    </row>
    <row r="28">
      <c r="A28" s="8" t="n">
        <v>24</v>
      </c>
      <c r="B28" s="10">
        <f>F27</f>
        <v/>
      </c>
      <c r="C28" s="10">
        <f>INDEX(Cash_Flow!$F:$F,MATCH(Assumptions!$B$28+A28-1,Cash_Flow!$A:$A,0))</f>
        <v/>
      </c>
      <c r="D28" s="10">
        <f>INDEX(Cash_Flow!$G:$G,MATCH(Assumptions!$B$28+A28-1,Cash_Flow!$A:$A,0))</f>
        <v/>
      </c>
      <c r="E28" s="10">
        <f>C28+D28</f>
        <v/>
      </c>
      <c r="F28" s="10">
        <f>MAX(0,B28-D28)</f>
        <v/>
      </c>
    </row>
    <row r="29">
      <c r="A29" s="8" t="n">
        <v>25</v>
      </c>
      <c r="B29" s="10">
        <f>F28</f>
        <v/>
      </c>
      <c r="C29" s="10">
        <f>INDEX(Cash_Flow!$F:$F,MATCH(Assumptions!$B$28+A29-1,Cash_Flow!$A:$A,0))</f>
        <v/>
      </c>
      <c r="D29" s="10">
        <f>INDEX(Cash_Flow!$G:$G,MATCH(Assumptions!$B$28+A29-1,Cash_Flow!$A:$A,0))</f>
        <v/>
      </c>
      <c r="E29" s="10">
        <f>C29+D29</f>
        <v/>
      </c>
      <c r="F29" s="10">
        <f>MAX(0,B29-D29)</f>
        <v/>
      </c>
    </row>
    <row r="30">
      <c r="A30" s="8" t="n">
        <v>26</v>
      </c>
      <c r="B30" s="10">
        <f>F29</f>
        <v/>
      </c>
      <c r="C30" s="10">
        <f>INDEX(Cash_Flow!$F:$F,MATCH(Assumptions!$B$28+A30-1,Cash_Flow!$A:$A,0))</f>
        <v/>
      </c>
      <c r="D30" s="10">
        <f>INDEX(Cash_Flow!$G:$G,MATCH(Assumptions!$B$28+A30-1,Cash_Flow!$A:$A,0))</f>
        <v/>
      </c>
      <c r="E30" s="10">
        <f>C30+D30</f>
        <v/>
      </c>
      <c r="F30" s="10">
        <f>MAX(0,B30-D30)</f>
        <v/>
      </c>
    </row>
    <row r="31">
      <c r="A31" s="8" t="n">
        <v>27</v>
      </c>
      <c r="B31" s="10">
        <f>F30</f>
        <v/>
      </c>
      <c r="C31" s="10">
        <f>INDEX(Cash_Flow!$F:$F,MATCH(Assumptions!$B$28+A31-1,Cash_Flow!$A:$A,0))</f>
        <v/>
      </c>
      <c r="D31" s="10">
        <f>INDEX(Cash_Flow!$G:$G,MATCH(Assumptions!$B$28+A31-1,Cash_Flow!$A:$A,0))</f>
        <v/>
      </c>
      <c r="E31" s="10">
        <f>C31+D31</f>
        <v/>
      </c>
      <c r="F31" s="10">
        <f>MAX(0,B31-D31)</f>
        <v/>
      </c>
    </row>
    <row r="32">
      <c r="A32" s="8" t="n">
        <v>28</v>
      </c>
      <c r="B32" s="10">
        <f>F31</f>
        <v/>
      </c>
      <c r="C32" s="10">
        <f>INDEX(Cash_Flow!$F:$F,MATCH(Assumptions!$B$28+A32-1,Cash_Flow!$A:$A,0))</f>
        <v/>
      </c>
      <c r="D32" s="10">
        <f>INDEX(Cash_Flow!$G:$G,MATCH(Assumptions!$B$28+A32-1,Cash_Flow!$A:$A,0))</f>
        <v/>
      </c>
      <c r="E32" s="10">
        <f>C32+D32</f>
        <v/>
      </c>
      <c r="F32" s="10">
        <f>MAX(0,B32-D32)</f>
        <v/>
      </c>
    </row>
    <row r="33">
      <c r="A33" s="8" t="n">
        <v>29</v>
      </c>
      <c r="B33" s="10">
        <f>F32</f>
        <v/>
      </c>
      <c r="C33" s="10">
        <f>INDEX(Cash_Flow!$F:$F,MATCH(Assumptions!$B$28+A33-1,Cash_Flow!$A:$A,0))</f>
        <v/>
      </c>
      <c r="D33" s="10">
        <f>INDEX(Cash_Flow!$G:$G,MATCH(Assumptions!$B$28+A33-1,Cash_Flow!$A:$A,0))</f>
        <v/>
      </c>
      <c r="E33" s="10">
        <f>C33+D33</f>
        <v/>
      </c>
      <c r="F33" s="10">
        <f>MAX(0,B33-D33)</f>
        <v/>
      </c>
    </row>
    <row r="34">
      <c r="A34" s="8" t="n">
        <v>30</v>
      </c>
      <c r="B34" s="10">
        <f>F33</f>
        <v/>
      </c>
      <c r="C34" s="10">
        <f>INDEX(Cash_Flow!$F:$F,MATCH(Assumptions!$B$28+A34-1,Cash_Flow!$A:$A,0))</f>
        <v/>
      </c>
      <c r="D34" s="10">
        <f>INDEX(Cash_Flow!$G:$G,MATCH(Assumptions!$B$28+A34-1,Cash_Flow!$A:$A,0))</f>
        <v/>
      </c>
      <c r="E34" s="10">
        <f>C34+D34</f>
        <v/>
      </c>
      <c r="F34" s="10">
        <f>MAX(0,B34-D34)</f>
        <v/>
      </c>
    </row>
    <row r="35">
      <c r="A35" s="8" t="n">
        <v>31</v>
      </c>
      <c r="B35" s="10">
        <f>F34</f>
        <v/>
      </c>
      <c r="C35" s="10">
        <f>INDEX(Cash_Flow!$F:$F,MATCH(Assumptions!$B$28+A35-1,Cash_Flow!$A:$A,0))</f>
        <v/>
      </c>
      <c r="D35" s="10">
        <f>INDEX(Cash_Flow!$G:$G,MATCH(Assumptions!$B$28+A35-1,Cash_Flow!$A:$A,0))</f>
        <v/>
      </c>
      <c r="E35" s="10">
        <f>C35+D35</f>
        <v/>
      </c>
      <c r="F35" s="10">
        <f>MAX(0,B35-D35)</f>
        <v/>
      </c>
    </row>
    <row r="36">
      <c r="A36" s="8" t="n">
        <v>32</v>
      </c>
      <c r="B36" s="10">
        <f>F35</f>
        <v/>
      </c>
      <c r="C36" s="10">
        <f>INDEX(Cash_Flow!$F:$F,MATCH(Assumptions!$B$28+A36-1,Cash_Flow!$A:$A,0))</f>
        <v/>
      </c>
      <c r="D36" s="10">
        <f>INDEX(Cash_Flow!$G:$G,MATCH(Assumptions!$B$28+A36-1,Cash_Flow!$A:$A,0))</f>
        <v/>
      </c>
      <c r="E36" s="10">
        <f>C36+D36</f>
        <v/>
      </c>
      <c r="F36" s="10">
        <f>MAX(0,B36-D36)</f>
        <v/>
      </c>
    </row>
    <row r="37">
      <c r="A37" s="8" t="n">
        <v>33</v>
      </c>
      <c r="B37" s="10">
        <f>F36</f>
        <v/>
      </c>
      <c r="C37" s="10">
        <f>INDEX(Cash_Flow!$F:$F,MATCH(Assumptions!$B$28+A37-1,Cash_Flow!$A:$A,0))</f>
        <v/>
      </c>
      <c r="D37" s="10">
        <f>INDEX(Cash_Flow!$G:$G,MATCH(Assumptions!$B$28+A37-1,Cash_Flow!$A:$A,0))</f>
        <v/>
      </c>
      <c r="E37" s="10">
        <f>C37+D37</f>
        <v/>
      </c>
      <c r="F37" s="10">
        <f>MAX(0,B37-D37)</f>
        <v/>
      </c>
    </row>
    <row r="38">
      <c r="A38" s="8" t="n">
        <v>34</v>
      </c>
      <c r="B38" s="10">
        <f>F37</f>
        <v/>
      </c>
      <c r="C38" s="10">
        <f>INDEX(Cash_Flow!$F:$F,MATCH(Assumptions!$B$28+A38-1,Cash_Flow!$A:$A,0))</f>
        <v/>
      </c>
      <c r="D38" s="10">
        <f>INDEX(Cash_Flow!$G:$G,MATCH(Assumptions!$B$28+A38-1,Cash_Flow!$A:$A,0))</f>
        <v/>
      </c>
      <c r="E38" s="10">
        <f>C38+D38</f>
        <v/>
      </c>
      <c r="F38" s="10">
        <f>MAX(0,B38-D38)</f>
        <v/>
      </c>
    </row>
    <row r="39">
      <c r="A39" s="8" t="n">
        <v>35</v>
      </c>
      <c r="B39" s="10">
        <f>F38</f>
        <v/>
      </c>
      <c r="C39" s="10">
        <f>INDEX(Cash_Flow!$F:$F,MATCH(Assumptions!$B$28+A39-1,Cash_Flow!$A:$A,0))</f>
        <v/>
      </c>
      <c r="D39" s="10">
        <f>INDEX(Cash_Flow!$G:$G,MATCH(Assumptions!$B$28+A39-1,Cash_Flow!$A:$A,0))</f>
        <v/>
      </c>
      <c r="E39" s="10">
        <f>C39+D39</f>
        <v/>
      </c>
      <c r="F39" s="10">
        <f>MAX(0,B39-D39)</f>
        <v/>
      </c>
    </row>
    <row r="40">
      <c r="A40" s="8" t="n">
        <v>36</v>
      </c>
      <c r="B40" s="10">
        <f>F39</f>
        <v/>
      </c>
      <c r="C40" s="10">
        <f>INDEX(Cash_Flow!$F:$F,MATCH(Assumptions!$B$28+A40-1,Cash_Flow!$A:$A,0))</f>
        <v/>
      </c>
      <c r="D40" s="10">
        <f>INDEX(Cash_Flow!$G:$G,MATCH(Assumptions!$B$28+A40-1,Cash_Flow!$A:$A,0))</f>
        <v/>
      </c>
      <c r="E40" s="10">
        <f>C40+D40</f>
        <v/>
      </c>
      <c r="F40" s="10">
        <f>MAX(0,B40-D40)</f>
        <v/>
      </c>
    </row>
    <row r="41">
      <c r="A41" s="8" t="n">
        <v>37</v>
      </c>
      <c r="B41" s="10">
        <f>F40</f>
        <v/>
      </c>
      <c r="C41" s="10">
        <f>INDEX(Cash_Flow!$F:$F,MATCH(Assumptions!$B$28+A41-1,Cash_Flow!$A:$A,0))</f>
        <v/>
      </c>
      <c r="D41" s="10">
        <f>INDEX(Cash_Flow!$G:$G,MATCH(Assumptions!$B$28+A41-1,Cash_Flow!$A:$A,0))</f>
        <v/>
      </c>
      <c r="E41" s="10">
        <f>C41+D41</f>
        <v/>
      </c>
      <c r="F41" s="10">
        <f>MAX(0,B41-D41)</f>
        <v/>
      </c>
    </row>
    <row r="42">
      <c r="A42" s="8" t="n">
        <v>38</v>
      </c>
      <c r="B42" s="10">
        <f>F41</f>
        <v/>
      </c>
      <c r="C42" s="10">
        <f>INDEX(Cash_Flow!$F:$F,MATCH(Assumptions!$B$28+A42-1,Cash_Flow!$A:$A,0))</f>
        <v/>
      </c>
      <c r="D42" s="10">
        <f>INDEX(Cash_Flow!$G:$G,MATCH(Assumptions!$B$28+A42-1,Cash_Flow!$A:$A,0))</f>
        <v/>
      </c>
      <c r="E42" s="10">
        <f>C42+D42</f>
        <v/>
      </c>
      <c r="F42" s="10">
        <f>MAX(0,B42-D42)</f>
        <v/>
      </c>
    </row>
    <row r="43">
      <c r="A43" s="8" t="n">
        <v>39</v>
      </c>
      <c r="B43" s="10">
        <f>F42</f>
        <v/>
      </c>
      <c r="C43" s="10">
        <f>INDEX(Cash_Flow!$F:$F,MATCH(Assumptions!$B$28+A43-1,Cash_Flow!$A:$A,0))</f>
        <v/>
      </c>
      <c r="D43" s="10">
        <f>INDEX(Cash_Flow!$G:$G,MATCH(Assumptions!$B$28+A43-1,Cash_Flow!$A:$A,0))</f>
        <v/>
      </c>
      <c r="E43" s="10">
        <f>C43+D43</f>
        <v/>
      </c>
      <c r="F43" s="10">
        <f>MAX(0,B43-D43)</f>
        <v/>
      </c>
    </row>
    <row r="44">
      <c r="A44" s="8" t="n">
        <v>40</v>
      </c>
      <c r="B44" s="10">
        <f>F43</f>
        <v/>
      </c>
      <c r="C44" s="10">
        <f>INDEX(Cash_Flow!$F:$F,MATCH(Assumptions!$B$28+A44-1,Cash_Flow!$A:$A,0))</f>
        <v/>
      </c>
      <c r="D44" s="10">
        <f>INDEX(Cash_Flow!$G:$G,MATCH(Assumptions!$B$28+A44-1,Cash_Flow!$A:$A,0))</f>
        <v/>
      </c>
      <c r="E44" s="10">
        <f>C44+D44</f>
        <v/>
      </c>
      <c r="F44" s="10">
        <f>MAX(0,B44-D44)</f>
        <v/>
      </c>
    </row>
    <row r="45">
      <c r="A45" s="8" t="n">
        <v>41</v>
      </c>
      <c r="B45" s="10">
        <f>F44</f>
        <v/>
      </c>
      <c r="C45" s="10">
        <f>INDEX(Cash_Flow!$F:$F,MATCH(Assumptions!$B$28+A45-1,Cash_Flow!$A:$A,0))</f>
        <v/>
      </c>
      <c r="D45" s="10">
        <f>INDEX(Cash_Flow!$G:$G,MATCH(Assumptions!$B$28+A45-1,Cash_Flow!$A:$A,0))</f>
        <v/>
      </c>
      <c r="E45" s="10">
        <f>C45+D45</f>
        <v/>
      </c>
      <c r="F45" s="10">
        <f>MAX(0,B45-D45)</f>
        <v/>
      </c>
    </row>
    <row r="46">
      <c r="A46" s="8" t="n">
        <v>42</v>
      </c>
      <c r="B46" s="10">
        <f>F45</f>
        <v/>
      </c>
      <c r="C46" s="10">
        <f>INDEX(Cash_Flow!$F:$F,MATCH(Assumptions!$B$28+A46-1,Cash_Flow!$A:$A,0))</f>
        <v/>
      </c>
      <c r="D46" s="10">
        <f>INDEX(Cash_Flow!$G:$G,MATCH(Assumptions!$B$28+A46-1,Cash_Flow!$A:$A,0))</f>
        <v/>
      </c>
      <c r="E46" s="10">
        <f>C46+D46</f>
        <v/>
      </c>
      <c r="F46" s="10">
        <f>MAX(0,B46-D46)</f>
        <v/>
      </c>
    </row>
    <row r="47">
      <c r="A47" s="8" t="n">
        <v>43</v>
      </c>
      <c r="B47" s="10">
        <f>F46</f>
        <v/>
      </c>
      <c r="C47" s="10">
        <f>INDEX(Cash_Flow!$F:$F,MATCH(Assumptions!$B$28+A47-1,Cash_Flow!$A:$A,0))</f>
        <v/>
      </c>
      <c r="D47" s="10">
        <f>INDEX(Cash_Flow!$G:$G,MATCH(Assumptions!$B$28+A47-1,Cash_Flow!$A:$A,0))</f>
        <v/>
      </c>
      <c r="E47" s="10">
        <f>C47+D47</f>
        <v/>
      </c>
      <c r="F47" s="10">
        <f>MAX(0,B47-D47)</f>
        <v/>
      </c>
    </row>
    <row r="48">
      <c r="A48" s="8" t="n">
        <v>44</v>
      </c>
      <c r="B48" s="10">
        <f>F47</f>
        <v/>
      </c>
      <c r="C48" s="10">
        <f>INDEX(Cash_Flow!$F:$F,MATCH(Assumptions!$B$28+A48-1,Cash_Flow!$A:$A,0))</f>
        <v/>
      </c>
      <c r="D48" s="10">
        <f>INDEX(Cash_Flow!$G:$G,MATCH(Assumptions!$B$28+A48-1,Cash_Flow!$A:$A,0))</f>
        <v/>
      </c>
      <c r="E48" s="10">
        <f>C48+D48</f>
        <v/>
      </c>
      <c r="F48" s="10">
        <f>MAX(0,B48-D48)</f>
        <v/>
      </c>
    </row>
    <row r="49">
      <c r="A49" s="8" t="n">
        <v>45</v>
      </c>
      <c r="B49" s="10">
        <f>F48</f>
        <v/>
      </c>
      <c r="C49" s="10">
        <f>INDEX(Cash_Flow!$F:$F,MATCH(Assumptions!$B$28+A49-1,Cash_Flow!$A:$A,0))</f>
        <v/>
      </c>
      <c r="D49" s="10">
        <f>INDEX(Cash_Flow!$G:$G,MATCH(Assumptions!$B$28+A49-1,Cash_Flow!$A:$A,0))</f>
        <v/>
      </c>
      <c r="E49" s="10">
        <f>C49+D49</f>
        <v/>
      </c>
      <c r="F49" s="10">
        <f>MAX(0,B49-D49)</f>
        <v/>
      </c>
    </row>
    <row r="50">
      <c r="A50" s="8" t="n">
        <v>46</v>
      </c>
      <c r="B50" s="10">
        <f>F49</f>
        <v/>
      </c>
      <c r="C50" s="10">
        <f>INDEX(Cash_Flow!$F:$F,MATCH(Assumptions!$B$28+A50-1,Cash_Flow!$A:$A,0))</f>
        <v/>
      </c>
      <c r="D50" s="10">
        <f>INDEX(Cash_Flow!$G:$G,MATCH(Assumptions!$B$28+A50-1,Cash_Flow!$A:$A,0))</f>
        <v/>
      </c>
      <c r="E50" s="10">
        <f>C50+D50</f>
        <v/>
      </c>
      <c r="F50" s="10">
        <f>MAX(0,B50-D50)</f>
        <v/>
      </c>
    </row>
    <row r="51">
      <c r="A51" s="8" t="n">
        <v>47</v>
      </c>
      <c r="B51" s="10">
        <f>F50</f>
        <v/>
      </c>
      <c r="C51" s="10">
        <f>INDEX(Cash_Flow!$F:$F,MATCH(Assumptions!$B$28+A51-1,Cash_Flow!$A:$A,0))</f>
        <v/>
      </c>
      <c r="D51" s="10">
        <f>INDEX(Cash_Flow!$G:$G,MATCH(Assumptions!$B$28+A51-1,Cash_Flow!$A:$A,0))</f>
        <v/>
      </c>
      <c r="E51" s="10">
        <f>C51+D51</f>
        <v/>
      </c>
      <c r="F51" s="10">
        <f>MAX(0,B51-D51)</f>
        <v/>
      </c>
    </row>
    <row r="52">
      <c r="A52" s="8" t="n">
        <v>48</v>
      </c>
      <c r="B52" s="10">
        <f>F51</f>
        <v/>
      </c>
      <c r="C52" s="10">
        <f>INDEX(Cash_Flow!$F:$F,MATCH(Assumptions!$B$28+A52-1,Cash_Flow!$A:$A,0))</f>
        <v/>
      </c>
      <c r="D52" s="10">
        <f>INDEX(Cash_Flow!$G:$G,MATCH(Assumptions!$B$28+A52-1,Cash_Flow!$A:$A,0))</f>
        <v/>
      </c>
      <c r="E52" s="10">
        <f>C52+D52</f>
        <v/>
      </c>
      <c r="F52" s="10">
        <f>MAX(0,B52-D52)</f>
        <v/>
      </c>
    </row>
    <row r="53">
      <c r="A53" s="8" t="n">
        <v>49</v>
      </c>
      <c r="B53" s="10">
        <f>F52</f>
        <v/>
      </c>
      <c r="C53" s="10">
        <f>INDEX(Cash_Flow!$F:$F,MATCH(Assumptions!$B$28+A53-1,Cash_Flow!$A:$A,0))</f>
        <v/>
      </c>
      <c r="D53" s="10">
        <f>INDEX(Cash_Flow!$G:$G,MATCH(Assumptions!$B$28+A53-1,Cash_Flow!$A:$A,0))</f>
        <v/>
      </c>
      <c r="E53" s="10">
        <f>C53+D53</f>
        <v/>
      </c>
      <c r="F53" s="10">
        <f>MAX(0,B53-D53)</f>
        <v/>
      </c>
    </row>
    <row r="54">
      <c r="A54" s="8" t="n">
        <v>50</v>
      </c>
      <c r="B54" s="10">
        <f>F53</f>
        <v/>
      </c>
      <c r="C54" s="10">
        <f>INDEX(Cash_Flow!$F:$F,MATCH(Assumptions!$B$28+A54-1,Cash_Flow!$A:$A,0))</f>
        <v/>
      </c>
      <c r="D54" s="10">
        <f>INDEX(Cash_Flow!$G:$G,MATCH(Assumptions!$B$28+A54-1,Cash_Flow!$A:$A,0))</f>
        <v/>
      </c>
      <c r="E54" s="10">
        <f>C54+D54</f>
        <v/>
      </c>
      <c r="F54" s="10">
        <f>MAX(0,B54-D54)</f>
        <v/>
      </c>
    </row>
    <row r="55">
      <c r="A55" s="8" t="n">
        <v>51</v>
      </c>
      <c r="B55" s="10">
        <f>F54</f>
        <v/>
      </c>
      <c r="C55" s="10">
        <f>INDEX(Cash_Flow!$F:$F,MATCH(Assumptions!$B$28+A55-1,Cash_Flow!$A:$A,0))</f>
        <v/>
      </c>
      <c r="D55" s="10">
        <f>INDEX(Cash_Flow!$G:$G,MATCH(Assumptions!$B$28+A55-1,Cash_Flow!$A:$A,0))</f>
        <v/>
      </c>
      <c r="E55" s="10">
        <f>C55+D55</f>
        <v/>
      </c>
      <c r="F55" s="10">
        <f>MAX(0,B55-D55)</f>
        <v/>
      </c>
    </row>
    <row r="56">
      <c r="A56" s="8" t="n">
        <v>52</v>
      </c>
      <c r="B56" s="10">
        <f>F55</f>
        <v/>
      </c>
      <c r="C56" s="10">
        <f>INDEX(Cash_Flow!$F:$F,MATCH(Assumptions!$B$28+A56-1,Cash_Flow!$A:$A,0))</f>
        <v/>
      </c>
      <c r="D56" s="10">
        <f>INDEX(Cash_Flow!$G:$G,MATCH(Assumptions!$B$28+A56-1,Cash_Flow!$A:$A,0))</f>
        <v/>
      </c>
      <c r="E56" s="10">
        <f>C56+D56</f>
        <v/>
      </c>
      <c r="F56" s="10">
        <f>MAX(0,B56-D56)</f>
        <v/>
      </c>
    </row>
    <row r="57">
      <c r="A57" s="8" t="n">
        <v>53</v>
      </c>
      <c r="B57" s="10">
        <f>F56</f>
        <v/>
      </c>
      <c r="C57" s="10">
        <f>INDEX(Cash_Flow!$F:$F,MATCH(Assumptions!$B$28+A57-1,Cash_Flow!$A:$A,0))</f>
        <v/>
      </c>
      <c r="D57" s="10">
        <f>INDEX(Cash_Flow!$G:$G,MATCH(Assumptions!$B$28+A57-1,Cash_Flow!$A:$A,0))</f>
        <v/>
      </c>
      <c r="E57" s="10">
        <f>C57+D57</f>
        <v/>
      </c>
      <c r="F57" s="10">
        <f>MAX(0,B57-D57)</f>
        <v/>
      </c>
    </row>
    <row r="58">
      <c r="A58" s="8" t="n">
        <v>54</v>
      </c>
      <c r="B58" s="10">
        <f>F57</f>
        <v/>
      </c>
      <c r="C58" s="10">
        <f>INDEX(Cash_Flow!$F:$F,MATCH(Assumptions!$B$28+A58-1,Cash_Flow!$A:$A,0))</f>
        <v/>
      </c>
      <c r="D58" s="10">
        <f>INDEX(Cash_Flow!$G:$G,MATCH(Assumptions!$B$28+A58-1,Cash_Flow!$A:$A,0))</f>
        <v/>
      </c>
      <c r="E58" s="10">
        <f>C58+D58</f>
        <v/>
      </c>
      <c r="F58" s="10">
        <f>MAX(0,B58-D58)</f>
        <v/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2026-05-05T10:06:22Z</dcterms:created>
  <dcterms:modified xsi:type="dcterms:W3CDTF">2026-05-05T10:06:22Z</dcterms:modified>
  <cp:lastModifiedBy>Sebbi Kankondi</cp:lastModifiedBy>
</cp:coreProperties>
</file>