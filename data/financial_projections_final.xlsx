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1" activeTab="1" autoFilterDateGrouping="1"/>
  </bookViews>
  <sheets>
    <sheet name="Assumptions" sheetId="1" state="visible" r:id="rId1"/>
    <sheet name="Fleet_Schedule" sheetId="2" state="visible" r:id="rId2"/>
    <sheet name="Cash_Flow" sheetId="3" state="visible" r:id="rId3"/>
    <sheet name="Income_Statement" sheetId="4" state="visible" r:id="rId4"/>
    <sheet name="Balance_Sheet" sheetId="5" state="visible" r:id="rId5"/>
    <sheet name="Loan_Amortisati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&quot;N$&quot;#,##0_);[Red]&quot;(N$&quot;#,##0\);\-_);_(@_)"/>
    <numFmt numFmtId="165" formatCode="#,##0_);[Red]\(#,##0\);\-_);_(@_)"/>
    <numFmt numFmtId="166" formatCode="0.0%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1F4E79"/>
      <sz val="14"/>
    </font>
    <font>
      <name val="Calibri"/>
      <charset val="1"/>
      <b val="1"/>
      <color rgb="FFFFFFFF"/>
      <sz val="11"/>
    </font>
    <font>
      <name val="Calibri"/>
      <charset val="1"/>
      <color rgb="FF0000FF"/>
      <sz val="11"/>
    </font>
    <font>
      <name val="Calibri"/>
      <charset val="1"/>
      <color rgb="FF000000"/>
      <sz val="11"/>
    </font>
    <font>
      <name val="Arial"/>
      <family val="2"/>
      <sz val="10"/>
    </font>
    <font>
      <name val="Tahoma"/>
      <charset val="1"/>
      <b val="1"/>
      <color indexed="81"/>
      <sz val="11"/>
    </font>
    <font>
      <name val="Tahoma"/>
      <charset val="1"/>
      <color indexed="81"/>
      <sz val="11"/>
    </font>
    <font>
      <name val="Calibri"/>
      <family val="2"/>
      <color rgb="FF0000FF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0"/>
      <sz val="12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166" fontId="3" fillId="0" borderId="1" applyAlignment="1" pivotButton="0" quotePrefix="0" xfId="0">
      <alignment horizontal="right" vertical="center" wrapText="1"/>
    </xf>
    <xf numFmtId="166" fontId="4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 wrapText="1"/>
    </xf>
    <xf numFmtId="164" fontId="8" fillId="0" borderId="1" applyAlignment="1" pivotButton="0" quotePrefix="0" xfId="0">
      <alignment horizontal="right" vertical="center" wrapText="1"/>
    </xf>
    <xf numFmtId="166" fontId="8" fillId="0" borderId="1" applyAlignment="1" pivotButton="0" quotePrefix="0" xfId="0">
      <alignment horizontal="right" vertical="center" wrapText="1"/>
    </xf>
    <xf numFmtId="0" fontId="1" fillId="0" borderId="0" pivotButton="0" quotePrefix="0" xfId="0"/>
    <xf numFmtId="164" fontId="0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164" fontId="0" fillId="0" borderId="2" applyAlignment="1" pivotButton="0" quotePrefix="0" xfId="0">
      <alignment horizontal="right" vertical="center" wrapText="1"/>
    </xf>
    <xf numFmtId="164" fontId="0" fillId="0" borderId="3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center" vertical="center" wrapText="1"/>
    </xf>
    <xf numFmtId="0" fontId="10" fillId="3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OpenAI</author>
  </authors>
  <commentList>
    <comment ref="B5" authorId="0" shapeId="0">
      <text>
        <t>Source: user instruction in this chat. Monthly gross revenue per car set to N$30,000.</t>
      </text>
    </comment>
    <comment ref="B6" authorId="0" shapeId="0">
      <text>
        <t>Source: user instruction in this chat. Trigger vehicle disposal once monthly gross profit reaches N$180,000 or more.</t>
      </text>
    </comment>
    <comment ref="B11" authorId="0" shapeId="0">
      <text>
        <t>Source: user instruction in this chat. Maintenance expense set to zero.</t>
      </text>
    </comment>
    <comment ref="B12" authorId="0" shapeId="0">
      <text>
        <t>Source: user instruction in this chat. Salary set to N$3,000 per car per month.</t>
      </text>
    </comment>
    <comment ref="B28" authorId="0" shapeId="0">
      <text>
        <t>Source: uploaded PDF "loan_repayment_value_infor_source.pdf". Payment start month aligned to month 5.</t>
      </text>
    </comment>
  </commentList>
</comments>
</file>

<file path=xl/comments/comment2.xml><?xml version="1.0" encoding="utf-8"?>
<comments xmlns="http://schemas.openxmlformats.org/spreadsheetml/2006/main">
  <authors>
    <author>Sebbi Kankondi</author>
  </authors>
  <commentList>
    <comment ref="A2" authorId="0" shapeId="0">
      <text>
        <t>Sebbi Kankondi:
Cash flow includes prime-linked amortising bank debt, owner/investor repayments and profit distributions, and reinvestment purchases when available cash can fund at least the minimum batch size.</t>
      </text>
    </comment>
    <comment ref="B3" authorId="0" shapeId="0">
      <text>
        <t>Sebbi Kankondi:
Initial capital introduced prior to operational cash flow measurement - should not appear in the annual movement line as a normal financing inflow.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showGridLines="0" zoomScale="145" zoomScaleNormal="145" workbookViewId="0">
      <pane ySplit="3" topLeftCell="A11" activePane="bottomLeft" state="frozen"/>
      <selection pane="bottomLeft" activeCell="B5" sqref="B5"/>
    </sheetView>
  </sheetViews>
  <sheetFormatPr baseColWidth="8" defaultColWidth="8.7109375" defaultRowHeight="15" customHeight="1"/>
  <cols>
    <col width="41" customWidth="1" min="1" max="1"/>
    <col width="18" customWidth="1" min="2" max="3"/>
    <col width="80" customWidth="1" min="4" max="4"/>
  </cols>
  <sheetData>
    <row r="1" ht="18.75" customHeight="1">
      <c r="A1" s="20" t="inlineStr">
        <is>
          <t>Namibia Rent-to-Own Fleet Model - Key Assumptions (Editable)</t>
        </is>
      </c>
    </row>
    <row r="2"/>
    <row r="3">
      <c r="A3" s="2" t="inlineStr">
        <is>
          <t>Assumption</t>
        </is>
      </c>
      <c r="B3" s="2" t="inlineStr">
        <is>
          <t>Value</t>
        </is>
      </c>
      <c r="C3" s="2" t="inlineStr">
        <is>
          <t>Units</t>
        </is>
      </c>
      <c r="D3" s="2" t="inlineStr">
        <is>
          <t>Notes / Source</t>
        </is>
      </c>
    </row>
    <row r="4">
      <c r="A4" s="22" t="inlineStr">
        <is>
          <t>Car unit cost</t>
        </is>
      </c>
      <c r="B4" s="3" t="n">
        <v>60000</v>
      </c>
      <c r="C4" s="22" t="inlineStr">
        <is>
          <t>N$ per car</t>
        </is>
      </c>
      <c r="D4" s="22" t="inlineStr">
        <is>
          <t>N$250,000 / 4 cars</t>
        </is>
      </c>
    </row>
    <row r="5">
      <c r="A5" s="22" t="inlineStr">
        <is>
          <t>Monthly Gross revenue per car</t>
        </is>
      </c>
      <c r="B5" s="3" t="n">
        <v>30000</v>
      </c>
      <c r="C5" s="22" t="inlineStr">
        <is>
          <t>N$ / car / month</t>
        </is>
      </c>
      <c r="D5" s="22" t="n"/>
    </row>
    <row r="6" ht="30" customHeight="1">
      <c r="A6" s="22" t="inlineStr">
        <is>
          <t>Vehicle disposal trigger - monthly gross profit</t>
        </is>
      </c>
      <c r="B6" s="3" t="n">
        <v>180000</v>
      </c>
      <c r="C6" s="22" t="inlineStr">
        <is>
          <t>N$ / month</t>
        </is>
      </c>
      <c r="D6" s="22" t="inlineStr">
        <is>
          <t>Monthly gross profit/car trigger for the disposal (with no disposal revenue) of all vehicles.</t>
        </is>
      </c>
    </row>
    <row r="7">
      <c r="A7" s="22" t="inlineStr">
        <is>
          <t>Procurement lead time</t>
        </is>
      </c>
      <c r="B7" s="4" t="n">
        <v>3</v>
      </c>
      <c r="C7" s="22" t="inlineStr">
        <is>
          <t>months</t>
        </is>
      </c>
      <c r="D7" s="22" t="inlineStr">
        <is>
          <t>Estimate time from vehicle order to start of operation</t>
        </is>
      </c>
    </row>
    <row r="8" ht="30" customHeight="1">
      <c r="A8" s="22" t="inlineStr">
        <is>
          <t>Fuel expense per operating car (monthly)</t>
        </is>
      </c>
      <c r="B8" s="3" t="n">
        <v>13000</v>
      </c>
      <c r="C8" s="22" t="inlineStr">
        <is>
          <t>N$ / car / month</t>
        </is>
      </c>
      <c r="D8" s="22" t="inlineStr">
        <is>
          <t>Over-estimated fuel expense based on Swakopmund operations ratio of N$18,000 made for every N$7,000 spent on fuel</t>
        </is>
      </c>
    </row>
    <row r="9" ht="30" customHeight="1">
      <c r="A9" s="22" t="inlineStr">
        <is>
          <t>Airtime expense per operating car (monthly)</t>
        </is>
      </c>
      <c r="B9" s="3" t="n">
        <v>290</v>
      </c>
      <c r="C9" s="22" t="inlineStr">
        <is>
          <t>N$ / car / month</t>
        </is>
      </c>
      <c r="D9" s="22" t="inlineStr">
        <is>
          <t>Reduced requirement</t>
        </is>
      </c>
    </row>
    <row r="10" ht="30" customHeight="1">
      <c r="A10" s="22" t="inlineStr">
        <is>
          <t>Carwash expense per operating car (monthly)</t>
        </is>
      </c>
      <c r="B10" s="3" t="n">
        <v>240</v>
      </c>
      <c r="C10" s="22" t="inlineStr">
        <is>
          <t>N$ / car / month</t>
        </is>
      </c>
      <c r="D10" s="22" t="n"/>
    </row>
    <row r="11" ht="30" customHeight="1">
      <c r="A11" s="22" t="inlineStr">
        <is>
          <t>Maintenance expense per active car (monthly)</t>
        </is>
      </c>
      <c r="B11" s="3" t="n">
        <v>1250</v>
      </c>
      <c r="C11" s="22" t="inlineStr">
        <is>
          <t>N$ / car / month</t>
        </is>
      </c>
      <c r="D11" s="22" t="inlineStr">
        <is>
          <t>Updated requirement</t>
        </is>
      </c>
    </row>
    <row r="12">
      <c r="A12" s="22" t="inlineStr">
        <is>
          <t>Salary expense per operating car (monthly)</t>
        </is>
      </c>
      <c r="B12" s="3" t="n">
        <v>3000</v>
      </c>
      <c r="C12" s="22" t="inlineStr">
        <is>
          <t>N$ / car / month</t>
        </is>
      </c>
      <c r="D12" s="22" t="inlineStr">
        <is>
          <t>For General manager + Operations supervisor</t>
        </is>
      </c>
    </row>
    <row r="13" ht="30" customHeight="1">
      <c r="A13" s="22" t="inlineStr">
        <is>
          <t>Total operating expenses per operating car (monthly)</t>
        </is>
      </c>
      <c r="B13" s="5">
        <f>SUM(B8:B12)</f>
        <v/>
      </c>
      <c r="C13" s="22" t="inlineStr">
        <is>
          <t>N$ / car / month</t>
        </is>
      </c>
      <c r="D13" s="22" t="inlineStr">
        <is>
          <t>Calculated = fuel + airtime + carwash + maintenance + salary.</t>
        </is>
      </c>
    </row>
    <row r="14">
      <c r="A14" s="22" t="inlineStr">
        <is>
          <t>Monthly Gross profit per car</t>
        </is>
      </c>
      <c r="B14" s="5">
        <f>B5-SUM(B8:B11)</f>
        <v/>
      </c>
      <c r="C14" s="22" t="inlineStr">
        <is>
          <t>N$ / car / month</t>
        </is>
      </c>
      <c r="D14" s="22" t="inlineStr">
        <is>
          <t>Calculated = gross revenue less direct running costs before salary.</t>
        </is>
      </c>
    </row>
    <row r="15" ht="30" customHeight="1">
      <c r="A15" s="22" t="inlineStr">
        <is>
          <t>Min reinvest purchase batch size</t>
        </is>
      </c>
      <c r="B15" s="4" t="n">
        <v>4</v>
      </c>
      <c r="C15" s="22" t="inlineStr">
        <is>
          <t>cars</t>
        </is>
      </c>
      <c r="D15" s="22" t="inlineStr">
        <is>
          <t>Orders are placed only when retained profits can fund the purchase of atleast 4 cars.</t>
        </is>
      </c>
    </row>
    <row r="16" ht="30" customHeight="1">
      <c r="A16" s="22" t="inlineStr">
        <is>
          <t>Corporate income tax rate</t>
        </is>
      </c>
      <c r="B16" s="6" t="n">
        <v>0.32</v>
      </c>
      <c r="C16" s="22" t="inlineStr">
        <is>
          <t>%</t>
        </is>
      </c>
      <c r="D16" s="22" t="inlineStr">
        <is>
          <t>NAMRA rate for CC's</t>
        </is>
      </c>
    </row>
    <row r="17" ht="30" customHeight="1">
      <c r="A17" s="22" t="inlineStr">
        <is>
          <t>Initial owner/investor equity</t>
        </is>
      </c>
      <c r="B17" s="11" t="n">
        <v>250000</v>
      </c>
      <c r="C17" s="22" t="inlineStr">
        <is>
          <t>N$</t>
        </is>
      </c>
      <c r="D17" s="22" t="inlineStr">
        <is>
          <t xml:space="preserve">Initial funding from 1 company member for the first batch of 4 cars </t>
        </is>
      </c>
    </row>
    <row r="18">
      <c r="A18" s="22" t="inlineStr">
        <is>
          <t>Bank loan draw (batch 2)</t>
        </is>
      </c>
      <c r="B18" s="3" t="n">
        <v>250000</v>
      </c>
      <c r="C18" s="22" t="inlineStr">
        <is>
          <t>N$</t>
        </is>
      </c>
      <c r="D18" s="22" t="inlineStr">
        <is>
          <t>Proposed bank loan amount to help fund the second batch of 8 cars</t>
        </is>
      </c>
    </row>
    <row r="19" ht="30" customHeight="1">
      <c r="A19" s="22" t="inlineStr">
        <is>
          <t>Bank loan draw month (operating month index)</t>
        </is>
      </c>
      <c r="B19" s="4" t="n">
        <v>5</v>
      </c>
      <c r="C19" s="22" t="inlineStr">
        <is>
          <t>month #</t>
        </is>
      </c>
      <c r="D19" s="22" t="inlineStr">
        <is>
          <t>Bank loan request to be made after the first 4 months of operation.</t>
        </is>
      </c>
    </row>
    <row r="20" ht="30" customHeight="1">
      <c r="A20" s="22" t="inlineStr">
        <is>
          <t>Bank monthly instalment (principal + interest)</t>
        </is>
      </c>
      <c r="B20" s="11">
        <f>-PMT(B27,B26,B18)</f>
        <v/>
      </c>
      <c r="C20" s="22" t="inlineStr">
        <is>
          <t>N$ / month</t>
        </is>
      </c>
      <c r="D20" s="22" t="inlineStr">
        <is>
          <t>Monthly instalment modelled as PMT (fixed periodic repayment) at 10.00% p.a. over 54 months on N$250,000.</t>
        </is>
      </c>
    </row>
    <row r="21" ht="63" customHeight="1">
      <c r="A21" s="22" t="inlineStr">
        <is>
          <t>Bank nominal annual interest rate</t>
        </is>
      </c>
      <c r="B21" s="12" t="n">
        <v>0.1</v>
      </c>
      <c r="C21" s="22" t="inlineStr">
        <is>
          <t>%</t>
        </is>
      </c>
      <c r="D21" s="22" t="inlineStr">
        <is>
          <t xml:space="preserve">Model uses prime-linked nominal annual rate.
Prime rate anchor: Bank of Namibia (BoN) MPC statement (repo 6.50% -&gt; prime expected 10.00%): 
Bank Windhoek published prime lending rate (10.000% effective 29 Dec 2025): </t>
        </is>
      </c>
    </row>
    <row r="22">
      <c r="A22" s="22" t="inlineStr">
        <is>
          <t>Owner/investor equity injection (batch 2)</t>
        </is>
      </c>
      <c r="B22" s="3" t="n">
        <v>250000</v>
      </c>
      <c r="C22" s="22" t="inlineStr">
        <is>
          <t>N$</t>
        </is>
      </c>
      <c r="D22" s="22" t="inlineStr">
        <is>
          <t>Additional N$250,000 from 1 company member to help fund the second batch of 8 cars</t>
        </is>
      </c>
    </row>
    <row r="23" ht="30" customHeight="1">
      <c r="A23" s="22" t="inlineStr">
        <is>
          <t>Owner injection month (operating month index)</t>
        </is>
      </c>
      <c r="B23" s="4" t="n">
        <v>5</v>
      </c>
      <c r="C23" s="22" t="inlineStr">
        <is>
          <t>month #</t>
        </is>
      </c>
      <c r="D23" s="22" t="inlineStr">
        <is>
          <t>Second phase of owner funding to be made after the first 4 months of operation</t>
        </is>
      </c>
    </row>
    <row r="24">
      <c r="A24" s="22" t="inlineStr">
        <is>
          <t>Initial cars in operation (month 1)</t>
        </is>
      </c>
      <c r="B24" s="4" t="n">
        <v>4</v>
      </c>
      <c r="C24" s="22" t="inlineStr">
        <is>
          <t>cars</t>
        </is>
      </c>
      <c r="D24" s="22" t="inlineStr">
        <is>
          <t>Initial batch of 4 cars.</t>
        </is>
      </c>
    </row>
    <row r="25">
      <c r="A25" s="22" t="inlineStr">
        <is>
          <t>Model horizon</t>
        </is>
      </c>
      <c r="B25" s="4" t="n">
        <v>60</v>
      </c>
      <c r="C25" s="22" t="inlineStr">
        <is>
          <t>months</t>
        </is>
      </c>
      <c r="D25" s="22" t="inlineStr">
        <is>
          <t>5 years monthly.</t>
        </is>
      </c>
    </row>
    <row r="26">
      <c r="A26" s="22" t="inlineStr">
        <is>
          <t>Bank loan term</t>
        </is>
      </c>
      <c r="B26" s="4" t="n">
        <v>54</v>
      </c>
      <c r="C26" s="22" t="inlineStr">
        <is>
          <t>months</t>
        </is>
      </c>
      <c r="D26" s="22" t="inlineStr">
        <is>
          <t>Uploaded PDF recommendation: 54-month amortising facility.</t>
        </is>
      </c>
    </row>
    <row r="27">
      <c r="A27" s="22" t="inlineStr">
        <is>
          <t>Bank monthly interest rate</t>
        </is>
      </c>
      <c r="B27" s="7">
        <f>B21/12</f>
        <v/>
      </c>
      <c r="C27" s="22" t="inlineStr">
        <is>
          <t>% / month</t>
        </is>
      </c>
      <c r="D27" s="22" t="inlineStr">
        <is>
          <t>Calculated from the annual nominal rate.</t>
        </is>
      </c>
    </row>
    <row r="28">
      <c r="A28" s="22" t="inlineStr">
        <is>
          <t>Bank payment start month</t>
        </is>
      </c>
      <c r="B28" s="4" t="n">
        <v>5</v>
      </c>
      <c r="C28" s="22" t="inlineStr">
        <is>
          <t>month #</t>
        </is>
      </c>
      <c r="D28" s="22" t="inlineStr">
        <is>
          <t>Aligned to the draw month per the uploaded PDF.</t>
        </is>
      </c>
    </row>
    <row r="29">
      <c r="A29" s="22" t="inlineStr">
        <is>
          <t>Investor payout per car per month</t>
        </is>
      </c>
      <c r="B29" s="3" t="n">
        <v>3000</v>
      </c>
      <c r="C29" s="22" t="inlineStr">
        <is>
          <t>N$ / car / month</t>
        </is>
      </c>
      <c r="D29" s="22" t="inlineStr">
        <is>
          <t>Set aside N$3,000 per car per month for each N$250,000 owner/investor amount.</t>
        </is>
      </c>
    </row>
    <row r="30" ht="30" customHeight="1">
      <c r="A30" s="22" t="inlineStr">
        <is>
          <t>Investor monthly payout per N$250,000 tranche</t>
        </is>
      </c>
      <c r="B30" s="5">
        <f>ROUND(($B$17/$B$4)*$B$29,0)</f>
        <v/>
      </c>
      <c r="C30" s="22" t="inlineStr">
        <is>
          <t>N$ / month</t>
        </is>
      </c>
      <c r="D30" s="22" t="inlineStr">
        <is>
          <t>Calculated as cars funded per tranche x N$3,000 per car.</t>
        </is>
      </c>
    </row>
    <row r="31">
      <c r="A31" s="22" t="inlineStr">
        <is>
          <t>Monthly operating profit per car</t>
        </is>
      </c>
      <c r="B31" s="5">
        <f>B5-B13</f>
        <v/>
      </c>
      <c r="C31" s="22" t="inlineStr">
        <is>
          <t>N$ / car / month</t>
        </is>
      </c>
      <c r="D31" s="22" t="inlineStr">
        <is>
          <t>Calculated = gross revenue less total operating expenses.</t>
        </is>
      </c>
    </row>
    <row r="32" ht="30" customHeight="1">
      <c r="A32" s="22" t="inlineStr">
        <is>
          <t>Batch 1 investor payout start month</t>
        </is>
      </c>
      <c r="B32" s="8" t="n">
        <v>1</v>
      </c>
      <c r="C32" s="22" t="inlineStr">
        <is>
          <t>month #</t>
        </is>
      </c>
      <c r="D32" s="22" t="inlineStr">
        <is>
          <t>Payouts begin once the cars funded by the second owner/investor tranche start operating.</t>
        </is>
      </c>
    </row>
    <row r="33" ht="30" customHeight="1">
      <c r="A33" s="22" t="inlineStr">
        <is>
          <t>Batch 2 investor payout start month</t>
        </is>
      </c>
      <c r="B33" s="8">
        <f>$B$23+$B$7</f>
        <v/>
      </c>
      <c r="C33" s="22" t="inlineStr">
        <is>
          <t>month #</t>
        </is>
      </c>
      <c r="D33" s="22" t="inlineStr">
        <is>
          <t>Payouts begin once the cars funded by the second owner/investor tranche start operating.</t>
        </is>
      </c>
    </row>
    <row r="34">
      <c r="A34" t="inlineStr">
        <is>
          <t>Driver subsistence allocation per operating car (monthly)</t>
        </is>
      </c>
      <c r="B34" t="n">
        <v>1400</v>
      </c>
      <c r="C34" t="inlineStr">
        <is>
          <t>N$ / car / month</t>
        </is>
      </c>
      <c r="D34" t="inlineStr">
        <is>
          <t>Cost of sales component</t>
        </is>
      </c>
    </row>
    <row r="35">
      <c r="A35" t="inlineStr">
        <is>
          <t>Incidental repair reserve per operating car (monthly)</t>
        </is>
      </c>
      <c r="B35" t="n">
        <v>500</v>
      </c>
      <c r="C35" t="inlineStr">
        <is>
          <t>N$ / car / month</t>
        </is>
      </c>
      <c r="D35" t="inlineStr">
        <is>
          <t>Cost of sales component</t>
        </is>
      </c>
    </row>
    <row r="36">
      <c r="A36" t="inlineStr">
        <is>
          <t>Tracking device expense per operating car (monthly)</t>
        </is>
      </c>
      <c r="B36" t="n">
        <v>950</v>
      </c>
      <c r="C36" t="inlineStr">
        <is>
          <t>N$ / car / month</t>
        </is>
      </c>
      <c r="D36" t="inlineStr">
        <is>
          <t>Cost of sales component</t>
        </is>
      </c>
    </row>
    <row r="37">
      <c r="A37" t="inlineStr">
        <is>
          <t>Cost of sales per operating car (monthly)</t>
        </is>
      </c>
      <c r="B37" t="n">
        <v>17630</v>
      </c>
      <c r="C37" t="inlineStr">
        <is>
          <t>N$ / car / month</t>
        </is>
      </c>
      <c r="D37" t="inlineStr">
        <is>
          <t>Calculated = Fuel + Airtime + Carwash + Maintenance + Driver Subsistence + Incidental Reserve + Tracking</t>
        </is>
      </c>
    </row>
  </sheetData>
  <mergeCells count="1">
    <mergeCell ref="A1:D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tabSelected="1" zoomScale="130" zoomScaleNormal="130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E61" sqref="E61"/>
    </sheetView>
  </sheetViews>
  <sheetFormatPr baseColWidth="8" defaultColWidth="8.7109375" defaultRowHeight="15" customHeight="1"/>
  <cols>
    <col width="10" customWidth="1" min="1" max="3"/>
    <col width="24" customWidth="1" min="4" max="11"/>
    <col width="18" customWidth="1" min="12" max="12"/>
  </cols>
  <sheetData>
    <row r="1" ht="17.25" customHeight="1">
      <c r="A1" s="20" t="inlineStr">
        <is>
          <t>Fleet schedule (all cars combined) - monthly counts</t>
        </is>
      </c>
    </row>
    <row r="2" ht="31.5" customHeight="1">
      <c r="A2" s="2" t="inlineStr">
        <is>
          <t>Month #</t>
        </is>
      </c>
      <c r="B2" s="2" t="inlineStr">
        <is>
          <t>Fiscal Year</t>
        </is>
      </c>
      <c r="C2" s="2" t="inlineStr">
        <is>
          <t>Month in FY</t>
        </is>
      </c>
      <c r="D2" s="2" t="inlineStr">
        <is>
          <t>Cars Purchased (orders placed)</t>
        </is>
      </c>
      <c r="E2" s="2" t="inlineStr">
        <is>
          <t>Cars Delivered (start operating)</t>
        </is>
      </c>
      <c r="F2" s="2" t="inlineStr">
        <is>
          <t>Cars In Pipeline (not yet operating)</t>
        </is>
      </c>
      <c r="G2" s="2" t="inlineStr">
        <is>
          <t>Cars in Rent-to-Own Operation</t>
        </is>
      </c>
      <c r="H2" s="15" t="inlineStr">
        <is>
          <t xml:space="preserve">Total Cars </t>
        </is>
      </c>
      <c r="I2" s="2" t="inlineStr">
        <is>
          <t>Total Cars In Operation (Cummulative)</t>
        </is>
      </c>
      <c r="J2" s="2" t="inlineStr">
        <is>
          <t>Cars Disposed (end of month)</t>
        </is>
      </c>
      <c r="K2" s="15" t="inlineStr">
        <is>
          <t xml:space="preserve"> Total Cars Disposed (Cummulative)</t>
        </is>
      </c>
    </row>
    <row r="3">
      <c r="A3" s="9" t="n">
        <v>1</v>
      </c>
      <c r="B3" s="8">
        <f>INT(($A3-1)/12)+1</f>
        <v/>
      </c>
      <c r="C3" s="8">
        <f>MOD($A3-1,12)+1</f>
        <v/>
      </c>
      <c r="D3" s="8" t="n">
        <v>0</v>
      </c>
      <c r="E3" s="8">
        <f>Assumptions!$B$24</f>
        <v/>
      </c>
      <c r="F3" s="8" t="n">
        <v>0</v>
      </c>
      <c r="G3" s="8">
        <f>Assumptions!$B$24</f>
        <v/>
      </c>
      <c r="H3" s="8">
        <f>$G3+$F3</f>
        <v/>
      </c>
      <c r="I3" s="8">
        <f>$E3</f>
        <v/>
      </c>
      <c r="J3" s="8" t="n">
        <v>0</v>
      </c>
      <c r="K3" s="8">
        <f>$J3</f>
        <v/>
      </c>
    </row>
    <row r="4">
      <c r="A4" s="9">
        <f>$A3+1</f>
        <v/>
      </c>
      <c r="B4" s="8">
        <f>INT(($A4-1)/12)+1</f>
        <v/>
      </c>
      <c r="C4" s="8">
        <f>MOD($A4-1,12)+1</f>
        <v/>
      </c>
      <c r="D4" s="8">
        <f>IF((Cash_Flow!$N3+IF($A4=Assumptions!$B$19,Assumptions!$B$18,0)+IF($A4=Assumptions!$B$23,Assumptions!$B$22,0))&gt;=Assumptions!$B$4*Assumptions!$B$15,INT((Cash_Flow!$N3+IF($A4=Assumptions!$B$19,Assumptions!$B$18,0)+IF($A4=Assumptions!$B$23,Assumptions!$B$22,0))/Assumptions!$B$4),0)</f>
        <v/>
      </c>
      <c r="E4" s="8">
        <f>IF($A4&gt;Assumptions!$B$7,INDEX($D$3:$D$62,MATCH($A4-Assumptions!$B$7,$A$3:$A$62,0)),0)</f>
        <v/>
      </c>
      <c r="F4" s="8">
        <f>$F3+$D4-$E4</f>
        <v/>
      </c>
      <c r="G4" s="8">
        <f>$G3+$E4-$J4</f>
        <v/>
      </c>
      <c r="H4" s="8">
        <f>$G4+$F4</f>
        <v/>
      </c>
      <c r="I4" s="8">
        <f>$I3+$E4</f>
        <v/>
      </c>
      <c r="J4" s="8">
        <f>_xlfn.LET(
    _xlpm.PrevMonth,$A3,
    _xlpm.PrevCars,$G3,
    _xlpm.PrevGrossProfit,Income_Statement!$J3,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" s="8">
        <f>$J4+$K3</f>
        <v/>
      </c>
    </row>
    <row r="5">
      <c r="A5" s="9">
        <f>$A4+1</f>
        <v/>
      </c>
      <c r="B5" s="8">
        <f>INT(($A5-1)/12)+1</f>
        <v/>
      </c>
      <c r="C5" s="8">
        <f>MOD($A5-1,12)+1</f>
        <v/>
      </c>
      <c r="D5" s="8">
        <f>IF((Cash_Flow!$N4+IF($A5=Assumptions!$B$19,Assumptions!$B$18,0)+IF($A5=Assumptions!$B$23,Assumptions!$B$22,0))&gt;=Assumptions!$B$4*Assumptions!$B$15,INT((Cash_Flow!$N4+IF($A5=Assumptions!$B$19,Assumptions!$B$18,0)+IF($A5=Assumptions!$B$23,Assumptions!$B$22,0))/Assumptions!$B$4),0)</f>
        <v/>
      </c>
      <c r="E5" s="8">
        <f>IF($A5&gt;Assumptions!$B$7,INDEX($D$3:$D$62,MATCH($A5-Assumptions!$B$7,$A$3:$A$62,0)),0)</f>
        <v/>
      </c>
      <c r="F5" s="8">
        <f>$F4+$D5-$E5</f>
        <v/>
      </c>
      <c r="G5" s="8">
        <f>$G4+$E5-$J5</f>
        <v/>
      </c>
      <c r="H5" s="8">
        <f>$G5+$F5</f>
        <v/>
      </c>
      <c r="I5" s="8">
        <f>$I4+$E5</f>
        <v/>
      </c>
      <c r="J5" s="8">
        <f>_xlfn.LET(
    _xlpm.PrevMonth,$A4,
    _xlpm.PrevCars,$G4,
    _xlpm.PrevGrossProfit,Income_Statement!$J4,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" s="8">
        <f>$J5+$K4</f>
        <v/>
      </c>
    </row>
    <row r="6">
      <c r="A6" s="9">
        <f>$A5+1</f>
        <v/>
      </c>
      <c r="B6" s="8">
        <f>INT(($A6-1)/12)+1</f>
        <v/>
      </c>
      <c r="C6" s="8">
        <f>MOD($A6-1,12)+1</f>
        <v/>
      </c>
      <c r="D6" s="8">
        <f>IF((Cash_Flow!$N5+IF($A6=Assumptions!$B$19,Assumptions!$B$18,0)+IF($A6=Assumptions!$B$23,Assumptions!$B$22,0))&gt;=Assumptions!$B$4*Assumptions!$B$15,INT((Cash_Flow!$N5+IF($A6=Assumptions!$B$19,Assumptions!$B$18,0)+IF($A6=Assumptions!$B$23,Assumptions!$B$22,0))/Assumptions!$B$4),0)</f>
        <v/>
      </c>
      <c r="E6" s="8">
        <f>IF($A6&gt;Assumptions!$B$7,INDEX($D$3:$D$62,MATCH($A6-Assumptions!$B$7,$A$3:$A$62,0)),0)</f>
        <v/>
      </c>
      <c r="F6" s="8">
        <f>$F5+$D6-$E6</f>
        <v/>
      </c>
      <c r="G6" s="8">
        <f>$G5+$E6-$J6</f>
        <v/>
      </c>
      <c r="H6" s="8">
        <f>$G6+$F6</f>
        <v/>
      </c>
      <c r="I6" s="8">
        <f>$I5+$E6</f>
        <v/>
      </c>
      <c r="J6" s="8">
        <f>_xlfn.LET(
    _xlpm.PrevMonth,$A5,
    _xlpm.PrevCars,$G5,
    _xlpm.PrevGrossProfit,Income_Statement!$J5,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6" s="8">
        <f>$J6+$K5</f>
        <v/>
      </c>
    </row>
    <row r="7">
      <c r="A7" s="9">
        <f>$A6+1</f>
        <v/>
      </c>
      <c r="B7" s="8">
        <f>INT(($A7-1)/12)+1</f>
        <v/>
      </c>
      <c r="C7" s="8">
        <f>MOD($A7-1,12)+1</f>
        <v/>
      </c>
      <c r="D7" s="8">
        <f>IF((Cash_Flow!$N6+IF($A7=Assumptions!$B$19,Assumptions!$B$18,0)+IF($A7=Assumptions!$B$23,Assumptions!$B$22,0))&gt;=Assumptions!$B$4*Assumptions!$B$15,INT((Cash_Flow!$N6+IF($A7=Assumptions!$B$19,Assumptions!$B$18,0)+IF($A7=Assumptions!$B$23,Assumptions!$B$22,0))/Assumptions!$B$4),0)</f>
        <v/>
      </c>
      <c r="E7" s="8">
        <f>IF($A7&gt;Assumptions!$B$7,INDEX($D$3:$D$62,MATCH($A7-Assumptions!$B$7,$A$3:$A$62,0)),0)</f>
        <v/>
      </c>
      <c r="F7" s="8">
        <f>$F6+$D7-$E7</f>
        <v/>
      </c>
      <c r="G7" s="8">
        <f>$G6+$E7-$J7</f>
        <v/>
      </c>
      <c r="H7" s="8">
        <f>$G7+$F7</f>
        <v/>
      </c>
      <c r="I7" s="8">
        <f>$I6+$E7</f>
        <v/>
      </c>
      <c r="J7" s="8">
        <f>_xlfn.LET(
    _xlpm.PrevMonth,$A6,
    _xlpm.PrevCars,$G6,
    _xlpm.PrevGrossProfit,Income_Statement!$J6,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7" s="8">
        <f>$J7+$K6</f>
        <v/>
      </c>
    </row>
    <row r="8">
      <c r="A8" s="9">
        <f>$A7+1</f>
        <v/>
      </c>
      <c r="B8" s="8">
        <f>INT(($A8-1)/12)+1</f>
        <v/>
      </c>
      <c r="C8" s="8">
        <f>MOD($A8-1,12)+1</f>
        <v/>
      </c>
      <c r="D8" s="8">
        <f>IF((Cash_Flow!$N7+IF($A8=Assumptions!$B$19,Assumptions!$B$18,0)+IF($A8=Assumptions!$B$23,Assumptions!$B$22,0))&gt;=Assumptions!$B$4*Assumptions!$B$15,INT((Cash_Flow!$N7+IF($A8=Assumptions!$B$19,Assumptions!$B$18,0)+IF($A8=Assumptions!$B$23,Assumptions!$B$22,0))/Assumptions!$B$4),0)</f>
        <v/>
      </c>
      <c r="E8" s="8">
        <f>IF($A8&gt;Assumptions!$B$7,INDEX($D$3:$D$62,MATCH($A8-Assumptions!$B$7,$A$3:$A$62,0)),0)</f>
        <v/>
      </c>
      <c r="F8" s="8">
        <f>$F7+$D8-$E8</f>
        <v/>
      </c>
      <c r="G8" s="8">
        <f>$G7+$E8-$J8</f>
        <v/>
      </c>
      <c r="H8" s="8">
        <f>$G8+$F8</f>
        <v/>
      </c>
      <c r="I8" s="8">
        <f>$I7+$E8</f>
        <v/>
      </c>
      <c r="J8" s="8">
        <f>_xlfn.LET(
    _xlpm.PrevMonth,$A7,
    _xlpm.PrevCars,$G7,
    _xlpm.PrevGrossProfit,Income_Statement!$J7,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8" s="8">
        <f>$J8+$K7</f>
        <v/>
      </c>
    </row>
    <row r="9">
      <c r="A9" s="9">
        <f>$A8+1</f>
        <v/>
      </c>
      <c r="B9" s="8">
        <f>INT(($A9-1)/12)+1</f>
        <v/>
      </c>
      <c r="C9" s="8">
        <f>MOD($A9-1,12)+1</f>
        <v/>
      </c>
      <c r="D9" s="8">
        <f>IF((Cash_Flow!$N8+IF($A9=Assumptions!$B$19,Assumptions!$B$18,0)+IF($A9=Assumptions!$B$23,Assumptions!$B$22,0))&gt;=Assumptions!$B$4*Assumptions!$B$15,INT((Cash_Flow!$N8+IF($A9=Assumptions!$B$19,Assumptions!$B$18,0)+IF($A9=Assumptions!$B$23,Assumptions!$B$22,0))/Assumptions!$B$4),0)</f>
        <v/>
      </c>
      <c r="E9" s="8">
        <f>IF($A9&gt;Assumptions!$B$7,INDEX($D$3:$D$62,MATCH($A9-Assumptions!$B$7,$A$3:$A$62,0)),0)</f>
        <v/>
      </c>
      <c r="F9" s="8">
        <f>$F8+$D9-$E9</f>
        <v/>
      </c>
      <c r="G9" s="8">
        <f>$G8+$E9-$J9</f>
        <v/>
      </c>
      <c r="H9" s="8">
        <f>$G9+$F9</f>
        <v/>
      </c>
      <c r="I9" s="8">
        <f>$I8+$E9</f>
        <v/>
      </c>
      <c r="J9" s="8">
        <f>_xlfn.LET(
    _xlpm.PrevMonth,$A8,
    _xlpm.PrevCars,$G8,
    _xlpm.PrevGrossProfit,Income_Statement!$J8,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9" s="8">
        <f>$J9+$K8</f>
        <v/>
      </c>
    </row>
    <row r="10">
      <c r="A10" s="9">
        <f>$A9+1</f>
        <v/>
      </c>
      <c r="B10" s="8">
        <f>INT(($A10-1)/12)+1</f>
        <v/>
      </c>
      <c r="C10" s="8">
        <f>MOD($A10-1,12)+1</f>
        <v/>
      </c>
      <c r="D10" s="8">
        <f>IF((Cash_Flow!$N9+IF($A10=Assumptions!$B$19,Assumptions!$B$18,0)+IF($A10=Assumptions!$B$23,Assumptions!$B$22,0))&gt;=Assumptions!$B$4*Assumptions!$B$15,INT((Cash_Flow!$N9+IF($A10=Assumptions!$B$19,Assumptions!$B$18,0)+IF($A10=Assumptions!$B$23,Assumptions!$B$22,0))/Assumptions!$B$4),0)</f>
        <v/>
      </c>
      <c r="E10" s="8">
        <f>IF($A10&gt;Assumptions!$B$7,INDEX($D$3:$D$62,MATCH($A10-Assumptions!$B$7,$A$3:$A$62,0)),0)</f>
        <v/>
      </c>
      <c r="F10" s="8">
        <f>$F9+$D10-$E10</f>
        <v/>
      </c>
      <c r="G10" s="8">
        <f>$G9+$E10-$J10</f>
        <v/>
      </c>
      <c r="H10" s="8">
        <f>$G10+$F10</f>
        <v/>
      </c>
      <c r="I10" s="8">
        <f>$I9+$E10</f>
        <v/>
      </c>
      <c r="J10" s="8">
        <f>_xlfn.LET(
    _xlpm.PrevMonth,$A9,
    _xlpm.PrevCars,$G9,
    _xlpm.PrevGrossProfit,Income_Statement!$J9,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0" s="8">
        <f>$J10+$K9</f>
        <v/>
      </c>
    </row>
    <row r="11">
      <c r="A11" s="9">
        <f>$A10+1</f>
        <v/>
      </c>
      <c r="B11" s="8">
        <f>INT(($A11-1)/12)+1</f>
        <v/>
      </c>
      <c r="C11" s="8">
        <f>MOD($A11-1,12)+1</f>
        <v/>
      </c>
      <c r="D11" s="8">
        <f>IF((Cash_Flow!$N10+IF($A11=Assumptions!$B$19,Assumptions!$B$18,0)+IF($A11=Assumptions!$B$23,Assumptions!$B$22,0))&gt;=Assumptions!$B$4*Assumptions!$B$15,INT((Cash_Flow!$N10+IF($A11=Assumptions!$B$19,Assumptions!$B$18,0)+IF($A11=Assumptions!$B$23,Assumptions!$B$22,0))/Assumptions!$B$4),0)</f>
        <v/>
      </c>
      <c r="E11" s="8">
        <f>IF($A11&gt;Assumptions!$B$7,INDEX($D$3:$D$62,MATCH($A11-Assumptions!$B$7,$A$3:$A$62,0)),0)</f>
        <v/>
      </c>
      <c r="F11" s="8">
        <f>$F10+$D11-$E11</f>
        <v/>
      </c>
      <c r="G11" s="8">
        <f>$G10+$E11-$J11</f>
        <v/>
      </c>
      <c r="H11" s="8">
        <f>$G11+$F11</f>
        <v/>
      </c>
      <c r="I11" s="8">
        <f>$I10+$E11</f>
        <v/>
      </c>
      <c r="J11" s="8">
        <f>_xlfn.LET(
    _xlpm.PrevMonth,$A10,
    _xlpm.PrevCars,$G10,
    _xlpm.PrevGrossProfit,Income_Statement!$J10,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1" s="8">
        <f>$J11+$K10</f>
        <v/>
      </c>
    </row>
    <row r="12">
      <c r="A12" s="9">
        <f>$A11+1</f>
        <v/>
      </c>
      <c r="B12" s="8">
        <f>INT(($A12-1)/12)+1</f>
        <v/>
      </c>
      <c r="C12" s="8">
        <f>MOD($A12-1,12)+1</f>
        <v/>
      </c>
      <c r="D12" s="8">
        <f>IF((Cash_Flow!$N11+IF($A12=Assumptions!$B$19,Assumptions!$B$18,0)+IF($A12=Assumptions!$B$23,Assumptions!$B$22,0))&gt;=Assumptions!$B$4*Assumptions!$B$15,INT((Cash_Flow!$N11+IF($A12=Assumptions!$B$19,Assumptions!$B$18,0)+IF($A12=Assumptions!$B$23,Assumptions!$B$22,0))/Assumptions!$B$4),0)</f>
        <v/>
      </c>
      <c r="E12" s="8">
        <f>IF($A12&gt;Assumptions!$B$7,INDEX($D$3:$D$62,MATCH($A12-Assumptions!$B$7,$A$3:$A$62,0)),0)</f>
        <v/>
      </c>
      <c r="F12" s="8">
        <f>$F11+$D12-$E12</f>
        <v/>
      </c>
      <c r="G12" s="8">
        <f>$G11+$E12-$J12</f>
        <v/>
      </c>
      <c r="H12" s="8">
        <f>$G12+$F12</f>
        <v/>
      </c>
      <c r="I12" s="8">
        <f>$I11+$E12</f>
        <v/>
      </c>
      <c r="J12" s="8">
        <f>_xlfn.LET(
    _xlpm.PrevMonth,$A11,
    _xlpm.PrevCars,$G11,
    _xlpm.PrevGrossProfit,Income_Statement!$J11,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2" s="8">
        <f>$J12+$K11</f>
        <v/>
      </c>
    </row>
    <row r="13">
      <c r="A13" s="9">
        <f>$A12+1</f>
        <v/>
      </c>
      <c r="B13" s="8">
        <f>INT(($A13-1)/12)+1</f>
        <v/>
      </c>
      <c r="C13" s="8">
        <f>MOD($A13-1,12)+1</f>
        <v/>
      </c>
      <c r="D13" s="8">
        <f>IF((Cash_Flow!$N12+IF($A13=Assumptions!$B$19,Assumptions!$B$18,0)+IF($A13=Assumptions!$B$23,Assumptions!$B$22,0))&gt;=Assumptions!$B$4*Assumptions!$B$15,INT((Cash_Flow!$N12+IF($A13=Assumptions!$B$19,Assumptions!$B$18,0)+IF($A13=Assumptions!$B$23,Assumptions!$B$22,0))/Assumptions!$B$4),0)</f>
        <v/>
      </c>
      <c r="E13" s="8">
        <f>IF($A13&gt;Assumptions!$B$7,INDEX($D$3:$D$62,MATCH($A13-Assumptions!$B$7,$A$3:$A$62,0)),0)</f>
        <v/>
      </c>
      <c r="F13" s="8">
        <f>$F12+$D13-$E13</f>
        <v/>
      </c>
      <c r="G13" s="8">
        <f>$G12+$E13-$J13</f>
        <v/>
      </c>
      <c r="H13" s="8">
        <f>$G13+$F13</f>
        <v/>
      </c>
      <c r="I13" s="8">
        <f>$I12+$E13</f>
        <v/>
      </c>
      <c r="J13" s="8">
        <f>_xlfn.LET(
    _xlpm.PrevMonth,$A12,
    _xlpm.PrevCars,$G12,
    _xlpm.PrevGrossProfit,Income_Statement!$J12,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3" s="8">
        <f>$J13+$K12</f>
        <v/>
      </c>
    </row>
    <row r="14">
      <c r="A14" s="9">
        <f>$A13+1</f>
        <v/>
      </c>
      <c r="B14" s="8">
        <f>INT(($A14-1)/12)+1</f>
        <v/>
      </c>
      <c r="C14" s="8">
        <f>MOD($A14-1,12)+1</f>
        <v/>
      </c>
      <c r="D14" s="8">
        <f>IF((Cash_Flow!$N13+IF($A14=Assumptions!$B$19,Assumptions!$B$18,0)+IF($A14=Assumptions!$B$23,Assumptions!$B$22,0))&gt;=Assumptions!$B$4*Assumptions!$B$15,INT((Cash_Flow!$N13+IF($A14=Assumptions!$B$19,Assumptions!$B$18,0)+IF($A14=Assumptions!$B$23,Assumptions!$B$22,0))/Assumptions!$B$4),0)</f>
        <v/>
      </c>
      <c r="E14" s="8">
        <f>IF($A14&gt;Assumptions!$B$7,INDEX($D$3:$D$62,MATCH($A14-Assumptions!$B$7,$A$3:$A$62,0)),0)</f>
        <v/>
      </c>
      <c r="F14" s="8">
        <f>$F13+$D14-$E14</f>
        <v/>
      </c>
      <c r="G14" s="8">
        <f>$G13+$E14-$J14</f>
        <v/>
      </c>
      <c r="H14" s="8">
        <f>$G14+$F14</f>
        <v/>
      </c>
      <c r="I14" s="8">
        <f>$I13+$E14</f>
        <v/>
      </c>
      <c r="J14" s="8">
        <f>_xlfn.LET(
    _xlpm.PrevMonth,$A13,
    _xlpm.PrevCars,$G13,
    _xlpm.PrevGrossProfit,Income_Statement!$J13,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4" s="8">
        <f>$J14+$K13</f>
        <v/>
      </c>
    </row>
    <row r="15">
      <c r="A15" s="9">
        <f>$A14+1</f>
        <v/>
      </c>
      <c r="B15" s="8">
        <f>INT(($A15-1)/12)+1</f>
        <v/>
      </c>
      <c r="C15" s="8">
        <f>MOD($A15-1,12)+1</f>
        <v/>
      </c>
      <c r="D15" s="8">
        <f>IF((Cash_Flow!$N14+IF($A15=Assumptions!$B$19,Assumptions!$B$18,0)+IF($A15=Assumptions!$B$23,Assumptions!$B$22,0))&gt;=Assumptions!$B$4*Assumptions!$B$15,INT((Cash_Flow!$N14+IF($A15=Assumptions!$B$19,Assumptions!$B$18,0)+IF($A15=Assumptions!$B$23,Assumptions!$B$22,0))/Assumptions!$B$4),0)</f>
        <v/>
      </c>
      <c r="E15" s="8">
        <f>IF($A15&gt;Assumptions!$B$7,INDEX($D$3:$D$62,MATCH($A15-Assumptions!$B$7,$A$3:$A$62,0)),0)</f>
        <v/>
      </c>
      <c r="F15" s="8">
        <f>$F14+$D15-$E15</f>
        <v/>
      </c>
      <c r="G15" s="8">
        <f>$G14+$E15-$J15</f>
        <v/>
      </c>
      <c r="H15" s="8">
        <f>$G15+$F15</f>
        <v/>
      </c>
      <c r="I15" s="8">
        <f>$I14+$E15</f>
        <v/>
      </c>
      <c r="J15" s="8">
        <f>_xlfn.LET(
    _xlpm.PrevMonth,$A14,
    _xlpm.PrevCars,$G14,
    _xlpm.PrevGrossProfit,Income_Statement!$J14,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5" s="8">
        <f>$J15+$K14</f>
        <v/>
      </c>
    </row>
    <row r="16">
      <c r="A16" s="9">
        <f>$A15+1</f>
        <v/>
      </c>
      <c r="B16" s="8">
        <f>INT(($A16-1)/12)+1</f>
        <v/>
      </c>
      <c r="C16" s="8">
        <f>MOD($A16-1,12)+1</f>
        <v/>
      </c>
      <c r="D16" s="8">
        <f>IF((Cash_Flow!$N15+IF($A16=Assumptions!$B$19,Assumptions!$B$18,0)+IF($A16=Assumptions!$B$23,Assumptions!$B$22,0))&gt;=Assumptions!$B$4*Assumptions!$B$15,INT((Cash_Flow!$N15+IF($A16=Assumptions!$B$19,Assumptions!$B$18,0)+IF($A16=Assumptions!$B$23,Assumptions!$B$22,0))/Assumptions!$B$4),0)</f>
        <v/>
      </c>
      <c r="E16" s="8">
        <f>IF($A16&gt;Assumptions!$B$7,INDEX($D$3:$D$62,MATCH($A16-Assumptions!$B$7,$A$3:$A$62,0)),0)</f>
        <v/>
      </c>
      <c r="F16" s="8">
        <f>$F15+$D16-$E16</f>
        <v/>
      </c>
      <c r="G16" s="8">
        <f>$G15+$E16-$J16</f>
        <v/>
      </c>
      <c r="H16" s="8">
        <f>$G16+$F16</f>
        <v/>
      </c>
      <c r="I16" s="8">
        <f>$I15+$E16</f>
        <v/>
      </c>
      <c r="J16" s="8">
        <f>_xlfn.LET(
    _xlpm.PrevMonth,$A15,
    _xlpm.PrevCars,$G15,
    _xlpm.PrevGrossProfit,Income_Statement!$J15,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6" s="8">
        <f>$J16+$K15</f>
        <v/>
      </c>
    </row>
    <row r="17">
      <c r="A17" s="9">
        <f>$A16+1</f>
        <v/>
      </c>
      <c r="B17" s="8">
        <f>INT(($A17-1)/12)+1</f>
        <v/>
      </c>
      <c r="C17" s="8">
        <f>MOD($A17-1,12)+1</f>
        <v/>
      </c>
      <c r="D17" s="8">
        <f>IF((Cash_Flow!$N16+IF($A17=Assumptions!$B$19,Assumptions!$B$18,0)+IF($A17=Assumptions!$B$23,Assumptions!$B$22,0))&gt;=Assumptions!$B$4*Assumptions!$B$15,INT((Cash_Flow!$N16+IF($A17=Assumptions!$B$19,Assumptions!$B$18,0)+IF($A17=Assumptions!$B$23,Assumptions!$B$22,0))/Assumptions!$B$4),0)</f>
        <v/>
      </c>
      <c r="E17" s="8">
        <f>IF($A17&gt;Assumptions!$B$7,INDEX($D$3:$D$62,MATCH($A17-Assumptions!$B$7,$A$3:$A$62,0)),0)</f>
        <v/>
      </c>
      <c r="F17" s="8">
        <f>$F16+$D17-$E17</f>
        <v/>
      </c>
      <c r="G17" s="8">
        <f>$G16+$E17-$J17</f>
        <v/>
      </c>
      <c r="H17" s="8">
        <f>$G17+$F17</f>
        <v/>
      </c>
      <c r="I17" s="8">
        <f>$I16+$E17</f>
        <v/>
      </c>
      <c r="J17" s="8">
        <f>_xlfn.LET(
    _xlpm.PrevMonth,$A16,
    _xlpm.PrevCars,$G16,
    _xlpm.PrevGrossProfit,Income_Statement!$J16,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7" s="8">
        <f>$J17+$K16</f>
        <v/>
      </c>
    </row>
    <row r="18">
      <c r="A18" s="9">
        <f>$A17+1</f>
        <v/>
      </c>
      <c r="B18" s="8">
        <f>INT(($A18-1)/12)+1</f>
        <v/>
      </c>
      <c r="C18" s="8">
        <f>MOD($A18-1,12)+1</f>
        <v/>
      </c>
      <c r="D18" s="8">
        <f>IF((Cash_Flow!$N17+IF($A18=Assumptions!$B$19,Assumptions!$B$18,0)+IF($A18=Assumptions!$B$23,Assumptions!$B$22,0))&gt;=Assumptions!$B$4*Assumptions!$B$15,INT((Cash_Flow!$N17+IF($A18=Assumptions!$B$19,Assumptions!$B$18,0)+IF($A18=Assumptions!$B$23,Assumptions!$B$22,0))/Assumptions!$B$4),0)</f>
        <v/>
      </c>
      <c r="E18" s="8">
        <f>IF($A18&gt;Assumptions!$B$7,INDEX($D$3:$D$62,MATCH($A18-Assumptions!$B$7,$A$3:$A$62,0)),0)</f>
        <v/>
      </c>
      <c r="F18" s="8">
        <f>$F17+$D18-$E18</f>
        <v/>
      </c>
      <c r="G18" s="8">
        <f>$G17+$E18-$J18</f>
        <v/>
      </c>
      <c r="H18" s="8">
        <f>$G18+$F18</f>
        <v/>
      </c>
      <c r="I18" s="8">
        <f>$I17+$E18</f>
        <v/>
      </c>
      <c r="J18" s="8">
        <f>_xlfn.LET(
    _xlpm.PrevMonth,$A17,
    _xlpm.PrevCars,$G17,
    _xlpm.PrevGrossProfit,Income_Statement!$J17,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8" s="8">
        <f>$J18+$K17</f>
        <v/>
      </c>
    </row>
    <row r="19">
      <c r="A19" s="9">
        <f>$A18+1</f>
        <v/>
      </c>
      <c r="B19" s="8">
        <f>INT(($A19-1)/12)+1</f>
        <v/>
      </c>
      <c r="C19" s="8">
        <f>MOD($A19-1,12)+1</f>
        <v/>
      </c>
      <c r="D19" s="8">
        <f>IF((Cash_Flow!$N18+IF($A19=Assumptions!$B$19,Assumptions!$B$18,0)+IF($A19=Assumptions!$B$23,Assumptions!$B$22,0))&gt;=Assumptions!$B$4*Assumptions!$B$15,INT((Cash_Flow!$N18+IF($A19=Assumptions!$B$19,Assumptions!$B$18,0)+IF($A19=Assumptions!$B$23,Assumptions!$B$22,0))/Assumptions!$B$4),0)</f>
        <v/>
      </c>
      <c r="E19" s="8">
        <f>IF($A19&gt;Assumptions!$B$7,INDEX($D$3:$D$62,MATCH($A19-Assumptions!$B$7,$A$3:$A$62,0)),0)</f>
        <v/>
      </c>
      <c r="F19" s="8">
        <f>$F18+$D19-$E19</f>
        <v/>
      </c>
      <c r="G19" s="8">
        <f>$G18+$E19-$J19</f>
        <v/>
      </c>
      <c r="H19" s="8">
        <f>$G19+$F19</f>
        <v/>
      </c>
      <c r="I19" s="8">
        <f>$I18+$E19</f>
        <v/>
      </c>
      <c r="J19" s="8">
        <f>_xlfn.LET(
    _xlpm.PrevMonth,$A18,
    _xlpm.PrevCars,$G18,
    _xlpm.PrevGrossProfit,Income_Statement!$J18,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9" s="8">
        <f>$J19+$K18</f>
        <v/>
      </c>
    </row>
    <row r="20">
      <c r="A20" s="9">
        <f>$A19+1</f>
        <v/>
      </c>
      <c r="B20" s="8">
        <f>INT(($A20-1)/12)+1</f>
        <v/>
      </c>
      <c r="C20" s="8">
        <f>MOD($A20-1,12)+1</f>
        <v/>
      </c>
      <c r="D20" s="8">
        <f>IF((Cash_Flow!$N19+IF($A20=Assumptions!$B$19,Assumptions!$B$18,0)+IF($A20=Assumptions!$B$23,Assumptions!$B$22,0))&gt;=Assumptions!$B$4*Assumptions!$B$15,INT((Cash_Flow!$N19+IF($A20=Assumptions!$B$19,Assumptions!$B$18,0)+IF($A20=Assumptions!$B$23,Assumptions!$B$22,0))/Assumptions!$B$4),0)</f>
        <v/>
      </c>
      <c r="E20" s="8">
        <f>IF($A20&gt;Assumptions!$B$7,INDEX($D$3:$D$62,MATCH($A20-Assumptions!$B$7,$A$3:$A$62,0)),0)</f>
        <v/>
      </c>
      <c r="F20" s="8">
        <f>$F19+$D20-$E20</f>
        <v/>
      </c>
      <c r="G20" s="8">
        <f>$G19+$E20-$J20</f>
        <v/>
      </c>
      <c r="H20" s="8">
        <f>$G20+$F20</f>
        <v/>
      </c>
      <c r="I20" s="8">
        <f>$I19+$E20</f>
        <v/>
      </c>
      <c r="J20" s="8">
        <f>_xlfn.LET(
    _xlpm.PrevMonth,$A19,
    _xlpm.PrevCars,$G19,
    _xlpm.PrevGrossProfit,Income_Statement!$J19,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0" s="8">
        <f>$J20+$K19</f>
        <v/>
      </c>
    </row>
    <row r="21">
      <c r="A21" s="9">
        <f>$A20+1</f>
        <v/>
      </c>
      <c r="B21" s="8">
        <f>INT(($A21-1)/12)+1</f>
        <v/>
      </c>
      <c r="C21" s="8">
        <f>MOD($A21-1,12)+1</f>
        <v/>
      </c>
      <c r="D21" s="8">
        <f>IF((Cash_Flow!$N20+IF($A21=Assumptions!$B$19,Assumptions!$B$18,0)+IF($A21=Assumptions!$B$23,Assumptions!$B$22,0))&gt;=Assumptions!$B$4*Assumptions!$B$15,INT((Cash_Flow!$N20+IF($A21=Assumptions!$B$19,Assumptions!$B$18,0)+IF($A21=Assumptions!$B$23,Assumptions!$B$22,0))/Assumptions!$B$4),0)</f>
        <v/>
      </c>
      <c r="E21" s="8">
        <f>IF($A21&gt;Assumptions!$B$7,INDEX($D$3:$D$62,MATCH($A21-Assumptions!$B$7,$A$3:$A$62,0)),0)</f>
        <v/>
      </c>
      <c r="F21" s="8">
        <f>$F20+$D21-$E21</f>
        <v/>
      </c>
      <c r="G21" s="8">
        <f>$G20+$E21-$J21</f>
        <v/>
      </c>
      <c r="H21" s="8">
        <f>$G21+$F21</f>
        <v/>
      </c>
      <c r="I21" s="8">
        <f>$I20+$E21</f>
        <v/>
      </c>
      <c r="J21" s="8">
        <f>_xlfn.LET(
    _xlpm.PrevMonth,$A20,
    _xlpm.PrevCars,$G20,
    _xlpm.PrevGrossProfit,Income_Statement!$J20,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1" s="8">
        <f>$J21+$K20</f>
        <v/>
      </c>
    </row>
    <row r="22">
      <c r="A22" s="9">
        <f>$A21+1</f>
        <v/>
      </c>
      <c r="B22" s="8">
        <f>INT(($A22-1)/12)+1</f>
        <v/>
      </c>
      <c r="C22" s="8">
        <f>MOD($A22-1,12)+1</f>
        <v/>
      </c>
      <c r="D22" s="8">
        <f>IF((Cash_Flow!$N21+IF($A22=Assumptions!$B$19,Assumptions!$B$18,0)+IF($A22=Assumptions!$B$23,Assumptions!$B$22,0))&gt;=Assumptions!$B$4*Assumptions!$B$15,INT((Cash_Flow!$N21+IF($A22=Assumptions!$B$19,Assumptions!$B$18,0)+IF($A22=Assumptions!$B$23,Assumptions!$B$22,0))/Assumptions!$B$4),0)</f>
        <v/>
      </c>
      <c r="E22" s="8">
        <f>IF($A22&gt;Assumptions!$B$7,INDEX($D$3:$D$62,MATCH($A22-Assumptions!$B$7,$A$3:$A$62,0)),0)</f>
        <v/>
      </c>
      <c r="F22" s="8">
        <f>$F21+$D22-$E22</f>
        <v/>
      </c>
      <c r="G22" s="8">
        <f>$G21+$E22-$J22</f>
        <v/>
      </c>
      <c r="H22" s="8">
        <f>$G22+$F22</f>
        <v/>
      </c>
      <c r="I22" s="8">
        <f>$I21+$E22</f>
        <v/>
      </c>
      <c r="J22" s="8">
        <f>_xlfn.LET(
    _xlpm.PrevMonth,$A21,
    _xlpm.PrevCars,$G21,
    _xlpm.PrevGrossProfit,Income_Statement!$J21,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2" s="8">
        <f>$J22+$K21</f>
        <v/>
      </c>
    </row>
    <row r="23">
      <c r="A23" s="9">
        <f>$A22+1</f>
        <v/>
      </c>
      <c r="B23" s="8">
        <f>INT(($A23-1)/12)+1</f>
        <v/>
      </c>
      <c r="C23" s="8">
        <f>MOD($A23-1,12)+1</f>
        <v/>
      </c>
      <c r="D23" s="8">
        <f>IF((Cash_Flow!$N22+IF($A23=Assumptions!$B$19,Assumptions!$B$18,0)+IF($A23=Assumptions!$B$23,Assumptions!$B$22,0))&gt;=Assumptions!$B$4*Assumptions!$B$15,INT((Cash_Flow!$N22+IF($A23=Assumptions!$B$19,Assumptions!$B$18,0)+IF($A23=Assumptions!$B$23,Assumptions!$B$22,0))/Assumptions!$B$4),0)</f>
        <v/>
      </c>
      <c r="E23" s="8">
        <f>IF($A23&gt;Assumptions!$B$7,INDEX($D$3:$D$62,MATCH($A23-Assumptions!$B$7,$A$3:$A$62,0)),0)</f>
        <v/>
      </c>
      <c r="F23" s="8">
        <f>$F22+$D23-$E23</f>
        <v/>
      </c>
      <c r="G23" s="8">
        <f>$G22+$E23-$J23</f>
        <v/>
      </c>
      <c r="H23" s="8">
        <f>$G23+$F23</f>
        <v/>
      </c>
      <c r="I23" s="8">
        <f>$I22+$E23</f>
        <v/>
      </c>
      <c r="J23" s="8">
        <f>_xlfn.LET(
    _xlpm.PrevMonth,$A22,
    _xlpm.PrevCars,$G22,
    _xlpm.PrevGrossProfit,Income_Statement!$J22,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3" s="8">
        <f>$J23+$K22</f>
        <v/>
      </c>
    </row>
    <row r="24">
      <c r="A24" s="9">
        <f>$A23+1</f>
        <v/>
      </c>
      <c r="B24" s="8">
        <f>INT(($A24-1)/12)+1</f>
        <v/>
      </c>
      <c r="C24" s="8">
        <f>MOD($A24-1,12)+1</f>
        <v/>
      </c>
      <c r="D24" s="8">
        <f>IF((Cash_Flow!$N23+IF($A24=Assumptions!$B$19,Assumptions!$B$18,0)+IF($A24=Assumptions!$B$23,Assumptions!$B$22,0))&gt;=Assumptions!$B$4*Assumptions!$B$15,INT((Cash_Flow!$N23+IF($A24=Assumptions!$B$19,Assumptions!$B$18,0)+IF($A24=Assumptions!$B$23,Assumptions!$B$22,0))/Assumptions!$B$4),0)</f>
        <v/>
      </c>
      <c r="E24" s="8">
        <f>IF($A24&gt;Assumptions!$B$7,INDEX($D$3:$D$62,MATCH($A24-Assumptions!$B$7,$A$3:$A$62,0)),0)</f>
        <v/>
      </c>
      <c r="F24" s="8">
        <f>$F23+$D24-$E24</f>
        <v/>
      </c>
      <c r="G24" s="8">
        <f>$G23+$E24-$J24</f>
        <v/>
      </c>
      <c r="H24" s="8">
        <f>$G24+$F24</f>
        <v/>
      </c>
      <c r="I24" s="8">
        <f>$I23+$E24</f>
        <v/>
      </c>
      <c r="J24" s="8">
        <f>_xlfn.LET(
    _xlpm.PrevMonth,$A23,
    _xlpm.PrevCars,$G23,
    _xlpm.PrevGrossProfit,Income_Statement!$J23,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4" s="8">
        <f>$J24+$K23</f>
        <v/>
      </c>
    </row>
    <row r="25">
      <c r="A25" s="9">
        <f>$A24+1</f>
        <v/>
      </c>
      <c r="B25" s="8">
        <f>INT(($A25-1)/12)+1</f>
        <v/>
      </c>
      <c r="C25" s="8">
        <f>MOD($A25-1,12)+1</f>
        <v/>
      </c>
      <c r="D25" s="8">
        <f>IF((Cash_Flow!$N24+IF($A25=Assumptions!$B$19,Assumptions!$B$18,0)+IF($A25=Assumptions!$B$23,Assumptions!$B$22,0))&gt;=Assumptions!$B$4*Assumptions!$B$15,INT((Cash_Flow!$N24+IF($A25=Assumptions!$B$19,Assumptions!$B$18,0)+IF($A25=Assumptions!$B$23,Assumptions!$B$22,0))/Assumptions!$B$4),0)</f>
        <v/>
      </c>
      <c r="E25" s="8">
        <f>IF($A25&gt;Assumptions!$B$7,INDEX($D$3:$D$62,MATCH($A25-Assumptions!$B$7,$A$3:$A$62,0)),0)</f>
        <v/>
      </c>
      <c r="F25" s="8">
        <f>$F24+$D25-$E25</f>
        <v/>
      </c>
      <c r="G25" s="8">
        <f>$G24+$E25-$J25</f>
        <v/>
      </c>
      <c r="H25" s="8">
        <f>$G25+$F25</f>
        <v/>
      </c>
      <c r="I25" s="8">
        <f>$I24+$E25</f>
        <v/>
      </c>
      <c r="J25" s="8">
        <f>_xlfn.LET(
    _xlpm.PrevMonth,$A24,
    _xlpm.PrevCars,$G24,
    _xlpm.PrevGrossProfit,Income_Statement!$J24,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5" s="8">
        <f>$J25+$K24</f>
        <v/>
      </c>
    </row>
    <row r="26">
      <c r="A26" s="9">
        <f>$A25+1</f>
        <v/>
      </c>
      <c r="B26" s="8">
        <f>INT(($A26-1)/12)+1</f>
        <v/>
      </c>
      <c r="C26" s="8">
        <f>MOD($A26-1,12)+1</f>
        <v/>
      </c>
      <c r="D26" s="8">
        <f>IF((Cash_Flow!$N25+IF($A26=Assumptions!$B$19,Assumptions!$B$18,0)+IF($A26=Assumptions!$B$23,Assumptions!$B$22,0))&gt;=Assumptions!$B$4*Assumptions!$B$15,INT((Cash_Flow!$N25+IF($A26=Assumptions!$B$19,Assumptions!$B$18,0)+IF($A26=Assumptions!$B$23,Assumptions!$B$22,0))/Assumptions!$B$4),0)</f>
        <v/>
      </c>
      <c r="E26" s="8">
        <f>IF($A26&gt;Assumptions!$B$7,INDEX($D$3:$D$62,MATCH($A26-Assumptions!$B$7,$A$3:$A$62,0)),0)</f>
        <v/>
      </c>
      <c r="F26" s="8">
        <f>$F25+$D26-$E26</f>
        <v/>
      </c>
      <c r="G26" s="8">
        <f>$G25+$E26-$J26</f>
        <v/>
      </c>
      <c r="H26" s="8">
        <f>$G26+$F26</f>
        <v/>
      </c>
      <c r="I26" s="8">
        <f>$I25+$E26</f>
        <v/>
      </c>
      <c r="J26" s="8">
        <f>_xlfn.LET(
    _xlpm.PrevMonth,$A25,
    _xlpm.PrevCars,$G25,
    _xlpm.PrevGrossProfit,Income_Statement!$J25,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6" s="8">
        <f>$J26+$K25</f>
        <v/>
      </c>
    </row>
    <row r="27">
      <c r="A27" s="9">
        <f>$A26+1</f>
        <v/>
      </c>
      <c r="B27" s="8">
        <f>INT(($A27-1)/12)+1</f>
        <v/>
      </c>
      <c r="C27" s="8">
        <f>MOD($A27-1,12)+1</f>
        <v/>
      </c>
      <c r="D27" s="8">
        <f>IF((Cash_Flow!$N26+IF($A27=Assumptions!$B$19,Assumptions!$B$18,0)+IF($A27=Assumptions!$B$23,Assumptions!$B$22,0))&gt;=Assumptions!$B$4*Assumptions!$B$15,INT((Cash_Flow!$N26+IF($A27=Assumptions!$B$19,Assumptions!$B$18,0)+IF($A27=Assumptions!$B$23,Assumptions!$B$22,0))/Assumptions!$B$4),0)</f>
        <v/>
      </c>
      <c r="E27" s="8">
        <f>IF($A27&gt;Assumptions!$B$7,INDEX($D$3:$D$62,MATCH($A27-Assumptions!$B$7,$A$3:$A$62,0)),0)</f>
        <v/>
      </c>
      <c r="F27" s="8">
        <f>$F26+$D27-$E27</f>
        <v/>
      </c>
      <c r="G27" s="8">
        <f>$G26+$E27-$J27</f>
        <v/>
      </c>
      <c r="H27" s="8">
        <f>$G27+$F27</f>
        <v/>
      </c>
      <c r="I27" s="8">
        <f>$I26+$E27</f>
        <v/>
      </c>
      <c r="J27" s="8">
        <f>_xlfn.LET(
    _xlpm.PrevMonth,$A26,
    _xlpm.PrevCars,$G26,
    _xlpm.PrevGrossProfit,Income_Statement!$J26,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7" s="8">
        <f>$J27+$K26</f>
        <v/>
      </c>
    </row>
    <row r="28">
      <c r="A28" s="9">
        <f>$A27+1</f>
        <v/>
      </c>
      <c r="B28" s="8">
        <f>INT(($A28-1)/12)+1</f>
        <v/>
      </c>
      <c r="C28" s="8">
        <f>MOD($A28-1,12)+1</f>
        <v/>
      </c>
      <c r="D28" s="8">
        <f>IF((Cash_Flow!$N27+IF($A28=Assumptions!$B$19,Assumptions!$B$18,0)+IF($A28=Assumptions!$B$23,Assumptions!$B$22,0))&gt;=Assumptions!$B$4*Assumptions!$B$15,INT((Cash_Flow!$N27+IF($A28=Assumptions!$B$19,Assumptions!$B$18,0)+IF($A28=Assumptions!$B$23,Assumptions!$B$22,0))/Assumptions!$B$4),0)</f>
        <v/>
      </c>
      <c r="E28" s="8">
        <f>IF($A28&gt;Assumptions!$B$7,INDEX($D$3:$D$62,MATCH($A28-Assumptions!$B$7,$A$3:$A$62,0)),0)</f>
        <v/>
      </c>
      <c r="F28" s="8">
        <f>$F27+$D28-$E28</f>
        <v/>
      </c>
      <c r="G28" s="8">
        <f>$G27+$E28-$J28</f>
        <v/>
      </c>
      <c r="H28" s="8">
        <f>$G28+$F28</f>
        <v/>
      </c>
      <c r="I28" s="8">
        <f>$I27+$E28</f>
        <v/>
      </c>
      <c r="J28" s="8">
        <f>_xlfn.LET(
    _xlpm.PrevMonth,$A27,
    _xlpm.PrevCars,$G27,
    _xlpm.PrevGrossProfit,Income_Statement!$J27,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8" s="8">
        <f>$J28+$K27</f>
        <v/>
      </c>
    </row>
    <row r="29">
      <c r="A29" s="9">
        <f>$A28+1</f>
        <v/>
      </c>
      <c r="B29" s="8">
        <f>INT(($A29-1)/12)+1</f>
        <v/>
      </c>
      <c r="C29" s="8">
        <f>MOD($A29-1,12)+1</f>
        <v/>
      </c>
      <c r="D29" s="8">
        <f>IF((Cash_Flow!$N28+IF($A29=Assumptions!$B$19,Assumptions!$B$18,0)+IF($A29=Assumptions!$B$23,Assumptions!$B$22,0))&gt;=Assumptions!$B$4*Assumptions!$B$15,INT((Cash_Flow!$N28+IF($A29=Assumptions!$B$19,Assumptions!$B$18,0)+IF($A29=Assumptions!$B$23,Assumptions!$B$22,0))/Assumptions!$B$4),0)</f>
        <v/>
      </c>
      <c r="E29" s="8">
        <f>IF($A29&gt;Assumptions!$B$7,INDEX($D$3:$D$62,MATCH($A29-Assumptions!$B$7,$A$3:$A$62,0)),0)</f>
        <v/>
      </c>
      <c r="F29" s="8">
        <f>$F28+$D29-$E29</f>
        <v/>
      </c>
      <c r="G29" s="8">
        <f>$G28+$E29-$J29</f>
        <v/>
      </c>
      <c r="H29" s="8">
        <f>$G29+$F29</f>
        <v/>
      </c>
      <c r="I29" s="8">
        <f>$I28+$E29</f>
        <v/>
      </c>
      <c r="J29" s="8">
        <f>_xlfn.LET(
    _xlpm.PrevMonth,$A28,
    _xlpm.PrevCars,$G28,
    _xlpm.PrevGrossProfit,Income_Statement!$J28,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9" s="8">
        <f>$J29+$K28</f>
        <v/>
      </c>
    </row>
    <row r="30">
      <c r="A30" s="9">
        <f>$A29+1</f>
        <v/>
      </c>
      <c r="B30" s="8">
        <f>INT(($A30-1)/12)+1</f>
        <v/>
      </c>
      <c r="C30" s="8">
        <f>MOD($A30-1,12)+1</f>
        <v/>
      </c>
      <c r="D30" s="8">
        <f>IF((Cash_Flow!$N29+IF($A30=Assumptions!$B$19,Assumptions!$B$18,0)+IF($A30=Assumptions!$B$23,Assumptions!$B$22,0))&gt;=Assumptions!$B$4*Assumptions!$B$15,INT((Cash_Flow!$N29+IF($A30=Assumptions!$B$19,Assumptions!$B$18,0)+IF($A30=Assumptions!$B$23,Assumptions!$B$22,0))/Assumptions!$B$4),0)</f>
        <v/>
      </c>
      <c r="E30" s="8">
        <f>IF($A30&gt;Assumptions!$B$7,INDEX($D$3:$D$62,MATCH($A30-Assumptions!$B$7,$A$3:$A$62,0)),0)</f>
        <v/>
      </c>
      <c r="F30" s="8">
        <f>$F29+$D30-$E30</f>
        <v/>
      </c>
      <c r="G30" s="8">
        <f>$G29+$E30-$J30</f>
        <v/>
      </c>
      <c r="H30" s="8">
        <f>$G30+$F30</f>
        <v/>
      </c>
      <c r="I30" s="8">
        <f>$I29+$E30</f>
        <v/>
      </c>
      <c r="J30" s="8">
        <f>_xlfn.LET(
    _xlpm.PrevMonth,$A29,
    _xlpm.PrevCars,$G29,
    _xlpm.PrevGrossProfit,Income_Statement!$J29,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0" s="8">
        <f>$J30+$K29</f>
        <v/>
      </c>
    </row>
    <row r="31">
      <c r="A31" s="9">
        <f>$A30+1</f>
        <v/>
      </c>
      <c r="B31" s="8">
        <f>INT(($A31-1)/12)+1</f>
        <v/>
      </c>
      <c r="C31" s="8">
        <f>MOD($A31-1,12)+1</f>
        <v/>
      </c>
      <c r="D31" s="8">
        <f>IF((Cash_Flow!$N30+IF($A31=Assumptions!$B$19,Assumptions!$B$18,0)+IF($A31=Assumptions!$B$23,Assumptions!$B$22,0))&gt;=Assumptions!$B$4*Assumptions!$B$15,INT((Cash_Flow!$N30+IF($A31=Assumptions!$B$19,Assumptions!$B$18,0)+IF($A31=Assumptions!$B$23,Assumptions!$B$22,0))/Assumptions!$B$4),0)</f>
        <v/>
      </c>
      <c r="E31" s="8">
        <f>IF($A31&gt;Assumptions!$B$7,INDEX($D$3:$D$62,MATCH($A31-Assumptions!$B$7,$A$3:$A$62,0)),0)</f>
        <v/>
      </c>
      <c r="F31" s="8">
        <f>$F30+$D31-$E31</f>
        <v/>
      </c>
      <c r="G31" s="8">
        <f>$G30+$E31-$J31</f>
        <v/>
      </c>
      <c r="H31" s="8">
        <f>$G31+$F31</f>
        <v/>
      </c>
      <c r="I31" s="8">
        <f>$I30+$E31</f>
        <v/>
      </c>
      <c r="J31" s="8">
        <f>_xlfn.LET(
    _xlpm.PrevMonth,$A30,
    _xlpm.PrevCars,$G30,
    _xlpm.PrevGrossProfit,Income_Statement!$J30,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1" s="8">
        <f>$J31+$K30</f>
        <v/>
      </c>
    </row>
    <row r="32">
      <c r="A32" s="9">
        <f>$A31+1</f>
        <v/>
      </c>
      <c r="B32" s="8">
        <f>INT(($A32-1)/12)+1</f>
        <v/>
      </c>
      <c r="C32" s="8">
        <f>MOD($A32-1,12)+1</f>
        <v/>
      </c>
      <c r="D32" s="8">
        <f>IF((Cash_Flow!$N31+IF($A32=Assumptions!$B$19,Assumptions!$B$18,0)+IF($A32=Assumptions!$B$23,Assumptions!$B$22,0))&gt;=Assumptions!$B$4*Assumptions!$B$15,INT((Cash_Flow!$N31+IF($A32=Assumptions!$B$19,Assumptions!$B$18,0)+IF($A32=Assumptions!$B$23,Assumptions!$B$22,0))/Assumptions!$B$4),0)</f>
        <v/>
      </c>
      <c r="E32" s="8">
        <f>IF($A32&gt;Assumptions!$B$7,INDEX($D$3:$D$62,MATCH($A32-Assumptions!$B$7,$A$3:$A$62,0)),0)</f>
        <v/>
      </c>
      <c r="F32" s="8">
        <f>$F31+$D32-$E32</f>
        <v/>
      </c>
      <c r="G32" s="8">
        <f>$G31+$E32-$J32</f>
        <v/>
      </c>
      <c r="H32" s="8">
        <f>$G32+$F32</f>
        <v/>
      </c>
      <c r="I32" s="8">
        <f>$I31+$E32</f>
        <v/>
      </c>
      <c r="J32" s="8">
        <f>_xlfn.LET(
    _xlpm.PrevMonth,$A31,
    _xlpm.PrevCars,$G31,
    _xlpm.PrevGrossProfit,Income_Statement!$J31,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2" s="8">
        <f>$J32+$K31</f>
        <v/>
      </c>
    </row>
    <row r="33">
      <c r="A33" s="9">
        <f>$A32+1</f>
        <v/>
      </c>
      <c r="B33" s="8">
        <f>INT(($A33-1)/12)+1</f>
        <v/>
      </c>
      <c r="C33" s="8">
        <f>MOD($A33-1,12)+1</f>
        <v/>
      </c>
      <c r="D33" s="8">
        <f>IF((Cash_Flow!$N32+IF($A33=Assumptions!$B$19,Assumptions!$B$18,0)+IF($A33=Assumptions!$B$23,Assumptions!$B$22,0))&gt;=Assumptions!$B$4*Assumptions!$B$15,INT((Cash_Flow!$N32+IF($A33=Assumptions!$B$19,Assumptions!$B$18,0)+IF($A33=Assumptions!$B$23,Assumptions!$B$22,0))/Assumptions!$B$4),0)</f>
        <v/>
      </c>
      <c r="E33" s="8">
        <f>IF($A33&gt;Assumptions!$B$7,INDEX($D$3:$D$62,MATCH($A33-Assumptions!$B$7,$A$3:$A$62,0)),0)</f>
        <v/>
      </c>
      <c r="F33" s="8">
        <f>$F32+$D33-$E33</f>
        <v/>
      </c>
      <c r="G33" s="8">
        <f>$G32+$E33-$J33</f>
        <v/>
      </c>
      <c r="H33" s="8">
        <f>$G33+$F33</f>
        <v/>
      </c>
      <c r="I33" s="8">
        <f>$I32+$E33</f>
        <v/>
      </c>
      <c r="J33" s="8">
        <f>_xlfn.LET(
    _xlpm.PrevMonth,$A32,
    _xlpm.PrevCars,$G32,
    _xlpm.PrevGrossProfit,Income_Statement!$J32,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3" s="8">
        <f>$J33+$K32</f>
        <v/>
      </c>
    </row>
    <row r="34">
      <c r="A34" s="9">
        <f>$A33+1</f>
        <v/>
      </c>
      <c r="B34" s="8">
        <f>INT(($A34-1)/12)+1</f>
        <v/>
      </c>
      <c r="C34" s="8">
        <f>MOD($A34-1,12)+1</f>
        <v/>
      </c>
      <c r="D34" s="8">
        <f>IF((Cash_Flow!$N33+IF($A34=Assumptions!$B$19,Assumptions!$B$18,0)+IF($A34=Assumptions!$B$23,Assumptions!$B$22,0))&gt;=Assumptions!$B$4*Assumptions!$B$15,INT((Cash_Flow!$N33+IF($A34=Assumptions!$B$19,Assumptions!$B$18,0)+IF($A34=Assumptions!$B$23,Assumptions!$B$22,0))/Assumptions!$B$4),0)</f>
        <v/>
      </c>
      <c r="E34" s="8">
        <f>IF($A34&gt;Assumptions!$B$7,INDEX($D$3:$D$62,MATCH($A34-Assumptions!$B$7,$A$3:$A$62,0)),0)</f>
        <v/>
      </c>
      <c r="F34" s="8">
        <f>$F33+$D34-$E34</f>
        <v/>
      </c>
      <c r="G34" s="8">
        <f>$G33+$E34-$J34</f>
        <v/>
      </c>
      <c r="H34" s="8">
        <f>$G34+$F34</f>
        <v/>
      </c>
      <c r="I34" s="8">
        <f>$I33+$E34</f>
        <v/>
      </c>
      <c r="J34" s="8">
        <f>_xlfn.LET(
    _xlpm.PrevMonth,$A33,
    _xlpm.PrevCars,$G33,
    _xlpm.PrevGrossProfit,Income_Statement!$J33,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4" s="8">
        <f>$J34+$K33</f>
        <v/>
      </c>
    </row>
    <row r="35">
      <c r="A35" s="9">
        <f>$A34+1</f>
        <v/>
      </c>
      <c r="B35" s="8">
        <f>INT(($A35-1)/12)+1</f>
        <v/>
      </c>
      <c r="C35" s="8">
        <f>MOD($A35-1,12)+1</f>
        <v/>
      </c>
      <c r="D35" s="8">
        <f>IF((Cash_Flow!$N34+IF($A35=Assumptions!$B$19,Assumptions!$B$18,0)+IF($A35=Assumptions!$B$23,Assumptions!$B$22,0))&gt;=Assumptions!$B$4*Assumptions!$B$15,INT((Cash_Flow!$N34+IF($A35=Assumptions!$B$19,Assumptions!$B$18,0)+IF($A35=Assumptions!$B$23,Assumptions!$B$22,0))/Assumptions!$B$4),0)</f>
        <v/>
      </c>
      <c r="E35" s="8">
        <f>IF($A35&gt;Assumptions!$B$7,INDEX($D$3:$D$62,MATCH($A35-Assumptions!$B$7,$A$3:$A$62,0)),0)</f>
        <v/>
      </c>
      <c r="F35" s="8">
        <f>$F34+$D35-$E35</f>
        <v/>
      </c>
      <c r="G35" s="8">
        <f>$G34+$E35-$J35</f>
        <v/>
      </c>
      <c r="H35" s="8">
        <f>$G35+$F35</f>
        <v/>
      </c>
      <c r="I35" s="8">
        <f>$I34+$E35</f>
        <v/>
      </c>
      <c r="J35" s="8">
        <f>_xlfn.LET(
    _xlpm.PrevMonth,$A34,
    _xlpm.PrevCars,$G34,
    _xlpm.PrevGrossProfit,Income_Statement!$J34,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5" s="8">
        <f>$J35+$K34</f>
        <v/>
      </c>
    </row>
    <row r="36">
      <c r="A36" s="9">
        <f>$A35+1</f>
        <v/>
      </c>
      <c r="B36" s="8">
        <f>INT(($A36-1)/12)+1</f>
        <v/>
      </c>
      <c r="C36" s="8">
        <f>MOD($A36-1,12)+1</f>
        <v/>
      </c>
      <c r="D36" s="8">
        <f>IF((Cash_Flow!$N35+IF($A36=Assumptions!$B$19,Assumptions!$B$18,0)+IF($A36=Assumptions!$B$23,Assumptions!$B$22,0))&gt;=Assumptions!$B$4*Assumptions!$B$15,INT((Cash_Flow!$N35+IF($A36=Assumptions!$B$19,Assumptions!$B$18,0)+IF($A36=Assumptions!$B$23,Assumptions!$B$22,0))/Assumptions!$B$4),0)</f>
        <v/>
      </c>
      <c r="E36" s="8">
        <f>IF($A36&gt;Assumptions!$B$7,INDEX($D$3:$D$62,MATCH($A36-Assumptions!$B$7,$A$3:$A$62,0)),0)</f>
        <v/>
      </c>
      <c r="F36" s="8">
        <f>$F35+$D36-$E36</f>
        <v/>
      </c>
      <c r="G36" s="8">
        <f>$G35+$E36-$J36</f>
        <v/>
      </c>
      <c r="H36" s="8">
        <f>$G36+$F36</f>
        <v/>
      </c>
      <c r="I36" s="8">
        <f>$I35+$E36</f>
        <v/>
      </c>
      <c r="J36" s="8">
        <f>_xlfn.LET(
    _xlpm.PrevMonth,$A35,
    _xlpm.PrevCars,$G35,
    _xlpm.PrevGrossProfit,Income_Statement!$J35,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6" s="8">
        <f>$J36+$K35</f>
        <v/>
      </c>
    </row>
    <row r="37">
      <c r="A37" s="9">
        <f>$A36+1</f>
        <v/>
      </c>
      <c r="B37" s="8">
        <f>INT(($A37-1)/12)+1</f>
        <v/>
      </c>
      <c r="C37" s="8">
        <f>MOD($A37-1,12)+1</f>
        <v/>
      </c>
      <c r="D37" s="8">
        <f>IF((Cash_Flow!$N36+IF($A37=Assumptions!$B$19,Assumptions!$B$18,0)+IF($A37=Assumptions!$B$23,Assumptions!$B$22,0))&gt;=Assumptions!$B$4*Assumptions!$B$15,INT((Cash_Flow!$N36+IF($A37=Assumptions!$B$19,Assumptions!$B$18,0)+IF($A37=Assumptions!$B$23,Assumptions!$B$22,0))/Assumptions!$B$4),0)</f>
        <v/>
      </c>
      <c r="E37" s="8">
        <f>IF($A37&gt;Assumptions!$B$7,INDEX($D$3:$D$62,MATCH($A37-Assumptions!$B$7,$A$3:$A$62,0)),0)</f>
        <v/>
      </c>
      <c r="F37" s="8">
        <f>$F36+$D37-$E37</f>
        <v/>
      </c>
      <c r="G37" s="8">
        <f>$G36+$E37-$J37</f>
        <v/>
      </c>
      <c r="H37" s="8">
        <f>$G37+$F37</f>
        <v/>
      </c>
      <c r="I37" s="8">
        <f>$I36+$E37</f>
        <v/>
      </c>
      <c r="J37" s="8">
        <f>_xlfn.LET(
    _xlpm.PrevMonth,$A36,
    _xlpm.PrevCars,$G36,
    _xlpm.PrevGrossProfit,Income_Statement!$J36,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7" s="8">
        <f>$J37+$K36</f>
        <v/>
      </c>
    </row>
    <row r="38">
      <c r="A38" s="9">
        <f>$A37+1</f>
        <v/>
      </c>
      <c r="B38" s="8">
        <f>INT(($A38-1)/12)+1</f>
        <v/>
      </c>
      <c r="C38" s="8">
        <f>MOD($A38-1,12)+1</f>
        <v/>
      </c>
      <c r="D38" s="8">
        <f>IF((Cash_Flow!$N37+IF($A38=Assumptions!$B$19,Assumptions!$B$18,0)+IF($A38=Assumptions!$B$23,Assumptions!$B$22,0))&gt;=Assumptions!$B$4*Assumptions!$B$15,INT((Cash_Flow!$N37+IF($A38=Assumptions!$B$19,Assumptions!$B$18,0)+IF($A38=Assumptions!$B$23,Assumptions!$B$22,0))/Assumptions!$B$4),0)</f>
        <v/>
      </c>
      <c r="E38" s="8">
        <f>IF($A38&gt;Assumptions!$B$7,INDEX($D$3:$D$62,MATCH($A38-Assumptions!$B$7,$A$3:$A$62,0)),0)</f>
        <v/>
      </c>
      <c r="F38" s="8">
        <f>$F37+$D38-$E38</f>
        <v/>
      </c>
      <c r="G38" s="8">
        <f>$G37+$E38-$J38</f>
        <v/>
      </c>
      <c r="H38" s="8">
        <f>$G38+$F38</f>
        <v/>
      </c>
      <c r="I38" s="8">
        <f>$I37+$E38</f>
        <v/>
      </c>
      <c r="J38" s="8">
        <f>_xlfn.LET(
    _xlpm.PrevMonth,$A37,
    _xlpm.PrevCars,$G37,
    _xlpm.PrevGrossProfit,Income_Statement!$J37,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8" s="8">
        <f>$J38+$K37</f>
        <v/>
      </c>
    </row>
    <row r="39">
      <c r="A39" s="9">
        <f>$A38+1</f>
        <v/>
      </c>
      <c r="B39" s="8">
        <f>INT(($A39-1)/12)+1</f>
        <v/>
      </c>
      <c r="C39" s="8">
        <f>MOD($A39-1,12)+1</f>
        <v/>
      </c>
      <c r="D39" s="8">
        <f>IF((Cash_Flow!$N38+IF($A39=Assumptions!$B$19,Assumptions!$B$18,0)+IF($A39=Assumptions!$B$23,Assumptions!$B$22,0))&gt;=Assumptions!$B$4*Assumptions!$B$15,INT((Cash_Flow!$N38+IF($A39=Assumptions!$B$19,Assumptions!$B$18,0)+IF($A39=Assumptions!$B$23,Assumptions!$B$22,0))/Assumptions!$B$4),0)</f>
        <v/>
      </c>
      <c r="E39" s="8">
        <f>IF($A39&gt;Assumptions!$B$7,INDEX($D$3:$D$62,MATCH($A39-Assumptions!$B$7,$A$3:$A$62,0)),0)</f>
        <v/>
      </c>
      <c r="F39" s="8">
        <f>$F38+$D39-$E39</f>
        <v/>
      </c>
      <c r="G39" s="8">
        <f>$G38+$E39-$J39</f>
        <v/>
      </c>
      <c r="H39" s="8">
        <f>$G39+$F39</f>
        <v/>
      </c>
      <c r="I39" s="8">
        <f>$I38+$E39</f>
        <v/>
      </c>
      <c r="J39" s="8">
        <f>_xlfn.LET(
    _xlpm.PrevMonth,$A38,
    _xlpm.PrevCars,$G38,
    _xlpm.PrevGrossProfit,Income_Statement!$J38,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9" s="8">
        <f>$J39+$K38</f>
        <v/>
      </c>
    </row>
    <row r="40">
      <c r="A40" s="9">
        <f>$A39+1</f>
        <v/>
      </c>
      <c r="B40" s="8">
        <f>INT(($A40-1)/12)+1</f>
        <v/>
      </c>
      <c r="C40" s="8">
        <f>MOD($A40-1,12)+1</f>
        <v/>
      </c>
      <c r="D40" s="8">
        <f>IF((Cash_Flow!$N39+IF($A40=Assumptions!$B$19,Assumptions!$B$18,0)+IF($A40=Assumptions!$B$23,Assumptions!$B$22,0))&gt;=Assumptions!$B$4*Assumptions!$B$15,INT((Cash_Flow!$N39+IF($A40=Assumptions!$B$19,Assumptions!$B$18,0)+IF($A40=Assumptions!$B$23,Assumptions!$B$22,0))/Assumptions!$B$4),0)</f>
        <v/>
      </c>
      <c r="E40" s="8">
        <f>IF($A40&gt;Assumptions!$B$7,INDEX($D$3:$D$62,MATCH($A40-Assumptions!$B$7,$A$3:$A$62,0)),0)</f>
        <v/>
      </c>
      <c r="F40" s="8">
        <f>$F39+$D40-$E40</f>
        <v/>
      </c>
      <c r="G40" s="8">
        <f>$G39+$E40-$J40</f>
        <v/>
      </c>
      <c r="H40" s="8">
        <f>$G40+$F40</f>
        <v/>
      </c>
      <c r="I40" s="8">
        <f>$I39+$E40</f>
        <v/>
      </c>
      <c r="J40" s="8">
        <f>_xlfn.LET(
    _xlpm.PrevMonth,$A39,
    _xlpm.PrevCars,$G39,
    _xlpm.PrevGrossProfit,Income_Statement!$J39,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0" s="8">
        <f>$J40+$K39</f>
        <v/>
      </c>
    </row>
    <row r="41">
      <c r="A41" s="9">
        <f>$A40+1</f>
        <v/>
      </c>
      <c r="B41" s="8">
        <f>INT(($A41-1)/12)+1</f>
        <v/>
      </c>
      <c r="C41" s="8">
        <f>MOD($A41-1,12)+1</f>
        <v/>
      </c>
      <c r="D41" s="8">
        <f>IF((Cash_Flow!$N40+IF($A41=Assumptions!$B$19,Assumptions!$B$18,0)+IF($A41=Assumptions!$B$23,Assumptions!$B$22,0))&gt;=Assumptions!$B$4*Assumptions!$B$15,INT((Cash_Flow!$N40+IF($A41=Assumptions!$B$19,Assumptions!$B$18,0)+IF($A41=Assumptions!$B$23,Assumptions!$B$22,0))/Assumptions!$B$4),0)</f>
        <v/>
      </c>
      <c r="E41" s="8">
        <f>IF($A41&gt;Assumptions!$B$7,INDEX($D$3:$D$62,MATCH($A41-Assumptions!$B$7,$A$3:$A$62,0)),0)</f>
        <v/>
      </c>
      <c r="F41" s="8">
        <f>$F40+$D41-$E41</f>
        <v/>
      </c>
      <c r="G41" s="8">
        <f>$G40+$E41-$J41</f>
        <v/>
      </c>
      <c r="H41" s="8">
        <f>$G41+$F41</f>
        <v/>
      </c>
      <c r="I41" s="8">
        <f>$I40+$E41</f>
        <v/>
      </c>
      <c r="J41" s="8">
        <f>_xlfn.LET(
    _xlpm.PrevMonth,$A40,
    _xlpm.PrevCars,$G40,
    _xlpm.PrevGrossProfit,Income_Statement!$J40,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1" s="8">
        <f>$J41+$K40</f>
        <v/>
      </c>
    </row>
    <row r="42">
      <c r="A42" s="9">
        <f>$A41+1</f>
        <v/>
      </c>
      <c r="B42" s="8">
        <f>INT(($A42-1)/12)+1</f>
        <v/>
      </c>
      <c r="C42" s="8">
        <f>MOD($A42-1,12)+1</f>
        <v/>
      </c>
      <c r="D42" s="8">
        <f>IF((Cash_Flow!$N41+IF($A42=Assumptions!$B$19,Assumptions!$B$18,0)+IF($A42=Assumptions!$B$23,Assumptions!$B$22,0))&gt;=Assumptions!$B$4*Assumptions!$B$15,INT((Cash_Flow!$N41+IF($A42=Assumptions!$B$19,Assumptions!$B$18,0)+IF($A42=Assumptions!$B$23,Assumptions!$B$22,0))/Assumptions!$B$4),0)</f>
        <v/>
      </c>
      <c r="E42" s="8">
        <f>IF($A42&gt;Assumptions!$B$7,INDEX($D$3:$D$62,MATCH($A42-Assumptions!$B$7,$A$3:$A$62,0)),0)</f>
        <v/>
      </c>
      <c r="F42" s="8">
        <f>$F41+$D42-$E42</f>
        <v/>
      </c>
      <c r="G42" s="8">
        <f>$G41+$E42-$J42</f>
        <v/>
      </c>
      <c r="H42" s="8">
        <f>$G42+$F42</f>
        <v/>
      </c>
      <c r="I42" s="8">
        <f>$I41+$E42</f>
        <v/>
      </c>
      <c r="J42" s="8">
        <f>_xlfn.LET(
    _xlpm.PrevMonth,$A41,
    _xlpm.PrevCars,$G41,
    _xlpm.PrevGrossProfit,Income_Statement!$J41,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2" s="8">
        <f>$J42+$K41</f>
        <v/>
      </c>
    </row>
    <row r="43">
      <c r="A43" s="9">
        <f>$A42+1</f>
        <v/>
      </c>
      <c r="B43" s="8">
        <f>INT(($A43-1)/12)+1</f>
        <v/>
      </c>
      <c r="C43" s="8">
        <f>MOD($A43-1,12)+1</f>
        <v/>
      </c>
      <c r="D43" s="8">
        <f>IF((Cash_Flow!$N42+IF($A43=Assumptions!$B$19,Assumptions!$B$18,0)+IF($A43=Assumptions!$B$23,Assumptions!$B$22,0))&gt;=Assumptions!$B$4*Assumptions!$B$15,INT((Cash_Flow!$N42+IF($A43=Assumptions!$B$19,Assumptions!$B$18,0)+IF($A43=Assumptions!$B$23,Assumptions!$B$22,0))/Assumptions!$B$4),0)</f>
        <v/>
      </c>
      <c r="E43" s="8">
        <f>IF($A43&gt;Assumptions!$B$7,INDEX($D$3:$D$62,MATCH($A43-Assumptions!$B$7,$A$3:$A$62,0)),0)</f>
        <v/>
      </c>
      <c r="F43" s="8">
        <f>$F42+$D43-$E43</f>
        <v/>
      </c>
      <c r="G43" s="8">
        <f>$G42+$E43-$J43</f>
        <v/>
      </c>
      <c r="H43" s="8">
        <f>$G43+$F43</f>
        <v/>
      </c>
      <c r="I43" s="8">
        <f>$I42+$E43</f>
        <v/>
      </c>
      <c r="J43" s="8">
        <f>_xlfn.LET(
    _xlpm.PrevMonth,$A42,
    _xlpm.PrevCars,$G42,
    _xlpm.PrevGrossProfit,Income_Statement!$J42,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3" s="8">
        <f>$J43+$K42</f>
        <v/>
      </c>
    </row>
    <row r="44">
      <c r="A44" s="9">
        <f>$A43+1</f>
        <v/>
      </c>
      <c r="B44" s="8">
        <f>INT(($A44-1)/12)+1</f>
        <v/>
      </c>
      <c r="C44" s="8">
        <f>MOD($A44-1,12)+1</f>
        <v/>
      </c>
      <c r="D44" s="8">
        <f>IF((Cash_Flow!$N43+IF($A44=Assumptions!$B$19,Assumptions!$B$18,0)+IF($A44=Assumptions!$B$23,Assumptions!$B$22,0))&gt;=Assumptions!$B$4*Assumptions!$B$15,INT((Cash_Flow!$N43+IF($A44=Assumptions!$B$19,Assumptions!$B$18,0)+IF($A44=Assumptions!$B$23,Assumptions!$B$22,0))/Assumptions!$B$4),0)</f>
        <v/>
      </c>
      <c r="E44" s="8">
        <f>IF($A44&gt;Assumptions!$B$7,INDEX($D$3:$D$62,MATCH($A44-Assumptions!$B$7,$A$3:$A$62,0)),0)</f>
        <v/>
      </c>
      <c r="F44" s="8">
        <f>$F43+$D44-$E44</f>
        <v/>
      </c>
      <c r="G44" s="8">
        <f>$G43+$E44-$J44</f>
        <v/>
      </c>
      <c r="H44" s="8">
        <f>$G44+$F44</f>
        <v/>
      </c>
      <c r="I44" s="8">
        <f>$I43+$E44</f>
        <v/>
      </c>
      <c r="J44" s="8">
        <f>_xlfn.LET(
    _xlpm.PrevMonth,$A43,
    _xlpm.PrevCars,$G43,
    _xlpm.PrevGrossProfit,Income_Statement!$J43,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4" s="8">
        <f>$J44+$K43</f>
        <v/>
      </c>
    </row>
    <row r="45">
      <c r="A45" s="9">
        <f>$A44+1</f>
        <v/>
      </c>
      <c r="B45" s="8">
        <f>INT(($A45-1)/12)+1</f>
        <v/>
      </c>
      <c r="C45" s="8">
        <f>MOD($A45-1,12)+1</f>
        <v/>
      </c>
      <c r="D45" s="8">
        <f>IF((Cash_Flow!$N44+IF($A45=Assumptions!$B$19,Assumptions!$B$18,0)+IF($A45=Assumptions!$B$23,Assumptions!$B$22,0))&gt;=Assumptions!$B$4*Assumptions!$B$15,INT((Cash_Flow!$N44+IF($A45=Assumptions!$B$19,Assumptions!$B$18,0)+IF($A45=Assumptions!$B$23,Assumptions!$B$22,0))/Assumptions!$B$4),0)</f>
        <v/>
      </c>
      <c r="E45" s="8">
        <f>IF($A45&gt;Assumptions!$B$7,INDEX($D$3:$D$62,MATCH($A45-Assumptions!$B$7,$A$3:$A$62,0)),0)</f>
        <v/>
      </c>
      <c r="F45" s="8">
        <f>$F44+$D45-$E45</f>
        <v/>
      </c>
      <c r="G45" s="8">
        <f>$G44+$E45-$J45</f>
        <v/>
      </c>
      <c r="H45" s="8">
        <f>$G45+$F45</f>
        <v/>
      </c>
      <c r="I45" s="8">
        <f>$I44+$E45</f>
        <v/>
      </c>
      <c r="J45" s="8">
        <f>_xlfn.LET(
    _xlpm.PrevMonth,$A44,
    _xlpm.PrevCars,$G44,
    _xlpm.PrevGrossProfit,Income_Statement!$J44,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5" s="8">
        <f>$J45+$K44</f>
        <v/>
      </c>
    </row>
    <row r="46">
      <c r="A46" s="9">
        <f>$A45+1</f>
        <v/>
      </c>
      <c r="B46" s="8">
        <f>INT(($A46-1)/12)+1</f>
        <v/>
      </c>
      <c r="C46" s="8">
        <f>MOD($A46-1,12)+1</f>
        <v/>
      </c>
      <c r="D46" s="8">
        <f>IF((Cash_Flow!$N45+IF($A46=Assumptions!$B$19,Assumptions!$B$18,0)+IF($A46=Assumptions!$B$23,Assumptions!$B$22,0))&gt;=Assumptions!$B$4*Assumptions!$B$15,INT((Cash_Flow!$N45+IF($A46=Assumptions!$B$19,Assumptions!$B$18,0)+IF($A46=Assumptions!$B$23,Assumptions!$B$22,0))/Assumptions!$B$4),0)</f>
        <v/>
      </c>
      <c r="E46" s="8">
        <f>IF($A46&gt;Assumptions!$B$7,INDEX($D$3:$D$62,MATCH($A46-Assumptions!$B$7,$A$3:$A$62,0)),0)</f>
        <v/>
      </c>
      <c r="F46" s="8">
        <f>$F45+$D46-$E46</f>
        <v/>
      </c>
      <c r="G46" s="8">
        <f>$G45+$E46-$J46</f>
        <v/>
      </c>
      <c r="H46" s="8">
        <f>$G46+$F46</f>
        <v/>
      </c>
      <c r="I46" s="8">
        <f>$I45+$E46</f>
        <v/>
      </c>
      <c r="J46" s="8">
        <f>_xlfn.LET(
    _xlpm.PrevMonth,$A45,
    _xlpm.PrevCars,$G45,
    _xlpm.PrevGrossProfit,Income_Statement!$J45,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6" s="8">
        <f>$J46+$K45</f>
        <v/>
      </c>
    </row>
    <row r="47">
      <c r="A47" s="9">
        <f>$A46+1</f>
        <v/>
      </c>
      <c r="B47" s="8">
        <f>INT(($A47-1)/12)+1</f>
        <v/>
      </c>
      <c r="C47" s="8">
        <f>MOD($A47-1,12)+1</f>
        <v/>
      </c>
      <c r="D47" s="8">
        <f>IF((Cash_Flow!$N46+IF($A47=Assumptions!$B$19,Assumptions!$B$18,0)+IF($A47=Assumptions!$B$23,Assumptions!$B$22,0))&gt;=Assumptions!$B$4*Assumptions!$B$15,INT((Cash_Flow!$N46+IF($A47=Assumptions!$B$19,Assumptions!$B$18,0)+IF($A47=Assumptions!$B$23,Assumptions!$B$22,0))/Assumptions!$B$4),0)</f>
        <v/>
      </c>
      <c r="E47" s="8">
        <f>IF($A47&gt;Assumptions!$B$7,INDEX($D$3:$D$62,MATCH($A47-Assumptions!$B$7,$A$3:$A$62,0)),0)</f>
        <v/>
      </c>
      <c r="F47" s="8">
        <f>$F46+$D47-$E47</f>
        <v/>
      </c>
      <c r="G47" s="8">
        <f>$G46+$E47-$J47</f>
        <v/>
      </c>
      <c r="H47" s="8">
        <f>$G47+$F47</f>
        <v/>
      </c>
      <c r="I47" s="8">
        <f>$I46+$E47</f>
        <v/>
      </c>
      <c r="J47" s="8">
        <f>_xlfn.LET(
    _xlpm.PrevMonth,$A46,
    _xlpm.PrevCars,$G46,
    _xlpm.PrevGrossProfit,Income_Statement!$J46,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7" s="8">
        <f>$J47+$K46</f>
        <v/>
      </c>
    </row>
    <row r="48">
      <c r="A48" s="9">
        <f>$A47+1</f>
        <v/>
      </c>
      <c r="B48" s="8">
        <f>INT(($A48-1)/12)+1</f>
        <v/>
      </c>
      <c r="C48" s="8">
        <f>MOD($A48-1,12)+1</f>
        <v/>
      </c>
      <c r="D48" s="8">
        <f>IF((Cash_Flow!$N47+IF($A48=Assumptions!$B$19,Assumptions!$B$18,0)+IF($A48=Assumptions!$B$23,Assumptions!$B$22,0))&gt;=Assumptions!$B$4*Assumptions!$B$15,INT((Cash_Flow!$N47+IF($A48=Assumptions!$B$19,Assumptions!$B$18,0)+IF($A48=Assumptions!$B$23,Assumptions!$B$22,0))/Assumptions!$B$4),0)</f>
        <v/>
      </c>
      <c r="E48" s="8">
        <f>IF($A48&gt;Assumptions!$B$7,INDEX($D$3:$D$62,MATCH($A48-Assumptions!$B$7,$A$3:$A$62,0)),0)</f>
        <v/>
      </c>
      <c r="F48" s="8">
        <f>$F47+$D48-$E48</f>
        <v/>
      </c>
      <c r="G48" s="8">
        <f>$G47+$E48-$J48</f>
        <v/>
      </c>
      <c r="H48" s="8">
        <f>$G48+$F48</f>
        <v/>
      </c>
      <c r="I48" s="8">
        <f>$I47+$E48</f>
        <v/>
      </c>
      <c r="J48" s="8">
        <f>_xlfn.LET(
    _xlpm.PrevMonth,$A47,
    _xlpm.PrevCars,$G47,
    _xlpm.PrevGrossProfit,Income_Statement!$J47,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8" s="8">
        <f>$J48+$K47</f>
        <v/>
      </c>
    </row>
    <row r="49">
      <c r="A49" s="9">
        <f>$A48+1</f>
        <v/>
      </c>
      <c r="B49" s="8">
        <f>INT(($A49-1)/12)+1</f>
        <v/>
      </c>
      <c r="C49" s="8">
        <f>MOD($A49-1,12)+1</f>
        <v/>
      </c>
      <c r="D49" s="8">
        <f>IF((Cash_Flow!$N48+IF($A49=Assumptions!$B$19,Assumptions!$B$18,0)+IF($A49=Assumptions!$B$23,Assumptions!$B$22,0))&gt;=Assumptions!$B$4*Assumptions!$B$15,INT((Cash_Flow!$N48+IF($A49=Assumptions!$B$19,Assumptions!$B$18,0)+IF($A49=Assumptions!$B$23,Assumptions!$B$22,0))/Assumptions!$B$4),0)</f>
        <v/>
      </c>
      <c r="E49" s="8">
        <f>IF($A49&gt;Assumptions!$B$7,INDEX($D$3:$D$62,MATCH($A49-Assumptions!$B$7,$A$3:$A$62,0)),0)</f>
        <v/>
      </c>
      <c r="F49" s="8">
        <f>$F48+$D49-$E49</f>
        <v/>
      </c>
      <c r="G49" s="8">
        <f>$G48+$E49-$J49</f>
        <v/>
      </c>
      <c r="H49" s="8">
        <f>$G49+$F49</f>
        <v/>
      </c>
      <c r="I49" s="8">
        <f>$I48+$E49</f>
        <v/>
      </c>
      <c r="J49" s="8">
        <f>_xlfn.LET(
    _xlpm.PrevMonth,$A48,
    _xlpm.PrevCars,$G48,
    _xlpm.PrevGrossProfit,Income_Statement!$J48,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9" s="8">
        <f>$J49+$K48</f>
        <v/>
      </c>
    </row>
    <row r="50">
      <c r="A50" s="9">
        <f>$A49+1</f>
        <v/>
      </c>
      <c r="B50" s="8">
        <f>INT(($A50-1)/12)+1</f>
        <v/>
      </c>
      <c r="C50" s="8">
        <f>MOD($A50-1,12)+1</f>
        <v/>
      </c>
      <c r="D50" s="8">
        <f>IF((Cash_Flow!$N49+IF($A50=Assumptions!$B$19,Assumptions!$B$18,0)+IF($A50=Assumptions!$B$23,Assumptions!$B$22,0))&gt;=Assumptions!$B$4*Assumptions!$B$15,INT((Cash_Flow!$N49+IF($A50=Assumptions!$B$19,Assumptions!$B$18,0)+IF($A50=Assumptions!$B$23,Assumptions!$B$22,0))/Assumptions!$B$4),0)</f>
        <v/>
      </c>
      <c r="E50" s="8">
        <f>IF($A50&gt;Assumptions!$B$7,INDEX($D$3:$D$62,MATCH($A50-Assumptions!$B$7,$A$3:$A$62,0)),0)</f>
        <v/>
      </c>
      <c r="F50" s="8">
        <f>$F49+$D50-$E50</f>
        <v/>
      </c>
      <c r="G50" s="8">
        <f>$G49+$E50-$J50</f>
        <v/>
      </c>
      <c r="H50" s="8">
        <f>$G50+$F50</f>
        <v/>
      </c>
      <c r="I50" s="8">
        <f>$I49+$E50</f>
        <v/>
      </c>
      <c r="J50" s="8">
        <f>_xlfn.LET(
    _xlpm.PrevMonth,$A49,
    _xlpm.PrevCars,$G49,
    _xlpm.PrevGrossProfit,Income_Statement!$J49,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0" s="8">
        <f>$J50+$K49</f>
        <v/>
      </c>
    </row>
    <row r="51">
      <c r="A51" s="9">
        <f>$A50+1</f>
        <v/>
      </c>
      <c r="B51" s="8">
        <f>INT(($A51-1)/12)+1</f>
        <v/>
      </c>
      <c r="C51" s="8">
        <f>MOD($A51-1,12)+1</f>
        <v/>
      </c>
      <c r="D51" s="8">
        <f>IF((Cash_Flow!$N50+IF($A51=Assumptions!$B$19,Assumptions!$B$18,0)+IF($A51=Assumptions!$B$23,Assumptions!$B$22,0))&gt;=Assumptions!$B$4*Assumptions!$B$15,INT((Cash_Flow!$N50+IF($A51=Assumptions!$B$19,Assumptions!$B$18,0)+IF($A51=Assumptions!$B$23,Assumptions!$B$22,0))/Assumptions!$B$4),0)</f>
        <v/>
      </c>
      <c r="E51" s="8">
        <f>IF($A51&gt;Assumptions!$B$7,INDEX($D$3:$D$62,MATCH($A51-Assumptions!$B$7,$A$3:$A$62,0)),0)</f>
        <v/>
      </c>
      <c r="F51" s="8">
        <f>$F50+$D51-$E51</f>
        <v/>
      </c>
      <c r="G51" s="8">
        <f>$G50+$E51-$J51</f>
        <v/>
      </c>
      <c r="H51" s="8">
        <f>$G51+$F51</f>
        <v/>
      </c>
      <c r="I51" s="8">
        <f>$I50+$E51</f>
        <v/>
      </c>
      <c r="J51" s="8">
        <f>_xlfn.LET(
    _xlpm.PrevMonth,$A50,
    _xlpm.PrevCars,$G50,
    _xlpm.PrevGrossProfit,Income_Statement!$J50,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1" s="8">
        <f>$J51+$K50</f>
        <v/>
      </c>
    </row>
    <row r="52">
      <c r="A52" s="9">
        <f>$A51+1</f>
        <v/>
      </c>
      <c r="B52" s="8">
        <f>INT(($A52-1)/12)+1</f>
        <v/>
      </c>
      <c r="C52" s="8">
        <f>MOD($A52-1,12)+1</f>
        <v/>
      </c>
      <c r="D52" s="8">
        <f>IF((Cash_Flow!$N51+IF($A52=Assumptions!$B$19,Assumptions!$B$18,0)+IF($A52=Assumptions!$B$23,Assumptions!$B$22,0))&gt;=Assumptions!$B$4*Assumptions!$B$15,INT((Cash_Flow!$N51+IF($A52=Assumptions!$B$19,Assumptions!$B$18,0)+IF($A52=Assumptions!$B$23,Assumptions!$B$22,0))/Assumptions!$B$4),0)</f>
        <v/>
      </c>
      <c r="E52" s="8">
        <f>IF($A52&gt;Assumptions!$B$7,INDEX($D$3:$D$62,MATCH($A52-Assumptions!$B$7,$A$3:$A$62,0)),0)</f>
        <v/>
      </c>
      <c r="F52" s="8">
        <f>$F51+$D52-$E52</f>
        <v/>
      </c>
      <c r="G52" s="8">
        <f>$G51+$E52-$J52</f>
        <v/>
      </c>
      <c r="H52" s="8">
        <f>$G52+$F52</f>
        <v/>
      </c>
      <c r="I52" s="8">
        <f>$I51+$E52</f>
        <v/>
      </c>
      <c r="J52" s="8">
        <f>_xlfn.LET(
    _xlpm.PrevMonth,$A51,
    _xlpm.PrevCars,$G51,
    _xlpm.PrevGrossProfit,Income_Statement!$J51,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2" s="8">
        <f>$J52+$K51</f>
        <v/>
      </c>
    </row>
    <row r="53">
      <c r="A53" s="9">
        <f>$A52+1</f>
        <v/>
      </c>
      <c r="B53" s="8">
        <f>INT(($A53-1)/12)+1</f>
        <v/>
      </c>
      <c r="C53" s="8">
        <f>MOD($A53-1,12)+1</f>
        <v/>
      </c>
      <c r="D53" s="8">
        <f>IF((Cash_Flow!$N52+IF($A53=Assumptions!$B$19,Assumptions!$B$18,0)+IF($A53=Assumptions!$B$23,Assumptions!$B$22,0))&gt;=Assumptions!$B$4*Assumptions!$B$15,INT((Cash_Flow!$N52+IF($A53=Assumptions!$B$19,Assumptions!$B$18,0)+IF($A53=Assumptions!$B$23,Assumptions!$B$22,0))/Assumptions!$B$4),0)</f>
        <v/>
      </c>
      <c r="E53" s="8">
        <f>IF($A53&gt;Assumptions!$B$7,INDEX($D$3:$D$62,MATCH($A53-Assumptions!$B$7,$A$3:$A$62,0)),0)</f>
        <v/>
      </c>
      <c r="F53" s="8">
        <f>$F52+$D53-$E53</f>
        <v/>
      </c>
      <c r="G53" s="8">
        <f>$G52+$E53-$J53</f>
        <v/>
      </c>
      <c r="H53" s="8">
        <f>$G53+$F53</f>
        <v/>
      </c>
      <c r="I53" s="8">
        <f>$I52+$E53</f>
        <v/>
      </c>
      <c r="J53" s="8">
        <f>_xlfn.LET(
    _xlpm.PrevMonth,$A52,
    _xlpm.PrevCars,$G52,
    _xlpm.PrevGrossProfit,Income_Statement!$J52,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3" s="8">
        <f>$J53+$K52</f>
        <v/>
      </c>
    </row>
    <row r="54">
      <c r="A54" s="9">
        <f>$A53+1</f>
        <v/>
      </c>
      <c r="B54" s="8">
        <f>INT(($A54-1)/12)+1</f>
        <v/>
      </c>
      <c r="C54" s="8">
        <f>MOD($A54-1,12)+1</f>
        <v/>
      </c>
      <c r="D54" s="8">
        <f>IF((Cash_Flow!$N53+IF($A54=Assumptions!$B$19,Assumptions!$B$18,0)+IF($A54=Assumptions!$B$23,Assumptions!$B$22,0))&gt;=Assumptions!$B$4*Assumptions!$B$15,INT((Cash_Flow!$N53+IF($A54=Assumptions!$B$19,Assumptions!$B$18,0)+IF($A54=Assumptions!$B$23,Assumptions!$B$22,0))/Assumptions!$B$4),0)</f>
        <v/>
      </c>
      <c r="E54" s="8">
        <f>IF($A54&gt;Assumptions!$B$7,INDEX($D$3:$D$62,MATCH($A54-Assumptions!$B$7,$A$3:$A$62,0)),0)</f>
        <v/>
      </c>
      <c r="F54" s="8">
        <f>$F53+$D54-$E54</f>
        <v/>
      </c>
      <c r="G54" s="8">
        <f>$G53+$E54-$J54</f>
        <v/>
      </c>
      <c r="H54" s="8">
        <f>$G54+$F54</f>
        <v/>
      </c>
      <c r="I54" s="8">
        <f>$I53+$E54</f>
        <v/>
      </c>
      <c r="J54" s="8">
        <f>_xlfn.LET(
    _xlpm.PrevMonth,$A53,
    _xlpm.PrevCars,$G53,
    _xlpm.PrevGrossProfit,Income_Statement!$J53,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4" s="8">
        <f>$J54+$K53</f>
        <v/>
      </c>
    </row>
    <row r="55">
      <c r="A55" s="9">
        <f>$A54+1</f>
        <v/>
      </c>
      <c r="B55" s="8">
        <f>INT(($A55-1)/12)+1</f>
        <v/>
      </c>
      <c r="C55" s="8">
        <f>MOD($A55-1,12)+1</f>
        <v/>
      </c>
      <c r="D55" s="8">
        <f>IF((Cash_Flow!$N54+IF($A55=Assumptions!$B$19,Assumptions!$B$18,0)+IF($A55=Assumptions!$B$23,Assumptions!$B$22,0))&gt;=Assumptions!$B$4*Assumptions!$B$15,INT((Cash_Flow!$N54+IF($A55=Assumptions!$B$19,Assumptions!$B$18,0)+IF($A55=Assumptions!$B$23,Assumptions!$B$22,0))/Assumptions!$B$4),0)</f>
        <v/>
      </c>
      <c r="E55" s="8">
        <f>IF($A55&gt;Assumptions!$B$7,INDEX($D$3:$D$62,MATCH($A55-Assumptions!$B$7,$A$3:$A$62,0)),0)</f>
        <v/>
      </c>
      <c r="F55" s="8">
        <f>$F54+$D55-$E55</f>
        <v/>
      </c>
      <c r="G55" s="8">
        <f>$G54+$E55-$J55</f>
        <v/>
      </c>
      <c r="H55" s="8">
        <f>$G55+$F55</f>
        <v/>
      </c>
      <c r="I55" s="8">
        <f>$I54+$E55</f>
        <v/>
      </c>
      <c r="J55" s="8">
        <f>_xlfn.LET(
    _xlpm.PrevMonth,$A54,
    _xlpm.PrevCars,$G54,
    _xlpm.PrevGrossProfit,Income_Statement!$J54,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5" s="8">
        <f>$J55+$K54</f>
        <v/>
      </c>
    </row>
    <row r="56">
      <c r="A56" s="9">
        <f>$A55+1</f>
        <v/>
      </c>
      <c r="B56" s="8">
        <f>INT(($A56-1)/12)+1</f>
        <v/>
      </c>
      <c r="C56" s="8">
        <f>MOD($A56-1,12)+1</f>
        <v/>
      </c>
      <c r="D56" s="8">
        <f>IF((Cash_Flow!$N55+IF($A56=Assumptions!$B$19,Assumptions!$B$18,0)+IF($A56=Assumptions!$B$23,Assumptions!$B$22,0))&gt;=Assumptions!$B$4*Assumptions!$B$15,INT((Cash_Flow!$N55+IF($A56=Assumptions!$B$19,Assumptions!$B$18,0)+IF($A56=Assumptions!$B$23,Assumptions!$B$22,0))/Assumptions!$B$4),0)</f>
        <v/>
      </c>
      <c r="E56" s="8">
        <f>IF($A56&gt;Assumptions!$B$7,INDEX($D$3:$D$62,MATCH($A56-Assumptions!$B$7,$A$3:$A$62,0)),0)</f>
        <v/>
      </c>
      <c r="F56" s="8">
        <f>$F55+$D56-$E56</f>
        <v/>
      </c>
      <c r="G56" s="8">
        <f>$G55+$E56-$J56</f>
        <v/>
      </c>
      <c r="H56" s="8">
        <f>$G56+$F56</f>
        <v/>
      </c>
      <c r="I56" s="8">
        <f>$I55+$E56</f>
        <v/>
      </c>
      <c r="J56" s="8">
        <f>_xlfn.LET(
    _xlpm.PrevMonth,$A55,
    _xlpm.PrevCars,$G55,
    _xlpm.PrevGrossProfit,Income_Statement!$J55,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6" s="8">
        <f>$J56+$K55</f>
        <v/>
      </c>
    </row>
    <row r="57">
      <c r="A57" s="9">
        <f>$A56+1</f>
        <v/>
      </c>
      <c r="B57" s="8">
        <f>INT(($A57-1)/12)+1</f>
        <v/>
      </c>
      <c r="C57" s="8">
        <f>MOD($A57-1,12)+1</f>
        <v/>
      </c>
      <c r="D57" s="8">
        <f>IF((Cash_Flow!$N56+IF($A57=Assumptions!$B$19,Assumptions!$B$18,0)+IF($A57=Assumptions!$B$23,Assumptions!$B$22,0))&gt;=Assumptions!$B$4*Assumptions!$B$15,INT((Cash_Flow!$N56+IF($A57=Assumptions!$B$19,Assumptions!$B$18,0)+IF($A57=Assumptions!$B$23,Assumptions!$B$22,0))/Assumptions!$B$4),0)</f>
        <v/>
      </c>
      <c r="E57" s="8">
        <f>IF($A57&gt;Assumptions!$B$7,INDEX($D$3:$D$62,MATCH($A57-Assumptions!$B$7,$A$3:$A$62,0)),0)</f>
        <v/>
      </c>
      <c r="F57" s="8">
        <f>$F56+$D57-$E57</f>
        <v/>
      </c>
      <c r="G57" s="8">
        <f>$G56+$E57-$J57</f>
        <v/>
      </c>
      <c r="H57" s="8">
        <f>$G57+$F57</f>
        <v/>
      </c>
      <c r="I57" s="8">
        <f>$I56+$E57</f>
        <v/>
      </c>
      <c r="J57" s="8">
        <f>_xlfn.LET(
    _xlpm.PrevMonth,$A56,
    _xlpm.PrevCars,$G56,
    _xlpm.PrevGrossProfit,Income_Statement!$J56,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7" s="8">
        <f>$J57+$K56</f>
        <v/>
      </c>
    </row>
    <row r="58">
      <c r="A58" s="9">
        <f>$A57+1</f>
        <v/>
      </c>
      <c r="B58" s="8">
        <f>INT(($A58-1)/12)+1</f>
        <v/>
      </c>
      <c r="C58" s="8">
        <f>MOD($A58-1,12)+1</f>
        <v/>
      </c>
      <c r="D58" s="8">
        <f>IF((Cash_Flow!$N57+IF($A58=Assumptions!$B$19,Assumptions!$B$18,0)+IF($A58=Assumptions!$B$23,Assumptions!$B$22,0))&gt;=Assumptions!$B$4*Assumptions!$B$15,INT((Cash_Flow!$N57+IF($A58=Assumptions!$B$19,Assumptions!$B$18,0)+IF($A58=Assumptions!$B$23,Assumptions!$B$22,0))/Assumptions!$B$4),0)</f>
        <v/>
      </c>
      <c r="E58" s="8">
        <f>IF($A58&gt;Assumptions!$B$7,INDEX($D$3:$D$62,MATCH($A58-Assumptions!$B$7,$A$3:$A$62,0)),0)</f>
        <v/>
      </c>
      <c r="F58" s="8">
        <f>$F57+$D58-$E58</f>
        <v/>
      </c>
      <c r="G58" s="8">
        <f>$G57+$E58-$J58</f>
        <v/>
      </c>
      <c r="H58" s="8">
        <f>$G58+$F58</f>
        <v/>
      </c>
      <c r="I58" s="8">
        <f>$I57+$E58</f>
        <v/>
      </c>
      <c r="J58" s="8">
        <f>_xlfn.LET(
    _xlpm.PrevMonth,$A57,
    _xlpm.PrevCars,$G57,
    _xlpm.PrevGrossProfit,Income_Statement!$J57,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8" s="8">
        <f>$J58+$K57</f>
        <v/>
      </c>
    </row>
    <row r="59">
      <c r="A59" s="9">
        <f>$A58+1</f>
        <v/>
      </c>
      <c r="B59" s="8">
        <f>INT(($A59-1)/12)+1</f>
        <v/>
      </c>
      <c r="C59" s="8">
        <f>MOD($A59-1,12)+1</f>
        <v/>
      </c>
      <c r="D59" s="8">
        <f>IF((Cash_Flow!$N58+IF($A59=Assumptions!$B$19,Assumptions!$B$18,0)+IF($A59=Assumptions!$B$23,Assumptions!$B$22,0))&gt;=Assumptions!$B$4*Assumptions!$B$15,INT((Cash_Flow!$N58+IF($A59=Assumptions!$B$19,Assumptions!$B$18,0)+IF($A59=Assumptions!$B$23,Assumptions!$B$22,0))/Assumptions!$B$4),0)</f>
        <v/>
      </c>
      <c r="E59" s="8">
        <f>IF($A59&gt;Assumptions!$B$7,INDEX($D$3:$D$62,MATCH($A59-Assumptions!$B$7,$A$3:$A$62,0)),0)</f>
        <v/>
      </c>
      <c r="F59" s="8">
        <f>$F58+$D59-$E59</f>
        <v/>
      </c>
      <c r="G59" s="8">
        <f>$G58+$E59-$J59</f>
        <v/>
      </c>
      <c r="H59" s="8">
        <f>$G59+$F59</f>
        <v/>
      </c>
      <c r="I59" s="8">
        <f>$I58+$E59</f>
        <v/>
      </c>
      <c r="J59" s="8">
        <f>_xlfn.LET(
    _xlpm.PrevMonth,$A58,
    _xlpm.PrevCars,$G58,
    _xlpm.PrevGrossProfit,Income_Statement!$J58,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9" s="8">
        <f>$J59+$K58</f>
        <v/>
      </c>
    </row>
    <row r="60">
      <c r="A60" s="9">
        <f>$A59+1</f>
        <v/>
      </c>
      <c r="B60" s="8">
        <f>INT(($A60-1)/12)+1</f>
        <v/>
      </c>
      <c r="C60" s="8">
        <f>MOD($A60-1,12)+1</f>
        <v/>
      </c>
      <c r="D60" s="8">
        <f>IF((Cash_Flow!$N59+IF($A60=Assumptions!$B$19,Assumptions!$B$18,0)+IF($A60=Assumptions!$B$23,Assumptions!$B$22,0))&gt;=Assumptions!$B$4*Assumptions!$B$15,INT((Cash_Flow!$N59+IF($A60=Assumptions!$B$19,Assumptions!$B$18,0)+IF($A60=Assumptions!$B$23,Assumptions!$B$22,0))/Assumptions!$B$4),0)</f>
        <v/>
      </c>
      <c r="E60" s="8">
        <f>IF($A60&gt;Assumptions!$B$7,INDEX($D$3:$D$62,MATCH($A60-Assumptions!$B$7,$A$3:$A$62,0)),0)</f>
        <v/>
      </c>
      <c r="F60" s="8">
        <f>$F59+$D60-$E60</f>
        <v/>
      </c>
      <c r="G60" s="8">
        <f>$G59+$E60-$J60</f>
        <v/>
      </c>
      <c r="H60" s="8">
        <f>$G60+$F60</f>
        <v/>
      </c>
      <c r="I60" s="8">
        <f>$I59+$E60</f>
        <v/>
      </c>
      <c r="J60" s="8">
        <f>_xlfn.LET(
    _xlpm.PrevMonth,$A59,
    _xlpm.PrevCars,$G59,
    _xlpm.PrevGrossProfit,Income_Statement!$J59,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60" s="8">
        <f>$J60+$K59</f>
        <v/>
      </c>
    </row>
    <row r="61">
      <c r="A61" s="9">
        <f>$A60+1</f>
        <v/>
      </c>
      <c r="B61" s="8">
        <f>INT(($A61-1)/12)+1</f>
        <v/>
      </c>
      <c r="C61" s="8">
        <f>MOD($A61-1,12)+1</f>
        <v/>
      </c>
      <c r="D61" s="8">
        <f>IF((Cash_Flow!$N60+IF($A61=Assumptions!$B$19,Assumptions!$B$18,0)+IF($A61=Assumptions!$B$23,Assumptions!$B$22,0))&gt;=Assumptions!$B$4*Assumptions!$B$15,INT((Cash_Flow!$N60+IF($A61=Assumptions!$B$19,Assumptions!$B$18,0)+IF($A61=Assumptions!$B$23,Assumptions!$B$22,0))/Assumptions!$B$4),0)</f>
        <v/>
      </c>
      <c r="E61" s="8">
        <f>IF($A61&gt;Assumptions!$B$7,INDEX($D$3:$D$62,MATCH($A61-Assumptions!$B$7,$A$3:$A$62,0)),0)</f>
        <v/>
      </c>
      <c r="F61" s="8">
        <f>$F60+$D61-$E61</f>
        <v/>
      </c>
      <c r="G61" s="8">
        <f>$G60+$E61-$J61</f>
        <v/>
      </c>
      <c r="H61" s="8">
        <f>$G61+$F61</f>
        <v/>
      </c>
      <c r="I61" s="8">
        <f>$I60+$E61</f>
        <v/>
      </c>
      <c r="J61" s="8">
        <f>_xlfn.LET(
    _xlpm.PrevMonth,$A60,
    _xlpm.PrevCars,$G60,
    _xlpm.PrevGrossProfit,Income_Statement!$J60,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61" s="8">
        <f>$J61+$K60</f>
        <v/>
      </c>
    </row>
    <row r="62">
      <c r="A62" s="9">
        <f>$A61+1</f>
        <v/>
      </c>
      <c r="B62" s="8">
        <f>INT(($A62-1)/12)+1</f>
        <v/>
      </c>
      <c r="C62" s="8">
        <f>MOD($A62-1,12)+1</f>
        <v/>
      </c>
      <c r="D62" s="8">
        <f>IF((Cash_Flow!$N61+IF($A62=Assumptions!$B$19,Assumptions!$B$18,0)+IF($A62=Assumptions!$B$23,Assumptions!$B$22,0))&gt;=Assumptions!$B$4*Assumptions!$B$15,INT((Cash_Flow!$N61+IF($A62=Assumptions!$B$19,Assumptions!$B$18,0)+IF($A62=Assumptions!$B$23,Assumptions!$B$22,0))/Assumptions!$B$4),0)</f>
        <v/>
      </c>
      <c r="E62" s="8">
        <f>IF($A62&gt;Assumptions!$B$7,INDEX($D$3:$D$62,MATCH($A62-Assumptions!$B$7,$A$3:$A$62,0)),0)</f>
        <v/>
      </c>
      <c r="F62" s="8">
        <f>$F61+$D62-$E62</f>
        <v/>
      </c>
      <c r="G62" s="8">
        <f>$G61+$E62-$J62</f>
        <v/>
      </c>
      <c r="H62" s="8">
        <f>$G62+$F62</f>
        <v/>
      </c>
      <c r="I62" s="8">
        <f>$I61+$E62</f>
        <v/>
      </c>
      <c r="J62" s="8">
        <f>_xlfn.LET(
    _xlpm.PrevMonth,$A61,
    _xlpm.PrevCars,$G61,
    _xlpm.PrevGrossProfit,Income_Statement!$J61,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62" s="8">
        <f>$J62+$K61</f>
        <v/>
      </c>
    </row>
  </sheetData>
  <mergeCells count="1">
    <mergeCell ref="A1:L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3"/>
  <sheetViews>
    <sheetView showGridLines="0" zoomScale="130" zoomScaleNormal="130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T9" sqref="T9"/>
    </sheetView>
  </sheetViews>
  <sheetFormatPr baseColWidth="8" defaultColWidth="8.7109375" defaultRowHeight="15" customHeight="1"/>
  <cols>
    <col width="10" customWidth="1" min="1" max="1"/>
    <col width="22" customWidth="1" min="2" max="16"/>
    <col width="14" customWidth="1" min="17" max="17"/>
    <col width="11.28515625" bestFit="1" customWidth="1" min="18" max="18"/>
    <col width="10.85546875" bestFit="1" customWidth="1" min="19" max="19"/>
  </cols>
  <sheetData>
    <row r="1" ht="17.25" customHeight="1">
      <c r="A1" s="20" t="inlineStr">
        <is>
          <t>Monthly Cash Flow</t>
        </is>
      </c>
    </row>
    <row r="2" ht="31.5" customHeight="1">
      <c r="A2" s="2" t="inlineStr">
        <is>
          <t>Month #</t>
        </is>
      </c>
      <c r="B2" s="2" t="inlineStr">
        <is>
          <t>Owner/Investor Injection</t>
        </is>
      </c>
      <c r="C2" s="2" t="inlineStr">
        <is>
          <t>Bank Loan Draw</t>
        </is>
      </c>
      <c r="D2" s="15" t="inlineStr">
        <is>
          <t>Total Cash In</t>
        </is>
      </c>
      <c r="E2" s="2" t="inlineStr">
        <is>
          <t>Operating Expenses (cash)</t>
        </is>
      </c>
      <c r="F2" s="2" t="inlineStr">
        <is>
          <t>Interest</t>
        </is>
      </c>
      <c r="G2" s="2" t="inlineStr">
        <is>
          <t>Loan Principal</t>
        </is>
      </c>
      <c r="H2" s="2" t="inlineStr">
        <is>
          <t>Income Tax Paid</t>
        </is>
      </c>
      <c r="I2" s="2" t="inlineStr">
        <is>
          <t>Investor Payout/Profit Distribution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Net Cash Flow</t>
        </is>
      </c>
      <c r="M2" s="2" t="inlineStr">
        <is>
          <t xml:space="preserve">Retained Profits Opening </t>
        </is>
      </c>
      <c r="N2" s="2" t="inlineStr">
        <is>
          <t xml:space="preserve">Retained Profits Closing </t>
        </is>
      </c>
      <c r="O2" s="2" t="inlineStr">
        <is>
          <t>Loan Opening</t>
        </is>
      </c>
      <c r="P2" s="2" t="inlineStr">
        <is>
          <t>Loan Closing</t>
        </is>
      </c>
    </row>
    <row r="3">
      <c r="A3" s="9" t="n">
        <v>1</v>
      </c>
      <c r="B3" s="10" t="n">
        <v>250000</v>
      </c>
      <c r="C3" s="10" t="n">
        <v>0</v>
      </c>
      <c r="D3" s="10" t="n">
        <v>370000</v>
      </c>
      <c r="E3" s="10" t="n">
        <v>82520</v>
      </c>
      <c r="F3" s="10" t="n">
        <v>0</v>
      </c>
      <c r="G3" s="10" t="n">
        <v>0</v>
      </c>
      <c r="H3" s="10" t="n">
        <v>11993.6</v>
      </c>
      <c r="I3" s="10" t="n">
        <v>0</v>
      </c>
      <c r="J3" s="10" t="n">
        <v>275486.4</v>
      </c>
      <c r="K3" s="10" t="n">
        <v>0</v>
      </c>
      <c r="L3" s="10" t="n">
        <v>275486.4</v>
      </c>
      <c r="M3" s="10" t="n">
        <v>0</v>
      </c>
      <c r="N3" s="10">
        <f>$M3+$L3</f>
        <v/>
      </c>
      <c r="O3" s="10" t="n">
        <v>0</v>
      </c>
      <c r="P3" s="10">
        <f>O3+C3-G3</f>
        <v/>
      </c>
      <c r="Q3" s="14" t="n"/>
      <c r="R3" s="14" t="n"/>
      <c r="S3" s="14" t="n"/>
    </row>
    <row r="4">
      <c r="A4" s="9" t="n">
        <v>2</v>
      </c>
      <c r="B4" s="10" t="n">
        <v>0</v>
      </c>
      <c r="C4" s="10" t="n">
        <v>0</v>
      </c>
      <c r="D4" s="10" t="n">
        <v>120000</v>
      </c>
      <c r="E4" s="10" t="n">
        <v>82520</v>
      </c>
      <c r="F4" s="10" t="n">
        <v>0</v>
      </c>
      <c r="G4" s="10" t="n">
        <v>0</v>
      </c>
      <c r="H4" s="10" t="n">
        <v>11993.6</v>
      </c>
      <c r="I4" s="10" t="n">
        <v>0</v>
      </c>
      <c r="J4" s="10" t="n">
        <v>25486.4</v>
      </c>
      <c r="K4" s="10" t="n">
        <v>0</v>
      </c>
      <c r="L4" s="10" t="n">
        <v>25486.4</v>
      </c>
      <c r="M4" s="10">
        <f>$N3</f>
        <v/>
      </c>
      <c r="N4" s="10">
        <f>$M4+$L4</f>
        <v/>
      </c>
      <c r="O4" s="10">
        <f>P3</f>
        <v/>
      </c>
      <c r="P4" s="10">
        <f>O4+C4-G4</f>
        <v/>
      </c>
      <c r="Q4" s="14" t="n"/>
      <c r="R4" s="14" t="n"/>
      <c r="S4" s="14" t="n"/>
    </row>
    <row r="5">
      <c r="A5" s="9" t="n">
        <v>3</v>
      </c>
      <c r="B5" s="10" t="n">
        <v>0</v>
      </c>
      <c r="C5" s="10" t="n">
        <v>0</v>
      </c>
      <c r="D5" s="10" t="n">
        <v>120000</v>
      </c>
      <c r="E5" s="10" t="n">
        <v>82520</v>
      </c>
      <c r="F5" s="10" t="n">
        <v>0</v>
      </c>
      <c r="G5" s="10" t="n">
        <v>0</v>
      </c>
      <c r="H5" s="10" t="n">
        <v>11993.6</v>
      </c>
      <c r="I5" s="10" t="n">
        <v>0</v>
      </c>
      <c r="J5" s="10" t="n">
        <v>25486.4</v>
      </c>
      <c r="K5" s="10" t="n">
        <v>0</v>
      </c>
      <c r="L5" s="10" t="n">
        <v>25486.4</v>
      </c>
      <c r="M5" s="10">
        <f>$N4</f>
        <v/>
      </c>
      <c r="N5" s="10">
        <f>$M5+$L5</f>
        <v/>
      </c>
      <c r="O5" s="10">
        <f>P4</f>
        <v/>
      </c>
      <c r="P5" s="10">
        <f>O5+C5-G5</f>
        <v/>
      </c>
      <c r="Q5" s="14" t="n"/>
      <c r="S5" s="14" t="n"/>
    </row>
    <row r="6">
      <c r="A6" s="9" t="n">
        <v>4</v>
      </c>
      <c r="B6" s="10" t="n">
        <v>0</v>
      </c>
      <c r="C6" s="10" t="n">
        <v>0</v>
      </c>
      <c r="D6" s="10" t="n">
        <v>120000</v>
      </c>
      <c r="E6" s="10" t="n">
        <v>82520</v>
      </c>
      <c r="F6" s="10" t="n">
        <v>0</v>
      </c>
      <c r="G6" s="10" t="n">
        <v>0</v>
      </c>
      <c r="H6" s="10" t="n">
        <v>11993.6</v>
      </c>
      <c r="I6" s="10" t="n">
        <v>0</v>
      </c>
      <c r="J6" s="10" t="n">
        <v>25486.4</v>
      </c>
      <c r="K6" s="10" t="n">
        <v>0</v>
      </c>
      <c r="L6" s="10" t="n">
        <v>25486.4</v>
      </c>
      <c r="M6" s="10">
        <f>$N5</f>
        <v/>
      </c>
      <c r="N6" s="10">
        <f>$M6+$L6</f>
        <v/>
      </c>
      <c r="O6" s="10">
        <f>P5</f>
        <v/>
      </c>
      <c r="P6" s="10">
        <f>O6+C6-G6</f>
        <v/>
      </c>
      <c r="Q6" s="14" t="n"/>
      <c r="S6" s="14" t="n"/>
    </row>
    <row r="7">
      <c r="A7" s="9" t="n">
        <v>5</v>
      </c>
      <c r="B7" s="10" t="n">
        <v>0</v>
      </c>
      <c r="C7" s="10" t="n">
        <v>250000</v>
      </c>
      <c r="D7" s="10" t="n">
        <v>370000</v>
      </c>
      <c r="E7" s="10" t="n">
        <v>82520</v>
      </c>
      <c r="F7" s="10" t="n">
        <v>2083.33</v>
      </c>
      <c r="G7" s="10" t="n">
        <v>3684.77</v>
      </c>
      <c r="H7" s="10" t="n">
        <v>11993.6</v>
      </c>
      <c r="I7" s="10" t="n">
        <v>0</v>
      </c>
      <c r="J7" s="10" t="n">
        <v>269718.3</v>
      </c>
      <c r="K7" s="10" t="n">
        <v>540000</v>
      </c>
      <c r="L7" s="10" t="n">
        <v>-270281.7</v>
      </c>
      <c r="M7" s="10">
        <f>$N6</f>
        <v/>
      </c>
      <c r="N7" s="10">
        <f>$M7+$L7</f>
        <v/>
      </c>
      <c r="O7" s="10">
        <f>P6</f>
        <v/>
      </c>
      <c r="P7" s="10">
        <f>O7+C7-G7</f>
        <v/>
      </c>
      <c r="Q7" s="14" t="n"/>
      <c r="S7" s="14" t="n"/>
    </row>
    <row r="8">
      <c r="A8" s="9" t="n">
        <v>6</v>
      </c>
      <c r="B8" s="10" t="n">
        <v>0</v>
      </c>
      <c r="C8" s="10" t="n">
        <v>0</v>
      </c>
      <c r="D8" s="10" t="n">
        <v>120000</v>
      </c>
      <c r="E8" s="10" t="n">
        <v>82520</v>
      </c>
      <c r="F8" s="10" t="n">
        <v>2052.63</v>
      </c>
      <c r="G8" s="10" t="n">
        <v>3715.47</v>
      </c>
      <c r="H8" s="10" t="n">
        <v>11993.6</v>
      </c>
      <c r="I8" s="10" t="n">
        <v>0</v>
      </c>
      <c r="J8" s="10" t="n">
        <v>19718.3</v>
      </c>
      <c r="K8" s="10" t="n">
        <v>0</v>
      </c>
      <c r="L8" s="10" t="n">
        <v>19718.3</v>
      </c>
      <c r="M8" s="10">
        <f>$N7</f>
        <v/>
      </c>
      <c r="N8" s="10">
        <f>$M8+$L8</f>
        <v/>
      </c>
      <c r="O8" s="10">
        <f>P7</f>
        <v/>
      </c>
      <c r="P8" s="10">
        <f>O8+C8-G8</f>
        <v/>
      </c>
      <c r="S8" s="14" t="n"/>
    </row>
    <row r="9">
      <c r="A9" s="9" t="n">
        <v>7</v>
      </c>
      <c r="B9" s="10" t="n">
        <v>0</v>
      </c>
      <c r="C9" s="10" t="n">
        <v>0</v>
      </c>
      <c r="D9" s="10" t="n">
        <v>120000</v>
      </c>
      <c r="E9" s="10" t="n">
        <v>82520</v>
      </c>
      <c r="F9" s="10" t="n">
        <v>2021.66</v>
      </c>
      <c r="G9" s="10" t="n">
        <v>3746.44</v>
      </c>
      <c r="H9" s="10" t="n">
        <v>11993.6</v>
      </c>
      <c r="I9" s="10" t="n">
        <v>0</v>
      </c>
      <c r="J9" s="10" t="n">
        <v>19718.3</v>
      </c>
      <c r="K9" s="10" t="n">
        <v>0</v>
      </c>
      <c r="L9" s="10" t="n">
        <v>19718.3</v>
      </c>
      <c r="M9" s="10">
        <f>$N8</f>
        <v/>
      </c>
      <c r="N9" s="10">
        <f>$M9+$L9</f>
        <v/>
      </c>
      <c r="O9" s="10">
        <f>P8</f>
        <v/>
      </c>
      <c r="P9" s="10">
        <f>O9+C9-G9</f>
        <v/>
      </c>
      <c r="S9" s="14" t="n"/>
    </row>
    <row r="10">
      <c r="A10" s="9" t="n">
        <v>8</v>
      </c>
      <c r="B10" s="10" t="n">
        <v>0</v>
      </c>
      <c r="C10" s="10" t="n">
        <v>0</v>
      </c>
      <c r="D10" s="10" t="n">
        <v>390000</v>
      </c>
      <c r="E10" s="10" t="n">
        <v>268190</v>
      </c>
      <c r="F10" s="10" t="n">
        <v>1990.44</v>
      </c>
      <c r="G10" s="10" t="n">
        <v>3777.66</v>
      </c>
      <c r="H10" s="10" t="n">
        <v>38979.2</v>
      </c>
      <c r="I10" s="10" t="n">
        <v>0</v>
      </c>
      <c r="J10" s="10" t="n">
        <v>77062.7</v>
      </c>
      <c r="K10" s="10" t="n">
        <v>0</v>
      </c>
      <c r="L10" s="10" t="n">
        <v>77062.7</v>
      </c>
      <c r="M10" s="10">
        <f>$N9</f>
        <v/>
      </c>
      <c r="N10" s="10">
        <f>$M10+$L10</f>
        <v/>
      </c>
      <c r="O10" s="10">
        <f>P9</f>
        <v/>
      </c>
      <c r="P10" s="10">
        <f>O10+C10-G10</f>
        <v/>
      </c>
      <c r="S10" s="14" t="n"/>
    </row>
    <row r="11">
      <c r="A11" s="9" t="n">
        <v>9</v>
      </c>
      <c r="B11" s="10" t="n">
        <v>0</v>
      </c>
      <c r="C11" s="10" t="n">
        <v>0</v>
      </c>
      <c r="D11" s="10" t="n">
        <v>390000</v>
      </c>
      <c r="E11" s="10" t="n">
        <v>268190</v>
      </c>
      <c r="F11" s="10" t="n">
        <v>1958.96</v>
      </c>
      <c r="G11" s="10" t="n">
        <v>3809.14</v>
      </c>
      <c r="H11" s="10" t="n">
        <v>38979.2</v>
      </c>
      <c r="I11" s="10" t="n">
        <v>0</v>
      </c>
      <c r="J11" s="10" t="n">
        <v>77062.7</v>
      </c>
      <c r="K11" s="10" t="n">
        <v>0</v>
      </c>
      <c r="L11" s="10" t="n">
        <v>77062.7</v>
      </c>
      <c r="M11" s="10">
        <f>$N10</f>
        <v/>
      </c>
      <c r="N11" s="10">
        <f>$M11+$L11</f>
        <v/>
      </c>
      <c r="O11" s="10">
        <f>P10</f>
        <v/>
      </c>
      <c r="P11" s="10">
        <f>O11+C11-G11</f>
        <v/>
      </c>
      <c r="S11" s="14" t="n"/>
    </row>
    <row r="12">
      <c r="A12" s="9" t="n">
        <v>10</v>
      </c>
      <c r="B12" s="10" t="n">
        <v>0</v>
      </c>
      <c r="C12" s="10" t="n">
        <v>0</v>
      </c>
      <c r="D12" s="10" t="n">
        <v>390000</v>
      </c>
      <c r="E12" s="10" t="n">
        <v>268190</v>
      </c>
      <c r="F12" s="10" t="n">
        <v>1927.22</v>
      </c>
      <c r="G12" s="10" t="n">
        <v>3840.88</v>
      </c>
      <c r="H12" s="10" t="n">
        <v>38979.2</v>
      </c>
      <c r="I12" s="10" t="n">
        <v>0</v>
      </c>
      <c r="J12" s="10" t="n">
        <v>77062.7</v>
      </c>
      <c r="K12" s="10" t="n">
        <v>240000</v>
      </c>
      <c r="L12" s="10" t="n">
        <v>-162937.3</v>
      </c>
      <c r="M12" s="10">
        <f>$N11</f>
        <v/>
      </c>
      <c r="N12" s="10">
        <f>$M12+$L12</f>
        <v/>
      </c>
      <c r="O12" s="10">
        <f>P11</f>
        <v/>
      </c>
      <c r="P12" s="10">
        <f>O12+C12-G12</f>
        <v/>
      </c>
      <c r="S12" s="14" t="n"/>
    </row>
    <row r="13">
      <c r="A13" s="9" t="n">
        <v>11</v>
      </c>
      <c r="B13" s="10" t="n">
        <v>0</v>
      </c>
      <c r="C13" s="10" t="n">
        <v>0</v>
      </c>
      <c r="D13" s="10" t="n">
        <v>390000</v>
      </c>
      <c r="E13" s="10" t="n">
        <v>268190</v>
      </c>
      <c r="F13" s="10" t="n">
        <v>1895.21</v>
      </c>
      <c r="G13" s="10" t="n">
        <v>3872.89</v>
      </c>
      <c r="H13" s="10" t="n">
        <v>38979.2</v>
      </c>
      <c r="I13" s="10" t="n">
        <v>0</v>
      </c>
      <c r="J13" s="10" t="n">
        <v>77062.7</v>
      </c>
      <c r="K13" s="10" t="n">
        <v>0</v>
      </c>
      <c r="L13" s="10" t="n">
        <v>77062.7</v>
      </c>
      <c r="M13" s="10">
        <f>$N12</f>
        <v/>
      </c>
      <c r="N13" s="10">
        <f>$M13+$L13</f>
        <v/>
      </c>
      <c r="O13" s="10">
        <f>P12</f>
        <v/>
      </c>
      <c r="P13" s="10">
        <f>O13+C13-G13</f>
        <v/>
      </c>
      <c r="S13" s="14" t="n"/>
    </row>
    <row r="14">
      <c r="A14" s="9" t="n">
        <v>12</v>
      </c>
      <c r="B14" s="10" t="n">
        <v>0</v>
      </c>
      <c r="C14" s="10" t="n">
        <v>0</v>
      </c>
      <c r="D14" s="10" t="n">
        <v>270000</v>
      </c>
      <c r="E14" s="10" t="n">
        <v>185670</v>
      </c>
      <c r="F14" s="10" t="n">
        <v>1862.94</v>
      </c>
      <c r="G14" s="10" t="n">
        <v>3905.16</v>
      </c>
      <c r="H14" s="10" t="n">
        <v>26985.6</v>
      </c>
      <c r="I14" s="10" t="n">
        <v>0</v>
      </c>
      <c r="J14" s="10" t="n">
        <v>51576.3</v>
      </c>
      <c r="K14" s="10" t="n">
        <v>0</v>
      </c>
      <c r="L14" s="10" t="n">
        <v>51576.3</v>
      </c>
      <c r="M14" s="10">
        <f>$N13</f>
        <v/>
      </c>
      <c r="N14" s="10">
        <f>$M14+$L14</f>
        <v/>
      </c>
      <c r="O14" s="10">
        <f>P13</f>
        <v/>
      </c>
      <c r="P14" s="10">
        <f>O14+C14-G14</f>
        <v/>
      </c>
      <c r="S14" s="14" t="n"/>
    </row>
    <row r="15">
      <c r="A15" s="9" t="n">
        <v>13</v>
      </c>
      <c r="B15" s="10" t="n">
        <v>0</v>
      </c>
      <c r="C15" s="10" t="n">
        <v>0</v>
      </c>
      <c r="D15" s="10" t="n">
        <v>390000</v>
      </c>
      <c r="E15" s="10" t="n">
        <v>268190</v>
      </c>
      <c r="F15" s="10" t="n">
        <v>1830.4</v>
      </c>
      <c r="G15" s="10" t="n">
        <v>3937.71</v>
      </c>
      <c r="H15" s="10" t="n">
        <v>38979.2</v>
      </c>
      <c r="I15" s="10" t="n">
        <v>0</v>
      </c>
      <c r="J15" s="10" t="n">
        <v>77062.69</v>
      </c>
      <c r="K15" s="10" t="n">
        <v>240000</v>
      </c>
      <c r="L15" s="10" t="n">
        <v>-162937.31</v>
      </c>
      <c r="M15" s="10">
        <f>$N14</f>
        <v/>
      </c>
      <c r="N15" s="10">
        <f>$M15+$L15</f>
        <v/>
      </c>
      <c r="O15" s="10">
        <f>P14</f>
        <v/>
      </c>
      <c r="P15" s="10">
        <f>O15+C15-G15</f>
        <v/>
      </c>
      <c r="S15" s="14" t="n"/>
    </row>
    <row r="16">
      <c r="A16" s="9" t="n">
        <v>14</v>
      </c>
      <c r="B16" s="10" t="n">
        <v>0</v>
      </c>
      <c r="C16" s="10" t="n">
        <v>0</v>
      </c>
      <c r="D16" s="10" t="n">
        <v>390000</v>
      </c>
      <c r="E16" s="10" t="n">
        <v>268190</v>
      </c>
      <c r="F16" s="10" t="n">
        <v>1797.58</v>
      </c>
      <c r="G16" s="10" t="n">
        <v>3970.52</v>
      </c>
      <c r="H16" s="10" t="n">
        <v>38979.2</v>
      </c>
      <c r="I16" s="10" t="n">
        <v>0</v>
      </c>
      <c r="J16" s="10" t="n">
        <v>77062.7</v>
      </c>
      <c r="K16" s="10" t="n">
        <v>0</v>
      </c>
      <c r="L16" s="10" t="n">
        <v>77062.7</v>
      </c>
      <c r="M16" s="10">
        <f>$N15</f>
        <v/>
      </c>
      <c r="N16" s="10">
        <f>$M16+$L16</f>
        <v/>
      </c>
      <c r="O16" s="10">
        <f>P15</f>
        <v/>
      </c>
      <c r="P16" s="10">
        <f>O16+C16-G16</f>
        <v/>
      </c>
      <c r="S16" s="14" t="n"/>
    </row>
    <row r="17">
      <c r="A17" s="9" t="n">
        <v>15</v>
      </c>
      <c r="B17" s="10" t="n">
        <v>0</v>
      </c>
      <c r="C17" s="10" t="n">
        <v>0</v>
      </c>
      <c r="D17" s="10" t="n">
        <v>390000</v>
      </c>
      <c r="E17" s="10" t="n">
        <v>268190</v>
      </c>
      <c r="F17" s="10" t="n">
        <v>1764.49</v>
      </c>
      <c r="G17" s="10" t="n">
        <v>4003.61</v>
      </c>
      <c r="H17" s="10" t="n">
        <v>38979.2</v>
      </c>
      <c r="I17" s="10" t="n">
        <v>0</v>
      </c>
      <c r="J17" s="10" t="n">
        <v>77062.7</v>
      </c>
      <c r="K17" s="10" t="n">
        <v>0</v>
      </c>
      <c r="L17" s="10" t="n">
        <v>77062.7</v>
      </c>
      <c r="M17" s="10">
        <f>$N16</f>
        <v/>
      </c>
      <c r="N17" s="10">
        <f>$M17+$L17</f>
        <v/>
      </c>
      <c r="O17" s="10">
        <f>P16</f>
        <v/>
      </c>
      <c r="P17" s="10">
        <f>O17+C17-G17</f>
        <v/>
      </c>
      <c r="S17" s="14" t="n"/>
    </row>
    <row r="18">
      <c r="A18" s="9" t="n">
        <v>16</v>
      </c>
      <c r="B18" s="10" t="n">
        <v>0</v>
      </c>
      <c r="C18" s="10" t="n">
        <v>0</v>
      </c>
      <c r="D18" s="10" t="n">
        <v>510000</v>
      </c>
      <c r="E18" s="10" t="n">
        <v>350710</v>
      </c>
      <c r="F18" s="10" t="n">
        <v>1731.13</v>
      </c>
      <c r="G18" s="10" t="n">
        <v>4036.97</v>
      </c>
      <c r="H18" s="10" t="n">
        <v>50972.8</v>
      </c>
      <c r="I18" s="10" t="n">
        <v>0</v>
      </c>
      <c r="J18" s="10" t="n">
        <v>102549.1</v>
      </c>
      <c r="K18" s="10" t="n">
        <v>240000</v>
      </c>
      <c r="L18" s="10" t="n">
        <v>-137450.9</v>
      </c>
      <c r="M18" s="10">
        <f>$N17</f>
        <v/>
      </c>
      <c r="N18" s="10">
        <f>$M18+$L18</f>
        <v/>
      </c>
      <c r="O18" s="10">
        <f>P17</f>
        <v/>
      </c>
      <c r="P18" s="10">
        <f>O18+C18-G18</f>
        <v/>
      </c>
      <c r="S18" s="14" t="n"/>
    </row>
    <row r="19">
      <c r="A19" s="9" t="n">
        <v>17</v>
      </c>
      <c r="B19" s="10" t="n">
        <v>0</v>
      </c>
      <c r="C19" s="10" t="n">
        <v>0</v>
      </c>
      <c r="D19" s="10" t="n">
        <v>510000</v>
      </c>
      <c r="E19" s="10" t="n">
        <v>350710</v>
      </c>
      <c r="F19" s="10" t="n">
        <v>1697.49</v>
      </c>
      <c r="G19" s="10" t="n">
        <v>4070.61</v>
      </c>
      <c r="H19" s="10" t="n">
        <v>50972.8</v>
      </c>
      <c r="I19" s="10" t="n">
        <v>0</v>
      </c>
      <c r="J19" s="10" t="n">
        <v>102549.1</v>
      </c>
      <c r="K19" s="10" t="n">
        <v>0</v>
      </c>
      <c r="L19" s="10" t="n">
        <v>102549.1</v>
      </c>
      <c r="M19" s="10">
        <f>$N18</f>
        <v/>
      </c>
      <c r="N19" s="10">
        <f>$M19+$L19</f>
        <v/>
      </c>
      <c r="O19" s="10">
        <f>P18</f>
        <v/>
      </c>
      <c r="P19" s="10">
        <f>O19+C19-G19</f>
        <v/>
      </c>
      <c r="S19" s="14" t="n"/>
    </row>
    <row r="20">
      <c r="A20" s="9" t="n">
        <v>18</v>
      </c>
      <c r="B20" s="10" t="n">
        <v>0</v>
      </c>
      <c r="C20" s="10" t="n">
        <v>0</v>
      </c>
      <c r="D20" s="10" t="n">
        <v>510000</v>
      </c>
      <c r="E20" s="10" t="n">
        <v>350710</v>
      </c>
      <c r="F20" s="10" t="n">
        <v>1663.57</v>
      </c>
      <c r="G20" s="10" t="n">
        <v>4104.53</v>
      </c>
      <c r="H20" s="10" t="n">
        <v>50972.8</v>
      </c>
      <c r="I20" s="10" t="n">
        <v>0</v>
      </c>
      <c r="J20" s="10" t="n">
        <v>102549.1</v>
      </c>
      <c r="K20" s="10" t="n">
        <v>240000</v>
      </c>
      <c r="L20" s="10" t="n">
        <v>-137450.9</v>
      </c>
      <c r="M20" s="10">
        <f>$N19</f>
        <v/>
      </c>
      <c r="N20" s="10">
        <f>$M20+$L20</f>
        <v/>
      </c>
      <c r="O20" s="10">
        <f>P19</f>
        <v/>
      </c>
      <c r="P20" s="10">
        <f>O20+C20-G20</f>
        <v/>
      </c>
      <c r="S20" s="14" t="n"/>
    </row>
    <row r="21">
      <c r="A21" s="9" t="n">
        <v>19</v>
      </c>
      <c r="B21" s="10" t="n">
        <v>0</v>
      </c>
      <c r="C21" s="10" t="n">
        <v>0</v>
      </c>
      <c r="D21" s="10" t="n">
        <v>360000</v>
      </c>
      <c r="E21" s="10" t="n">
        <v>247560</v>
      </c>
      <c r="F21" s="10" t="n">
        <v>1629.36</v>
      </c>
      <c r="G21" s="10" t="n">
        <v>4138.74</v>
      </c>
      <c r="H21" s="10" t="n">
        <v>35980.8</v>
      </c>
      <c r="I21" s="10" t="n">
        <v>0</v>
      </c>
      <c r="J21" s="10" t="n">
        <v>70691.10000000001</v>
      </c>
      <c r="K21" s="10" t="n">
        <v>0</v>
      </c>
      <c r="L21" s="10" t="n">
        <v>70691.10000000001</v>
      </c>
      <c r="M21" s="10">
        <f>$N20</f>
        <v/>
      </c>
      <c r="N21" s="10">
        <f>$M21+$L21</f>
        <v/>
      </c>
      <c r="O21" s="10">
        <f>P20</f>
        <v/>
      </c>
      <c r="P21" s="10">
        <f>O21+C21-G21</f>
        <v/>
      </c>
      <c r="S21" s="14" t="n"/>
    </row>
    <row r="22">
      <c r="A22" s="9" t="n">
        <v>20</v>
      </c>
      <c r="B22" s="10" t="n">
        <v>0</v>
      </c>
      <c r="C22" s="10" t="n">
        <v>0</v>
      </c>
      <c r="D22" s="10" t="n">
        <v>360000</v>
      </c>
      <c r="E22" s="10" t="n">
        <v>247560</v>
      </c>
      <c r="F22" s="10" t="n">
        <v>1594.87</v>
      </c>
      <c r="G22" s="10" t="n">
        <v>4173.23</v>
      </c>
      <c r="H22" s="10" t="n">
        <v>35980.8</v>
      </c>
      <c r="I22" s="10" t="n">
        <v>0</v>
      </c>
      <c r="J22" s="10" t="n">
        <v>70691.10000000001</v>
      </c>
      <c r="K22" s="10" t="n">
        <v>0</v>
      </c>
      <c r="L22" s="10" t="n">
        <v>70691.10000000001</v>
      </c>
      <c r="M22" s="10">
        <f>$N21</f>
        <v/>
      </c>
      <c r="N22" s="10">
        <f>$M22+$L22</f>
        <v/>
      </c>
      <c r="O22" s="10">
        <f>P21</f>
        <v/>
      </c>
      <c r="P22" s="10">
        <f>O22+C22-G22</f>
        <v/>
      </c>
      <c r="S22" s="14" t="n"/>
    </row>
    <row r="23">
      <c r="A23" s="9" t="n">
        <v>21</v>
      </c>
      <c r="B23" s="10" t="n">
        <v>0</v>
      </c>
      <c r="C23" s="10" t="n">
        <v>0</v>
      </c>
      <c r="D23" s="10" t="n">
        <v>480000</v>
      </c>
      <c r="E23" s="10" t="n">
        <v>330080</v>
      </c>
      <c r="F23" s="10" t="n">
        <v>1560.1</v>
      </c>
      <c r="G23" s="10" t="n">
        <v>4208</v>
      </c>
      <c r="H23" s="10" t="n">
        <v>47974.4</v>
      </c>
      <c r="I23" s="10" t="n">
        <v>0</v>
      </c>
      <c r="J23" s="10" t="n">
        <v>96177.5</v>
      </c>
      <c r="K23" s="10" t="n">
        <v>240000</v>
      </c>
      <c r="L23" s="10" t="n">
        <v>-143822.5</v>
      </c>
      <c r="M23" s="10">
        <f>$N22</f>
        <v/>
      </c>
      <c r="N23" s="10">
        <f>$M23+$L23</f>
        <v/>
      </c>
      <c r="O23" s="10">
        <f>P22</f>
        <v/>
      </c>
      <c r="P23" s="10">
        <f>O23+C23-G23</f>
        <v/>
      </c>
      <c r="S23" s="14" t="n"/>
    </row>
    <row r="24">
      <c r="A24" s="9" t="n">
        <v>22</v>
      </c>
      <c r="B24" s="10" t="n">
        <v>0</v>
      </c>
      <c r="C24" s="10" t="n">
        <v>0</v>
      </c>
      <c r="D24" s="10" t="n">
        <v>480000</v>
      </c>
      <c r="E24" s="10" t="n">
        <v>330080</v>
      </c>
      <c r="F24" s="10" t="n">
        <v>1525.03</v>
      </c>
      <c r="G24" s="10" t="n">
        <v>4243.07</v>
      </c>
      <c r="H24" s="10" t="n">
        <v>47974.4</v>
      </c>
      <c r="I24" s="10" t="n">
        <v>0</v>
      </c>
      <c r="J24" s="10" t="n">
        <v>96177.5</v>
      </c>
      <c r="K24" s="10" t="n">
        <v>0</v>
      </c>
      <c r="L24" s="10" t="n">
        <v>96177.5</v>
      </c>
      <c r="M24" s="10">
        <f>$N23</f>
        <v/>
      </c>
      <c r="N24" s="10">
        <f>$M24+$L24</f>
        <v/>
      </c>
      <c r="O24" s="10">
        <f>P23</f>
        <v/>
      </c>
      <c r="P24" s="10">
        <f>O24+C24-G24</f>
        <v/>
      </c>
      <c r="S24" s="14" t="n"/>
    </row>
    <row r="25">
      <c r="A25" s="9" t="n">
        <v>23</v>
      </c>
      <c r="B25" s="10" t="n">
        <v>0</v>
      </c>
      <c r="C25" s="10" t="n">
        <v>0</v>
      </c>
      <c r="D25" s="10" t="n">
        <v>480000</v>
      </c>
      <c r="E25" s="10" t="n">
        <v>330080</v>
      </c>
      <c r="F25" s="10" t="n">
        <v>1489.67</v>
      </c>
      <c r="G25" s="10" t="n">
        <v>4278.43</v>
      </c>
      <c r="H25" s="10" t="n">
        <v>47974.4</v>
      </c>
      <c r="I25" s="10" t="n">
        <v>0</v>
      </c>
      <c r="J25" s="10" t="n">
        <v>96177.5</v>
      </c>
      <c r="K25" s="10" t="n">
        <v>240000</v>
      </c>
      <c r="L25" s="10" t="n">
        <v>-143822.5</v>
      </c>
      <c r="M25" s="10">
        <f>$N24</f>
        <v/>
      </c>
      <c r="N25" s="10">
        <f>$M25+$L25</f>
        <v/>
      </c>
      <c r="O25" s="10">
        <f>P24</f>
        <v/>
      </c>
      <c r="P25" s="10">
        <f>O25+C25-G25</f>
        <v/>
      </c>
      <c r="S25" s="14" t="n"/>
    </row>
    <row r="26">
      <c r="A26" s="9" t="n">
        <v>24</v>
      </c>
      <c r="B26" s="10" t="n">
        <v>0</v>
      </c>
      <c r="C26" s="10" t="n">
        <v>0</v>
      </c>
      <c r="D26" s="10" t="n">
        <v>480000</v>
      </c>
      <c r="E26" s="10" t="n">
        <v>330080</v>
      </c>
      <c r="F26" s="10" t="n">
        <v>1454.02</v>
      </c>
      <c r="G26" s="10" t="n">
        <v>4314.08</v>
      </c>
      <c r="H26" s="10" t="n">
        <v>47974.4</v>
      </c>
      <c r="I26" s="10" t="n">
        <v>0</v>
      </c>
      <c r="J26" s="10" t="n">
        <v>96177.5</v>
      </c>
      <c r="K26" s="10" t="n">
        <v>0</v>
      </c>
      <c r="L26" s="10" t="n">
        <v>96177.5</v>
      </c>
      <c r="M26" s="10">
        <f>$N25</f>
        <v/>
      </c>
      <c r="N26" s="10">
        <f>$M26+$L26</f>
        <v/>
      </c>
      <c r="O26" s="10">
        <f>P25</f>
        <v/>
      </c>
      <c r="P26" s="10">
        <f>O26+C26-G26</f>
        <v/>
      </c>
      <c r="S26" s="14" t="n"/>
    </row>
    <row r="27">
      <c r="A27" s="9" t="n">
        <v>25</v>
      </c>
      <c r="B27" s="10" t="n">
        <v>0</v>
      </c>
      <c r="C27" s="10" t="n">
        <v>0</v>
      </c>
      <c r="D27" s="10" t="n">
        <v>480000</v>
      </c>
      <c r="E27" s="10" t="n">
        <v>330080</v>
      </c>
      <c r="F27" s="10" t="n">
        <v>1418.07</v>
      </c>
      <c r="G27" s="10" t="n">
        <v>4350.03</v>
      </c>
      <c r="H27" s="10" t="n">
        <v>47974.4</v>
      </c>
      <c r="I27" s="10" t="n">
        <v>0</v>
      </c>
      <c r="J27" s="10" t="n">
        <v>96177.5</v>
      </c>
      <c r="K27" s="10" t="n">
        <v>0</v>
      </c>
      <c r="L27" s="10" t="n">
        <v>96177.5</v>
      </c>
      <c r="M27" s="10">
        <f>$N26</f>
        <v/>
      </c>
      <c r="N27" s="10">
        <f>$M27+$L27</f>
        <v/>
      </c>
      <c r="O27" s="10">
        <f>P26</f>
        <v/>
      </c>
      <c r="P27" s="10">
        <f>O27+C27-G27</f>
        <v/>
      </c>
      <c r="S27" s="14" t="n"/>
    </row>
    <row r="28">
      <c r="A28" s="9" t="n">
        <v>26</v>
      </c>
      <c r="B28" s="10" t="n">
        <v>0</v>
      </c>
      <c r="C28" s="10" t="n">
        <v>0</v>
      </c>
      <c r="D28" s="10" t="n">
        <v>600000</v>
      </c>
      <c r="E28" s="10" t="n">
        <v>412600</v>
      </c>
      <c r="F28" s="10" t="n">
        <v>1381.82</v>
      </c>
      <c r="G28" s="10" t="n">
        <v>4386.28</v>
      </c>
      <c r="H28" s="10" t="n">
        <v>59968</v>
      </c>
      <c r="I28" s="10" t="n">
        <v>0</v>
      </c>
      <c r="J28" s="10" t="n">
        <v>121663.9</v>
      </c>
      <c r="K28" s="10" t="n">
        <v>300000</v>
      </c>
      <c r="L28" s="10" t="n">
        <v>-178336.1</v>
      </c>
      <c r="M28" s="10">
        <f>$N27</f>
        <v/>
      </c>
      <c r="N28" s="10">
        <f>$M28+$L28</f>
        <v/>
      </c>
      <c r="O28" s="10">
        <f>P27</f>
        <v/>
      </c>
      <c r="P28" s="10">
        <f>O28+C28-G28</f>
        <v/>
      </c>
      <c r="S28" s="14" t="n"/>
    </row>
    <row r="29">
      <c r="A29" s="9" t="n">
        <v>27</v>
      </c>
      <c r="B29" s="10" t="n">
        <v>0</v>
      </c>
      <c r="C29" s="10" t="n">
        <v>0</v>
      </c>
      <c r="D29" s="10" t="n">
        <v>480000</v>
      </c>
      <c r="E29" s="10" t="n">
        <v>330080</v>
      </c>
      <c r="F29" s="10" t="n">
        <v>1345.26</v>
      </c>
      <c r="G29" s="10" t="n">
        <v>4422.84</v>
      </c>
      <c r="H29" s="10" t="n">
        <v>47974.4</v>
      </c>
      <c r="I29" s="10" t="n">
        <v>0</v>
      </c>
      <c r="J29" s="10" t="n">
        <v>96177.5</v>
      </c>
      <c r="K29" s="10" t="n">
        <v>0</v>
      </c>
      <c r="L29" s="10" t="n">
        <v>96177.5</v>
      </c>
      <c r="M29" s="10">
        <f>$N28</f>
        <v/>
      </c>
      <c r="N29" s="10">
        <f>$M29+$L29</f>
        <v/>
      </c>
      <c r="O29" s="10">
        <f>P28</f>
        <v/>
      </c>
      <c r="P29" s="10">
        <f>O29+C29-G29</f>
        <v/>
      </c>
      <c r="S29" s="14" t="n"/>
    </row>
    <row r="30">
      <c r="A30" s="9" t="n">
        <v>28</v>
      </c>
      <c r="B30" s="10" t="n">
        <v>0</v>
      </c>
      <c r="C30" s="10" t="n">
        <v>0</v>
      </c>
      <c r="D30" s="10" t="n">
        <v>480000</v>
      </c>
      <c r="E30" s="10" t="n">
        <v>330080</v>
      </c>
      <c r="F30" s="10" t="n">
        <v>1308.41</v>
      </c>
      <c r="G30" s="10" t="n">
        <v>4459.69</v>
      </c>
      <c r="H30" s="10" t="n">
        <v>47974.4</v>
      </c>
      <c r="I30" s="10" t="n">
        <v>0</v>
      </c>
      <c r="J30" s="10" t="n">
        <v>96177.5</v>
      </c>
      <c r="K30" s="10" t="n">
        <v>240000</v>
      </c>
      <c r="L30" s="10" t="n">
        <v>-143822.5</v>
      </c>
      <c r="M30" s="10">
        <f>$N29</f>
        <v/>
      </c>
      <c r="N30" s="10">
        <f>$M30+$L30</f>
        <v/>
      </c>
      <c r="O30" s="10">
        <f>P29</f>
        <v/>
      </c>
      <c r="P30" s="10">
        <f>O30+C30-G30</f>
        <v/>
      </c>
      <c r="S30" s="14" t="n"/>
    </row>
    <row r="31">
      <c r="A31" s="9" t="n">
        <v>29</v>
      </c>
      <c r="B31" s="10" t="n">
        <v>0</v>
      </c>
      <c r="C31" s="10" t="n">
        <v>0</v>
      </c>
      <c r="D31" s="10" t="n">
        <v>630000</v>
      </c>
      <c r="E31" s="10" t="n">
        <v>433230</v>
      </c>
      <c r="F31" s="10" t="n">
        <v>1271.24</v>
      </c>
      <c r="G31" s="10" t="n">
        <v>4496.86</v>
      </c>
      <c r="H31" s="10" t="n">
        <v>62966.4</v>
      </c>
      <c r="I31" s="10" t="n">
        <v>0</v>
      </c>
      <c r="J31" s="10" t="n">
        <v>128035.5</v>
      </c>
      <c r="K31" s="10" t="n">
        <v>0</v>
      </c>
      <c r="L31" s="10" t="n">
        <v>128035.5</v>
      </c>
      <c r="M31" s="10">
        <f>$N30</f>
        <v/>
      </c>
      <c r="N31" s="10">
        <f>$M31+$L31</f>
        <v/>
      </c>
      <c r="O31" s="10">
        <f>P30</f>
        <v/>
      </c>
      <c r="P31" s="10">
        <f>O31+C31-G31</f>
        <v/>
      </c>
      <c r="S31" s="14" t="n"/>
    </row>
    <row r="32">
      <c r="A32" s="9" t="n">
        <v>30</v>
      </c>
      <c r="B32" s="10" t="n">
        <v>0</v>
      </c>
      <c r="C32" s="10" t="n">
        <v>0</v>
      </c>
      <c r="D32" s="10" t="n">
        <v>510000</v>
      </c>
      <c r="E32" s="10" t="n">
        <v>350710</v>
      </c>
      <c r="F32" s="10" t="n">
        <v>1233.77</v>
      </c>
      <c r="G32" s="10" t="n">
        <v>4534.33</v>
      </c>
      <c r="H32" s="10" t="n">
        <v>50972.8</v>
      </c>
      <c r="I32" s="10" t="n">
        <v>0</v>
      </c>
      <c r="J32" s="10" t="n">
        <v>102549.1</v>
      </c>
      <c r="K32" s="10" t="n">
        <v>240000</v>
      </c>
      <c r="L32" s="10" t="n">
        <v>-137450.9</v>
      </c>
      <c r="M32" s="10">
        <f>$N31</f>
        <v/>
      </c>
      <c r="N32" s="10">
        <f>$M32+$L32</f>
        <v/>
      </c>
      <c r="O32" s="10">
        <f>P31</f>
        <v/>
      </c>
      <c r="P32" s="10">
        <f>O32+C32-G32</f>
        <v/>
      </c>
      <c r="S32" s="14" t="n"/>
    </row>
    <row r="33">
      <c r="A33" s="9" t="n">
        <v>31</v>
      </c>
      <c r="B33" s="10" t="n">
        <v>0</v>
      </c>
      <c r="C33" s="10" t="n">
        <v>0</v>
      </c>
      <c r="D33" s="10" t="n">
        <v>630000</v>
      </c>
      <c r="E33" s="10" t="n">
        <v>433230</v>
      </c>
      <c r="F33" s="10" t="n">
        <v>1195.98</v>
      </c>
      <c r="G33" s="10" t="n">
        <v>4572.12</v>
      </c>
      <c r="H33" s="10" t="n">
        <v>62966.4</v>
      </c>
      <c r="I33" s="10" t="n">
        <v>0</v>
      </c>
      <c r="J33" s="10" t="n">
        <v>128035.5</v>
      </c>
      <c r="K33" s="10" t="n">
        <v>0</v>
      </c>
      <c r="L33" s="10" t="n">
        <v>128035.5</v>
      </c>
      <c r="M33" s="10">
        <f>$N32</f>
        <v/>
      </c>
      <c r="N33" s="10">
        <f>$M33+$L33</f>
        <v/>
      </c>
      <c r="O33" s="10">
        <f>P32</f>
        <v/>
      </c>
      <c r="P33" s="10">
        <f>O33+C33-G33</f>
        <v/>
      </c>
      <c r="S33" s="14" t="n"/>
    </row>
    <row r="34">
      <c r="A34" s="9" t="n">
        <v>32</v>
      </c>
      <c r="B34" s="10" t="n">
        <v>0</v>
      </c>
      <c r="C34" s="10" t="n">
        <v>0</v>
      </c>
      <c r="D34" s="10" t="n">
        <v>510000</v>
      </c>
      <c r="E34" s="10" t="n">
        <v>350710</v>
      </c>
      <c r="F34" s="10" t="n">
        <v>1157.88</v>
      </c>
      <c r="G34" s="10" t="n">
        <v>4610.22</v>
      </c>
      <c r="H34" s="10" t="n">
        <v>50972.8</v>
      </c>
      <c r="I34" s="10" t="n">
        <v>0</v>
      </c>
      <c r="J34" s="10" t="n">
        <v>102549.1</v>
      </c>
      <c r="K34" s="10" t="n">
        <v>240000</v>
      </c>
      <c r="L34" s="10" t="n">
        <v>-137450.9</v>
      </c>
      <c r="M34" s="10">
        <f>$N33</f>
        <v/>
      </c>
      <c r="N34" s="10">
        <f>$M34+$L34</f>
        <v/>
      </c>
      <c r="O34" s="10">
        <f>P33</f>
        <v/>
      </c>
      <c r="P34" s="10">
        <f>O34+C34-G34</f>
        <v/>
      </c>
      <c r="S34" s="14" t="n"/>
    </row>
    <row r="35">
      <c r="A35" s="9" t="n">
        <v>33</v>
      </c>
      <c r="B35" s="10" t="n">
        <v>0</v>
      </c>
      <c r="C35" s="10" t="n">
        <v>0</v>
      </c>
      <c r="D35" s="10" t="n">
        <v>630000</v>
      </c>
      <c r="E35" s="10" t="n">
        <v>433230</v>
      </c>
      <c r="F35" s="10" t="n">
        <v>1119.46</v>
      </c>
      <c r="G35" s="10" t="n">
        <v>4648.64</v>
      </c>
      <c r="H35" s="10" t="n">
        <v>62966.4</v>
      </c>
      <c r="I35" s="10" t="n">
        <v>0</v>
      </c>
      <c r="J35" s="10" t="n">
        <v>128035.5</v>
      </c>
      <c r="K35" s="10" t="n">
        <v>0</v>
      </c>
      <c r="L35" s="10" t="n">
        <v>128035.5</v>
      </c>
      <c r="M35" s="10">
        <f>$N34</f>
        <v/>
      </c>
      <c r="N35" s="10">
        <f>$M35+$L35</f>
        <v/>
      </c>
      <c r="O35" s="10">
        <f>P34</f>
        <v/>
      </c>
      <c r="P35" s="10">
        <f>O35+C35-G35</f>
        <v/>
      </c>
      <c r="S35" s="14" t="n"/>
    </row>
    <row r="36">
      <c r="A36" s="9" t="n">
        <v>34</v>
      </c>
      <c r="B36" s="10" t="n">
        <v>0</v>
      </c>
      <c r="C36" s="10" t="n">
        <v>0</v>
      </c>
      <c r="D36" s="10" t="n">
        <v>630000</v>
      </c>
      <c r="E36" s="10" t="n">
        <v>433230</v>
      </c>
      <c r="F36" s="10" t="n">
        <v>1080.73</v>
      </c>
      <c r="G36" s="10" t="n">
        <v>4687.38</v>
      </c>
      <c r="H36" s="10" t="n">
        <v>62966.4</v>
      </c>
      <c r="I36" s="10" t="n">
        <v>0</v>
      </c>
      <c r="J36" s="10" t="n">
        <v>128035.49</v>
      </c>
      <c r="K36" s="10" t="n">
        <v>240000</v>
      </c>
      <c r="L36" s="10" t="n">
        <v>-111964.51</v>
      </c>
      <c r="M36" s="10">
        <f>$N35</f>
        <v/>
      </c>
      <c r="N36" s="10">
        <f>$M36+$L36</f>
        <v/>
      </c>
      <c r="O36" s="10">
        <f>P35</f>
        <v/>
      </c>
      <c r="P36" s="10">
        <f>O36+C36-G36</f>
        <v/>
      </c>
      <c r="S36" s="14" t="n"/>
    </row>
    <row r="37">
      <c r="A37" s="9" t="n">
        <v>35</v>
      </c>
      <c r="B37" s="10" t="n">
        <v>0</v>
      </c>
      <c r="C37" s="10" t="n">
        <v>0</v>
      </c>
      <c r="D37" s="10" t="n">
        <v>630000</v>
      </c>
      <c r="E37" s="10" t="n">
        <v>433230</v>
      </c>
      <c r="F37" s="10" t="n">
        <v>1041.66</v>
      </c>
      <c r="G37" s="10" t="n">
        <v>4726.44</v>
      </c>
      <c r="H37" s="10" t="n">
        <v>62966.4</v>
      </c>
      <c r="I37" s="10" t="n">
        <v>0</v>
      </c>
      <c r="J37" s="10" t="n">
        <v>128035.5</v>
      </c>
      <c r="K37" s="10" t="n">
        <v>0</v>
      </c>
      <c r="L37" s="10" t="n">
        <v>128035.5</v>
      </c>
      <c r="M37" s="10">
        <f>$N36</f>
        <v/>
      </c>
      <c r="N37" s="10">
        <f>$M37+$L37</f>
        <v/>
      </c>
      <c r="O37" s="10">
        <f>P36</f>
        <v/>
      </c>
      <c r="P37" s="10">
        <f>O37+C37-G37</f>
        <v/>
      </c>
      <c r="S37" s="14" t="n"/>
    </row>
    <row r="38">
      <c r="A38" s="9" t="n">
        <v>36</v>
      </c>
      <c r="B38" s="10" t="n">
        <v>0</v>
      </c>
      <c r="C38" s="10" t="n">
        <v>0</v>
      </c>
      <c r="D38" s="10" t="n">
        <v>630000</v>
      </c>
      <c r="E38" s="10" t="n">
        <v>433230</v>
      </c>
      <c r="F38" s="10" t="n">
        <v>1002.28</v>
      </c>
      <c r="G38" s="10" t="n">
        <v>4765.82</v>
      </c>
      <c r="H38" s="10" t="n">
        <v>62966.4</v>
      </c>
      <c r="I38" s="10" t="n">
        <v>0</v>
      </c>
      <c r="J38" s="10" t="n">
        <v>128035.5</v>
      </c>
      <c r="K38" s="10" t="n">
        <v>240000</v>
      </c>
      <c r="L38" s="10" t="n">
        <v>-111964.5</v>
      </c>
      <c r="M38" s="10">
        <f>$N37</f>
        <v/>
      </c>
      <c r="N38" s="10">
        <f>$M38+$L38</f>
        <v/>
      </c>
      <c r="O38" s="10">
        <f>P37</f>
        <v/>
      </c>
      <c r="P38" s="10">
        <f>O38+C38-G38</f>
        <v/>
      </c>
      <c r="S38" s="14" t="n"/>
    </row>
    <row r="39">
      <c r="A39" s="9" t="n">
        <v>37</v>
      </c>
      <c r="B39" s="10" t="n">
        <v>0</v>
      </c>
      <c r="C39" s="10" t="n">
        <v>0</v>
      </c>
      <c r="D39" s="10" t="n">
        <v>630000</v>
      </c>
      <c r="E39" s="10" t="n">
        <v>433230</v>
      </c>
      <c r="F39" s="10" t="n">
        <v>962.5599999999999</v>
      </c>
      <c r="G39" s="10" t="n">
        <v>4805.54</v>
      </c>
      <c r="H39" s="10" t="n">
        <v>62966.4</v>
      </c>
      <c r="I39" s="10" t="n">
        <v>0</v>
      </c>
      <c r="J39" s="10" t="n">
        <v>128035.5</v>
      </c>
      <c r="K39" s="10" t="n">
        <v>0</v>
      </c>
      <c r="L39" s="10" t="n">
        <v>128035.5</v>
      </c>
      <c r="M39" s="10">
        <f>$N38</f>
        <v/>
      </c>
      <c r="N39" s="10">
        <f>$M39+$L39</f>
        <v/>
      </c>
      <c r="O39" s="10">
        <f>P38</f>
        <v/>
      </c>
      <c r="P39" s="10">
        <f>O39+C39-G39</f>
        <v/>
      </c>
      <c r="S39" s="14" t="n"/>
    </row>
    <row r="40">
      <c r="A40" s="9" t="n">
        <v>38</v>
      </c>
      <c r="B40" s="10" t="n">
        <v>0</v>
      </c>
      <c r="C40" s="10" t="n">
        <v>0</v>
      </c>
      <c r="D40" s="10" t="n">
        <v>630000</v>
      </c>
      <c r="E40" s="10" t="n">
        <v>433230</v>
      </c>
      <c r="F40" s="10" t="n">
        <v>922.52</v>
      </c>
      <c r="G40" s="10" t="n">
        <v>4845.59</v>
      </c>
      <c r="H40" s="10" t="n">
        <v>62966.4</v>
      </c>
      <c r="I40" s="10" t="n">
        <v>0</v>
      </c>
      <c r="J40" s="10" t="n">
        <v>128035.49</v>
      </c>
      <c r="K40" s="10" t="n">
        <v>240000</v>
      </c>
      <c r="L40" s="10" t="n">
        <v>-111964.51</v>
      </c>
      <c r="M40" s="10">
        <f>$N39</f>
        <v/>
      </c>
      <c r="N40" s="10">
        <f>$M40+$L40</f>
        <v/>
      </c>
      <c r="O40" s="10">
        <f>P39</f>
        <v/>
      </c>
      <c r="P40" s="10">
        <f>O40+C40-G40</f>
        <v/>
      </c>
      <c r="S40" s="14" t="n"/>
    </row>
    <row r="41">
      <c r="A41" s="9" t="n">
        <v>39</v>
      </c>
      <c r="B41" s="10" t="n">
        <v>0</v>
      </c>
      <c r="C41" s="10" t="n">
        <v>0</v>
      </c>
      <c r="D41" s="10" t="n">
        <v>750000</v>
      </c>
      <c r="E41" s="10" t="n">
        <v>515750</v>
      </c>
      <c r="F41" s="10" t="n">
        <v>882.14</v>
      </c>
      <c r="G41" s="10" t="n">
        <v>4885.97</v>
      </c>
      <c r="H41" s="10" t="n">
        <v>74960</v>
      </c>
      <c r="I41" s="10" t="n">
        <v>0</v>
      </c>
      <c r="J41" s="10" t="n">
        <v>153521.89</v>
      </c>
      <c r="K41" s="10" t="n">
        <v>0</v>
      </c>
      <c r="L41" s="10" t="n">
        <v>153521.89</v>
      </c>
      <c r="M41" s="10">
        <f>$N40</f>
        <v/>
      </c>
      <c r="N41" s="10">
        <f>$M41+$L41</f>
        <v/>
      </c>
      <c r="O41" s="10">
        <f>P40</f>
        <v/>
      </c>
      <c r="P41" s="10">
        <f>O41+C41-G41</f>
        <v/>
      </c>
      <c r="S41" s="14" t="n"/>
    </row>
    <row r="42">
      <c r="A42" s="9" t="n">
        <v>40</v>
      </c>
      <c r="B42" s="10" t="n">
        <v>0</v>
      </c>
      <c r="C42" s="10" t="n">
        <v>0</v>
      </c>
      <c r="D42" s="10" t="n">
        <v>600000</v>
      </c>
      <c r="E42" s="10" t="n">
        <v>412600</v>
      </c>
      <c r="F42" s="10" t="n">
        <v>841.42</v>
      </c>
      <c r="G42" s="10" t="n">
        <v>4926.68</v>
      </c>
      <c r="H42" s="10" t="n">
        <v>59968</v>
      </c>
      <c r="I42" s="10" t="n">
        <v>0</v>
      </c>
      <c r="J42" s="10" t="n">
        <v>121663.9</v>
      </c>
      <c r="K42" s="10" t="n">
        <v>300000</v>
      </c>
      <c r="L42" s="10" t="n">
        <v>-178336.1</v>
      </c>
      <c r="M42" s="10">
        <f>$N41</f>
        <v/>
      </c>
      <c r="N42" s="10">
        <f>$M42+$L42</f>
        <v/>
      </c>
      <c r="O42" s="10">
        <f>P41</f>
        <v/>
      </c>
      <c r="P42" s="10">
        <f>O42+C42-G42</f>
        <v/>
      </c>
      <c r="S42" s="14" t="n"/>
    </row>
    <row r="43">
      <c r="A43" s="9" t="n">
        <v>41</v>
      </c>
      <c r="B43" s="10" t="n">
        <v>0</v>
      </c>
      <c r="C43" s="10" t="n">
        <v>0</v>
      </c>
      <c r="D43" s="10" t="n">
        <v>720000</v>
      </c>
      <c r="E43" s="10" t="n">
        <v>495120</v>
      </c>
      <c r="F43" s="10" t="n">
        <v>800.36</v>
      </c>
      <c r="G43" s="10" t="n">
        <v>4967.74</v>
      </c>
      <c r="H43" s="10" t="n">
        <v>71961.60000000001</v>
      </c>
      <c r="I43" s="10" t="n">
        <v>0</v>
      </c>
      <c r="J43" s="10" t="n">
        <v>147150.3</v>
      </c>
      <c r="K43" s="10" t="n">
        <v>0</v>
      </c>
      <c r="L43" s="10" t="n">
        <v>147150.3</v>
      </c>
      <c r="M43" s="10">
        <f>$N42</f>
        <v/>
      </c>
      <c r="N43" s="10">
        <f>$M43+$L43</f>
        <v/>
      </c>
      <c r="O43" s="10">
        <f>P42</f>
        <v/>
      </c>
      <c r="P43" s="10">
        <f>O43+C43-G43</f>
        <v/>
      </c>
      <c r="S43" s="14" t="n"/>
    </row>
    <row r="44">
      <c r="A44" s="9" t="n">
        <v>42</v>
      </c>
      <c r="B44" s="10" t="n">
        <v>0</v>
      </c>
      <c r="C44" s="10" t="n">
        <v>0</v>
      </c>
      <c r="D44" s="10" t="n">
        <v>600000</v>
      </c>
      <c r="E44" s="10" t="n">
        <v>412600</v>
      </c>
      <c r="F44" s="10" t="n">
        <v>758.97</v>
      </c>
      <c r="G44" s="10" t="n">
        <v>5009.14</v>
      </c>
      <c r="H44" s="10" t="n">
        <v>59968</v>
      </c>
      <c r="I44" s="10" t="n">
        <v>0</v>
      </c>
      <c r="J44" s="10" t="n">
        <v>121663.89</v>
      </c>
      <c r="K44" s="10" t="n">
        <v>300000</v>
      </c>
      <c r="L44" s="10" t="n">
        <v>-178336.11</v>
      </c>
      <c r="M44" s="10">
        <f>$N43</f>
        <v/>
      </c>
      <c r="N44" s="10">
        <f>$M44+$L44</f>
        <v/>
      </c>
      <c r="O44" s="10">
        <f>P43</f>
        <v/>
      </c>
      <c r="P44" s="10">
        <f>O44+C44-G44</f>
        <v/>
      </c>
      <c r="S44" s="14" t="n"/>
    </row>
    <row r="45">
      <c r="A45" s="9" t="n">
        <v>43</v>
      </c>
      <c r="B45" s="10" t="n">
        <v>0</v>
      </c>
      <c r="C45" s="10" t="n">
        <v>0</v>
      </c>
      <c r="D45" s="10" t="n">
        <v>750000</v>
      </c>
      <c r="E45" s="10" t="n">
        <v>515750</v>
      </c>
      <c r="F45" s="10" t="n">
        <v>717.22</v>
      </c>
      <c r="G45" s="10" t="n">
        <v>5050.88</v>
      </c>
      <c r="H45" s="10" t="n">
        <v>74960</v>
      </c>
      <c r="I45" s="10" t="n">
        <v>0</v>
      </c>
      <c r="J45" s="10" t="n">
        <v>153521.9</v>
      </c>
      <c r="K45" s="10" t="n">
        <v>0</v>
      </c>
      <c r="L45" s="10" t="n">
        <v>153521.9</v>
      </c>
      <c r="M45" s="10">
        <f>$N44</f>
        <v/>
      </c>
      <c r="N45" s="10">
        <f>$M45+$L45</f>
        <v/>
      </c>
      <c r="O45" s="10">
        <f>P44</f>
        <v/>
      </c>
      <c r="P45" s="10">
        <f>O45+C45-G45</f>
        <v/>
      </c>
      <c r="S45" s="14" t="n"/>
    </row>
    <row r="46">
      <c r="A46" s="9" t="n">
        <v>44</v>
      </c>
      <c r="B46" s="10" t="n">
        <v>0</v>
      </c>
      <c r="C46" s="10" t="n">
        <v>0</v>
      </c>
      <c r="D46" s="10" t="n">
        <v>630000</v>
      </c>
      <c r="E46" s="10" t="n">
        <v>433230</v>
      </c>
      <c r="F46" s="10" t="n">
        <v>675.13</v>
      </c>
      <c r="G46" s="10" t="n">
        <v>5092.97</v>
      </c>
      <c r="H46" s="10" t="n">
        <v>62966.4</v>
      </c>
      <c r="I46" s="10" t="n">
        <v>0</v>
      </c>
      <c r="J46" s="10" t="n">
        <v>128035.5</v>
      </c>
      <c r="K46" s="10" t="n">
        <v>300000</v>
      </c>
      <c r="L46" s="10" t="n">
        <v>-171964.5</v>
      </c>
      <c r="M46" s="10">
        <f>$N45</f>
        <v/>
      </c>
      <c r="N46" s="10">
        <f>$M46+$L46</f>
        <v/>
      </c>
      <c r="O46" s="10">
        <f>P45</f>
        <v/>
      </c>
      <c r="P46" s="10">
        <f>O46+C46-G46</f>
        <v/>
      </c>
      <c r="S46" s="14" t="n"/>
    </row>
    <row r="47">
      <c r="A47" s="9" t="n">
        <v>45</v>
      </c>
      <c r="B47" s="10" t="n">
        <v>0</v>
      </c>
      <c r="C47" s="10" t="n">
        <v>0</v>
      </c>
      <c r="D47" s="10" t="n">
        <v>780000</v>
      </c>
      <c r="E47" s="10" t="n">
        <v>536380</v>
      </c>
      <c r="F47" s="10" t="n">
        <v>632.6900000000001</v>
      </c>
      <c r="G47" s="10" t="n">
        <v>5135.41</v>
      </c>
      <c r="H47" s="10" t="n">
        <v>77958.39999999999</v>
      </c>
      <c r="I47" s="10" t="n">
        <v>0</v>
      </c>
      <c r="J47" s="10" t="n">
        <v>159893.5</v>
      </c>
      <c r="K47" s="10" t="n">
        <v>0</v>
      </c>
      <c r="L47" s="10" t="n">
        <v>159893.5</v>
      </c>
      <c r="M47" s="10">
        <f>$N46</f>
        <v/>
      </c>
      <c r="N47" s="10">
        <f>$M47+$L47</f>
        <v/>
      </c>
      <c r="O47" s="10">
        <f>P46</f>
        <v/>
      </c>
      <c r="P47" s="10">
        <f>O47+C47-G47</f>
        <v/>
      </c>
      <c r="S47" s="14" t="n"/>
    </row>
    <row r="48">
      <c r="A48" s="9" t="n">
        <v>46</v>
      </c>
      <c r="B48" s="10" t="n">
        <v>0</v>
      </c>
      <c r="C48" s="10" t="n">
        <v>0</v>
      </c>
      <c r="D48" s="10" t="n">
        <v>660000</v>
      </c>
      <c r="E48" s="10" t="n">
        <v>453860</v>
      </c>
      <c r="F48" s="10" t="n">
        <v>589.9</v>
      </c>
      <c r="G48" s="10" t="n">
        <v>5178.21</v>
      </c>
      <c r="H48" s="10" t="n">
        <v>65964.8</v>
      </c>
      <c r="I48" s="10" t="n">
        <v>0</v>
      </c>
      <c r="J48" s="10" t="n">
        <v>134407.09</v>
      </c>
      <c r="K48" s="10" t="n">
        <v>240000</v>
      </c>
      <c r="L48" s="10" t="n">
        <v>-105592.91</v>
      </c>
      <c r="M48" s="10">
        <f>$N47</f>
        <v/>
      </c>
      <c r="N48" s="10">
        <f>$M48+$L48</f>
        <v/>
      </c>
      <c r="O48" s="10">
        <f>P47</f>
        <v/>
      </c>
      <c r="P48" s="10">
        <f>O48+C48-G48</f>
        <v/>
      </c>
      <c r="S48" s="14" t="n"/>
    </row>
    <row r="49">
      <c r="A49" s="9" t="n">
        <v>47</v>
      </c>
      <c r="B49" s="10" t="n">
        <v>0</v>
      </c>
      <c r="C49" s="10" t="n">
        <v>0</v>
      </c>
      <c r="D49" s="10" t="n">
        <v>810000</v>
      </c>
      <c r="E49" s="10" t="n">
        <v>557010</v>
      </c>
      <c r="F49" s="10" t="n">
        <v>546.74</v>
      </c>
      <c r="G49" s="10" t="n">
        <v>5221.36</v>
      </c>
      <c r="H49" s="10" t="n">
        <v>80956.8</v>
      </c>
      <c r="I49" s="10" t="n">
        <v>0</v>
      </c>
      <c r="J49" s="10" t="n">
        <v>166265.1</v>
      </c>
      <c r="K49" s="10" t="n">
        <v>0</v>
      </c>
      <c r="L49" s="10" t="n">
        <v>166265.1</v>
      </c>
      <c r="M49" s="10">
        <f>$N48</f>
        <v/>
      </c>
      <c r="N49" s="10">
        <f>$M49+$L49</f>
        <v/>
      </c>
      <c r="O49" s="10">
        <f>P48</f>
        <v/>
      </c>
      <c r="P49" s="10">
        <f>O49+C49-G49</f>
        <v/>
      </c>
      <c r="S49" s="14" t="n"/>
    </row>
    <row r="50">
      <c r="A50" s="9" t="n">
        <v>48</v>
      </c>
      <c r="B50" s="10" t="n">
        <v>0</v>
      </c>
      <c r="C50" s="10" t="n">
        <v>0</v>
      </c>
      <c r="D50" s="10" t="n">
        <v>690000</v>
      </c>
      <c r="E50" s="10" t="n">
        <v>474490</v>
      </c>
      <c r="F50" s="10" t="n">
        <v>503.23</v>
      </c>
      <c r="G50" s="10" t="n">
        <v>5264.87</v>
      </c>
      <c r="H50" s="10" t="n">
        <v>68963.2</v>
      </c>
      <c r="I50" s="10" t="n">
        <v>0</v>
      </c>
      <c r="J50" s="10" t="n">
        <v>140778.7</v>
      </c>
      <c r="K50" s="10" t="n">
        <v>360000</v>
      </c>
      <c r="L50" s="10" t="n">
        <v>-219221.3</v>
      </c>
      <c r="M50" s="10">
        <f>$N49</f>
        <v/>
      </c>
      <c r="N50" s="10">
        <f>$M50+$L50</f>
        <v/>
      </c>
      <c r="O50" s="10">
        <f>P49</f>
        <v/>
      </c>
      <c r="P50" s="10">
        <f>O50+C50-G50</f>
        <v/>
      </c>
      <c r="Q50" s="14" t="n"/>
      <c r="S50" s="14" t="n"/>
    </row>
    <row r="51">
      <c r="A51" s="9" t="n">
        <v>49</v>
      </c>
      <c r="B51" s="10" t="n">
        <v>0</v>
      </c>
      <c r="C51" s="10" t="n">
        <v>0</v>
      </c>
      <c r="D51" s="10" t="n">
        <v>810000</v>
      </c>
      <c r="E51" s="10" t="n">
        <v>557010</v>
      </c>
      <c r="F51" s="10" t="n">
        <v>459.36</v>
      </c>
      <c r="G51" s="10" t="n">
        <v>5308.74</v>
      </c>
      <c r="H51" s="10" t="n">
        <v>80956.8</v>
      </c>
      <c r="I51" s="10" t="n">
        <v>0</v>
      </c>
      <c r="J51" s="10" t="n">
        <v>166265.1</v>
      </c>
      <c r="K51" s="10" t="n">
        <v>0</v>
      </c>
      <c r="L51" s="10" t="n">
        <v>166265.1</v>
      </c>
      <c r="M51" s="10">
        <f>$N50</f>
        <v/>
      </c>
      <c r="N51" s="10">
        <f>$M51+$L51</f>
        <v/>
      </c>
      <c r="O51" s="10">
        <f>P50</f>
        <v/>
      </c>
      <c r="P51" s="10">
        <f>O51+C51-G51</f>
        <v/>
      </c>
      <c r="S51" s="14" t="n"/>
    </row>
    <row r="52">
      <c r="A52" s="9" t="n">
        <v>50</v>
      </c>
      <c r="B52" s="10" t="n">
        <v>0</v>
      </c>
      <c r="C52" s="10" t="n">
        <v>0</v>
      </c>
      <c r="D52" s="10" t="n">
        <v>690000</v>
      </c>
      <c r="E52" s="10" t="n">
        <v>474490</v>
      </c>
      <c r="F52" s="10" t="n">
        <v>415.12</v>
      </c>
      <c r="G52" s="10" t="n">
        <v>5352.98</v>
      </c>
      <c r="H52" s="10" t="n">
        <v>68963.2</v>
      </c>
      <c r="I52" s="10" t="n">
        <v>0</v>
      </c>
      <c r="J52" s="10" t="n">
        <v>140778.7</v>
      </c>
      <c r="K52" s="10" t="n">
        <v>300000</v>
      </c>
      <c r="L52" s="10" t="n">
        <v>-159221.3</v>
      </c>
      <c r="M52" s="10">
        <f>$N51</f>
        <v/>
      </c>
      <c r="N52" s="10">
        <f>$M52+$L52</f>
        <v/>
      </c>
      <c r="O52" s="10">
        <f>P51</f>
        <v/>
      </c>
      <c r="P52" s="10">
        <f>O52+C52-G52</f>
        <v/>
      </c>
      <c r="S52" s="14" t="n"/>
    </row>
    <row r="53">
      <c r="A53" s="9" t="n">
        <v>51</v>
      </c>
      <c r="B53" s="10" t="n">
        <v>0</v>
      </c>
      <c r="C53" s="10" t="n">
        <v>0</v>
      </c>
      <c r="D53" s="10" t="n">
        <v>870000</v>
      </c>
      <c r="E53" s="10" t="n">
        <v>598270</v>
      </c>
      <c r="F53" s="10" t="n">
        <v>370.51</v>
      </c>
      <c r="G53" s="10" t="n">
        <v>5397.59</v>
      </c>
      <c r="H53" s="10" t="n">
        <v>86953.60000000001</v>
      </c>
      <c r="I53" s="10" t="n">
        <v>0</v>
      </c>
      <c r="J53" s="10" t="n">
        <v>179008.3</v>
      </c>
      <c r="K53" s="10" t="n">
        <v>0</v>
      </c>
      <c r="L53" s="10" t="n">
        <v>179008.3</v>
      </c>
      <c r="M53" s="10">
        <f>$N52</f>
        <v/>
      </c>
      <c r="N53" s="10">
        <f>$M53+$L53</f>
        <v/>
      </c>
      <c r="O53" s="10">
        <f>P52</f>
        <v/>
      </c>
      <c r="P53" s="10">
        <f>O53+C53-G53</f>
        <v/>
      </c>
      <c r="S53" s="14" t="n"/>
    </row>
    <row r="54">
      <c r="A54" s="9" t="n">
        <v>52</v>
      </c>
      <c r="B54" s="10" t="n">
        <v>0</v>
      </c>
      <c r="C54" s="10" t="n">
        <v>0</v>
      </c>
      <c r="D54" s="10" t="n">
        <v>750000</v>
      </c>
      <c r="E54" s="10" t="n">
        <v>515750</v>
      </c>
      <c r="F54" s="10" t="n">
        <v>325.53</v>
      </c>
      <c r="G54" s="10" t="n">
        <v>5442.57</v>
      </c>
      <c r="H54" s="10" t="n">
        <v>74960</v>
      </c>
      <c r="I54" s="10" t="n">
        <v>0</v>
      </c>
      <c r="J54" s="10" t="n">
        <v>153521.9</v>
      </c>
      <c r="K54" s="10" t="n">
        <v>300000</v>
      </c>
      <c r="L54" s="10" t="n">
        <v>-146478.1</v>
      </c>
      <c r="M54" s="10">
        <f>$N53</f>
        <v/>
      </c>
      <c r="N54" s="10">
        <f>$M54+$L54</f>
        <v/>
      </c>
      <c r="O54" s="10">
        <f>P53</f>
        <v/>
      </c>
      <c r="P54" s="10">
        <f>O54+C54-G54</f>
        <v/>
      </c>
      <c r="S54" s="14" t="n"/>
    </row>
    <row r="55">
      <c r="A55" s="9" t="n">
        <v>53</v>
      </c>
      <c r="B55" s="10" t="n">
        <v>0</v>
      </c>
      <c r="C55" s="10" t="n">
        <v>0</v>
      </c>
      <c r="D55" s="10" t="n">
        <v>900000</v>
      </c>
      <c r="E55" s="10" t="n">
        <v>618900</v>
      </c>
      <c r="F55" s="10" t="n">
        <v>280.18</v>
      </c>
      <c r="G55" s="10" t="n">
        <v>5487.93</v>
      </c>
      <c r="H55" s="10" t="n">
        <v>89952</v>
      </c>
      <c r="I55" s="10" t="n">
        <v>0</v>
      </c>
      <c r="J55" s="10" t="n">
        <v>185379.89</v>
      </c>
      <c r="K55" s="10" t="n">
        <v>0</v>
      </c>
      <c r="L55" s="10" t="n">
        <v>185379.89</v>
      </c>
      <c r="M55" s="10">
        <f>$N54</f>
        <v/>
      </c>
      <c r="N55" s="10">
        <f>$M55+$L55</f>
        <v/>
      </c>
      <c r="O55" s="10">
        <f>P54</f>
        <v/>
      </c>
      <c r="P55" s="10">
        <f>O55+C55-G55</f>
        <v/>
      </c>
      <c r="S55" s="14" t="n"/>
    </row>
    <row r="56">
      <c r="A56" s="9" t="n">
        <v>54</v>
      </c>
      <c r="B56" s="10" t="n">
        <v>0</v>
      </c>
      <c r="C56" s="10" t="n">
        <v>0</v>
      </c>
      <c r="D56" s="10" t="n">
        <v>750000</v>
      </c>
      <c r="E56" s="10" t="n">
        <v>515750</v>
      </c>
      <c r="F56" s="10" t="n">
        <v>234.44</v>
      </c>
      <c r="G56" s="10" t="n">
        <v>5533.66</v>
      </c>
      <c r="H56" s="10" t="n">
        <v>74960</v>
      </c>
      <c r="I56" s="10" t="n">
        <v>0</v>
      </c>
      <c r="J56" s="10" t="n">
        <v>153521.9</v>
      </c>
      <c r="K56" s="10" t="n">
        <v>360000</v>
      </c>
      <c r="L56" s="10" t="n">
        <v>-206478.1</v>
      </c>
      <c r="M56" s="10">
        <f>$N55</f>
        <v/>
      </c>
      <c r="N56" s="10">
        <f>$M56+$L56</f>
        <v/>
      </c>
      <c r="O56" s="10">
        <f>P55</f>
        <v/>
      </c>
      <c r="P56" s="10">
        <f>O56+C56-G56</f>
        <v/>
      </c>
      <c r="S56" s="14" t="n"/>
    </row>
    <row r="57">
      <c r="A57" s="9" t="n">
        <v>55</v>
      </c>
      <c r="B57" s="10" t="n">
        <v>0</v>
      </c>
      <c r="C57" s="10" t="n">
        <v>0</v>
      </c>
      <c r="D57" s="10" t="n">
        <v>900000</v>
      </c>
      <c r="E57" s="10" t="n">
        <v>618900</v>
      </c>
      <c r="F57" s="10" t="n">
        <v>188.33</v>
      </c>
      <c r="G57" s="10" t="n">
        <v>5579.77</v>
      </c>
      <c r="H57" s="10" t="n">
        <v>89952</v>
      </c>
      <c r="I57" s="10" t="n">
        <v>0</v>
      </c>
      <c r="J57" s="10" t="n">
        <v>185379.9</v>
      </c>
      <c r="K57" s="10" t="n">
        <v>0</v>
      </c>
      <c r="L57" s="10" t="n">
        <v>185379.9</v>
      </c>
      <c r="M57" s="10">
        <f>$N56</f>
        <v/>
      </c>
      <c r="N57" s="10">
        <f>$M57+$L57</f>
        <v/>
      </c>
      <c r="O57" s="10">
        <f>P56</f>
        <v/>
      </c>
      <c r="P57" s="10">
        <f>O57+C57-G57</f>
        <v/>
      </c>
      <c r="S57" s="14" t="n"/>
    </row>
    <row r="58">
      <c r="A58" s="9" t="n">
        <v>56</v>
      </c>
      <c r="B58" s="10" t="n">
        <v>0</v>
      </c>
      <c r="C58" s="10" t="n">
        <v>0</v>
      </c>
      <c r="D58" s="10" t="n">
        <v>750000</v>
      </c>
      <c r="E58" s="10" t="n">
        <v>515750</v>
      </c>
      <c r="F58" s="10" t="n">
        <v>141.83</v>
      </c>
      <c r="G58" s="10" t="n">
        <v>5626.27</v>
      </c>
      <c r="H58" s="10" t="n">
        <v>74960</v>
      </c>
      <c r="I58" s="10" t="n">
        <v>0</v>
      </c>
      <c r="J58" s="10" t="n">
        <v>153521.9</v>
      </c>
      <c r="K58" s="10" t="n">
        <v>360000</v>
      </c>
      <c r="L58" s="10" t="n">
        <v>-206478.1</v>
      </c>
      <c r="M58" s="10">
        <f>$N57</f>
        <v/>
      </c>
      <c r="N58" s="10">
        <f>$M58+$L58</f>
        <v/>
      </c>
      <c r="O58" s="10">
        <f>P57</f>
        <v/>
      </c>
      <c r="P58" s="10">
        <f>O58+C58-G58</f>
        <v/>
      </c>
      <c r="S58" s="14" t="n"/>
    </row>
    <row r="59">
      <c r="A59" s="9" t="n">
        <v>57</v>
      </c>
      <c r="B59" s="10" t="n">
        <v>0</v>
      </c>
      <c r="C59" s="10" t="n">
        <v>0</v>
      </c>
      <c r="D59" s="10" t="n">
        <v>930000</v>
      </c>
      <c r="E59" s="10" t="n">
        <v>639530</v>
      </c>
      <c r="F59" s="10" t="n">
        <v>94.95</v>
      </c>
      <c r="G59" s="10" t="n">
        <v>5673.16</v>
      </c>
      <c r="H59" s="10" t="n">
        <v>92950.39999999999</v>
      </c>
      <c r="I59" s="10" t="n">
        <v>0</v>
      </c>
      <c r="J59" s="10" t="n">
        <v>191751.49</v>
      </c>
      <c r="K59" s="10" t="n">
        <v>0</v>
      </c>
      <c r="L59" s="10" t="n">
        <v>191751.49</v>
      </c>
      <c r="M59" s="10">
        <f>$N58</f>
        <v/>
      </c>
      <c r="N59" s="10">
        <f>$M59+$L59</f>
        <v/>
      </c>
      <c r="O59" s="10">
        <f>P58</f>
        <v/>
      </c>
      <c r="P59" s="10">
        <f>O59+C59-G59</f>
        <v/>
      </c>
      <c r="S59" s="14" t="n"/>
    </row>
    <row r="60">
      <c r="A60" s="9" t="n">
        <v>58</v>
      </c>
      <c r="B60" s="10" t="n">
        <v>0</v>
      </c>
      <c r="C60" s="10" t="n">
        <v>0</v>
      </c>
      <c r="D60" s="10" t="n">
        <v>780000</v>
      </c>
      <c r="E60" s="10" t="n">
        <v>536380</v>
      </c>
      <c r="F60" s="10" t="n">
        <v>47.67</v>
      </c>
      <c r="G60" s="10" t="n">
        <v>5720.43</v>
      </c>
      <c r="H60" s="10" t="n">
        <v>77958.39999999999</v>
      </c>
      <c r="I60" s="10" t="n">
        <v>0</v>
      </c>
      <c r="J60" s="10" t="n">
        <v>159893.5</v>
      </c>
      <c r="K60" s="10" t="n">
        <v>300000</v>
      </c>
      <c r="L60" s="10" t="n">
        <v>-140106.5</v>
      </c>
      <c r="M60" s="10">
        <f>$N59</f>
        <v/>
      </c>
      <c r="N60" s="10">
        <f>$M60+$L60</f>
        <v/>
      </c>
      <c r="O60" s="10">
        <f>P59</f>
        <v/>
      </c>
      <c r="P60" s="10">
        <f>O60+C60-G60</f>
        <v/>
      </c>
      <c r="S60" s="14" t="n"/>
    </row>
    <row r="61">
      <c r="A61" s="9" t="n">
        <v>59</v>
      </c>
      <c r="B61" s="10" t="n">
        <v>0</v>
      </c>
      <c r="C61" s="10" t="n">
        <v>0</v>
      </c>
      <c r="D61" s="10" t="n">
        <v>960000</v>
      </c>
      <c r="E61" s="10" t="n">
        <v>660160</v>
      </c>
      <c r="F61" s="10" t="n">
        <v>0</v>
      </c>
      <c r="G61" s="10" t="n">
        <v>0</v>
      </c>
      <c r="H61" s="10" t="n">
        <v>95948.8</v>
      </c>
      <c r="I61" s="10" t="n">
        <v>0</v>
      </c>
      <c r="J61" s="10" t="n">
        <v>203891.2</v>
      </c>
      <c r="K61" s="10" t="n">
        <v>0</v>
      </c>
      <c r="L61" s="10" t="n">
        <v>203891.2</v>
      </c>
      <c r="M61" s="10">
        <f>$N60</f>
        <v/>
      </c>
      <c r="N61" s="10">
        <f>$M61+$L61</f>
        <v/>
      </c>
      <c r="O61" s="10">
        <f>P60</f>
        <v/>
      </c>
      <c r="P61" s="10">
        <f>O61+C61-G61</f>
        <v/>
      </c>
      <c r="S61" s="14" t="n"/>
    </row>
    <row r="62">
      <c r="A62" s="9" t="n">
        <v>60</v>
      </c>
      <c r="B62" s="10" t="n">
        <v>0</v>
      </c>
      <c r="C62" s="10" t="n">
        <v>0</v>
      </c>
      <c r="D62" s="10" t="n">
        <v>840000</v>
      </c>
      <c r="E62" s="10" t="n">
        <v>577640</v>
      </c>
      <c r="F62" s="10" t="n">
        <v>0</v>
      </c>
      <c r="G62" s="10" t="n">
        <v>0</v>
      </c>
      <c r="H62" s="10" t="n">
        <v>83955.2</v>
      </c>
      <c r="I62" s="10" t="n">
        <v>0</v>
      </c>
      <c r="J62" s="10" t="n">
        <v>178404.8</v>
      </c>
      <c r="K62" s="10" t="n">
        <v>360000</v>
      </c>
      <c r="L62" s="10" t="n">
        <v>-181595.2</v>
      </c>
      <c r="M62" s="10">
        <f>$N61</f>
        <v/>
      </c>
      <c r="N62" s="10">
        <f>$M62+$L62</f>
        <v/>
      </c>
      <c r="O62" s="10">
        <f>P61</f>
        <v/>
      </c>
      <c r="P62" s="10">
        <f>O62+C62-G62</f>
        <v/>
      </c>
      <c r="S62" s="14" t="n"/>
    </row>
    <row r="63" ht="15" customHeight="1">
      <c r="J63" s="14" t="n"/>
    </row>
  </sheetData>
  <mergeCells count="1">
    <mergeCell ref="A1:P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62"/>
  <sheetViews>
    <sheetView showGridLines="0" zoomScale="130" zoomScaleNormal="130" workbookViewId="0">
      <pane xSplit="3" ySplit="2" topLeftCell="E3" activePane="bottomRight" state="frozen"/>
      <selection pane="topRight" activeCell="C1" sqref="C1"/>
      <selection pane="bottomLeft" activeCell="A3" sqref="A3"/>
      <selection pane="bottomRight" activeCell="S10" sqref="S10"/>
    </sheetView>
  </sheetViews>
  <sheetFormatPr baseColWidth="8" defaultColWidth="8.7109375" defaultRowHeight="15" customHeight="1"/>
  <cols>
    <col width="10" customWidth="1" min="2" max="2"/>
    <col width="12" customWidth="1" min="3" max="3"/>
    <col width="14.140625" bestFit="1" customWidth="1" min="4" max="4"/>
    <col width="17.7109375" customWidth="1" min="5" max="5"/>
    <col width="12" customWidth="1" min="6" max="9"/>
    <col width="13.140625" customWidth="1" min="10" max="10"/>
    <col width="11.140625" bestFit="1" customWidth="1" min="11" max="11"/>
    <col width="14.85546875" bestFit="1" customWidth="1" min="12" max="12"/>
    <col width="12.7109375" bestFit="1" customWidth="1" min="13" max="13"/>
    <col width="12" customWidth="1" min="14" max="14"/>
    <col width="12.7109375" bestFit="1" customWidth="1" min="15" max="15"/>
    <col width="12" customWidth="1" min="16" max="16"/>
    <col width="12.7109375" bestFit="1" customWidth="1" min="17" max="17"/>
    <col width="19.7109375" customWidth="1" min="18" max="18"/>
    <col width="12" customWidth="1" min="19" max="19"/>
    <col width="15.28515625" customWidth="1" min="20" max="20"/>
    <col width="14.42578125" customWidth="1" min="21" max="21"/>
    <col width="12" customWidth="1" min="22" max="25"/>
  </cols>
  <sheetData>
    <row r="1" ht="17.25" customHeight="1">
      <c r="A1" s="21" t="inlineStr">
        <is>
          <t>Monthly Income Statement</t>
        </is>
      </c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</row>
    <row r="2" ht="31.5" customHeight="1">
      <c r="A2" s="19" t="inlineStr">
        <is>
          <t>Year #</t>
        </is>
      </c>
      <c r="B2" s="2" t="inlineStr">
        <is>
          <t>Month #</t>
        </is>
      </c>
      <c r="C2" s="2" t="inlineStr">
        <is>
          <t>Cars in Operation</t>
        </is>
      </c>
      <c r="D2" s="2" t="inlineStr">
        <is>
          <t>Monthly Gross Revenue</t>
        </is>
      </c>
      <c r="E2" s="2" t="inlineStr">
        <is>
          <t>Fuel</t>
        </is>
      </c>
      <c r="F2" s="2" t="inlineStr">
        <is>
          <t>Airtime</t>
        </is>
      </c>
      <c r="G2" s="2" t="inlineStr">
        <is>
          <t>Carwash</t>
        </is>
      </c>
      <c r="H2" s="2" t="inlineStr">
        <is>
          <t>Maintenance</t>
        </is>
      </c>
      <c r="I2" s="2" t="inlineStr">
        <is>
          <t>Driver Subsistence Allocation</t>
        </is>
      </c>
      <c r="J2" s="2" t="inlineStr">
        <is>
          <t>Incidental Repair Reserve</t>
        </is>
      </c>
      <c r="K2" s="2" t="inlineStr">
        <is>
          <t>Tracking Device</t>
        </is>
      </c>
      <c r="L2" s="2" t="inlineStr">
        <is>
          <t>Cost of Sales</t>
        </is>
      </c>
      <c r="M2" s="15" t="inlineStr">
        <is>
          <t>Gross Profit</t>
        </is>
      </c>
      <c r="N2" s="2" t="inlineStr">
        <is>
          <t>Salary</t>
        </is>
      </c>
      <c r="O2" s="2" t="inlineStr">
        <is>
          <t>Total Operating Expenses</t>
        </is>
      </c>
      <c r="P2" s="2" t="inlineStr">
        <is>
          <t>EBIT</t>
        </is>
      </c>
      <c r="Q2" s="15" t="inlineStr">
        <is>
          <t>Income Tax</t>
        </is>
      </c>
      <c r="R2" s="2" t="inlineStr">
        <is>
          <t>Net Profit</t>
        </is>
      </c>
      <c r="S2" s="2" t="inlineStr">
        <is>
          <t>Retained Profits</t>
        </is>
      </c>
      <c r="T2" s="2" t="n"/>
      <c r="U2" s="2" t="n"/>
      <c r="V2" s="2" t="n"/>
      <c r="W2" s="2" t="n"/>
      <c r="X2" s="2" t="n"/>
      <c r="Y2" s="2" t="n"/>
    </row>
    <row r="3">
      <c r="A3" s="9" t="n">
        <v>1</v>
      </c>
      <c r="B3" s="9" t="n">
        <v>1</v>
      </c>
      <c r="C3" s="8" t="n">
        <v>4</v>
      </c>
      <c r="D3" s="10" t="n">
        <v>120000</v>
      </c>
      <c r="E3" s="10" t="n">
        <v>52000</v>
      </c>
      <c r="F3" s="10" t="n">
        <v>1160</v>
      </c>
      <c r="G3" s="10" t="n">
        <v>960</v>
      </c>
      <c r="H3" s="10" t="n">
        <v>5000</v>
      </c>
      <c r="I3" s="10" t="n">
        <v>5600</v>
      </c>
      <c r="J3" s="10" t="n">
        <v>2000</v>
      </c>
      <c r="K3" s="10" t="n">
        <v>3800</v>
      </c>
      <c r="L3" s="10" t="n">
        <v>70520</v>
      </c>
      <c r="M3" s="10" t="n">
        <v>49480</v>
      </c>
      <c r="N3" s="10" t="n">
        <v>12000</v>
      </c>
      <c r="O3" s="10" t="n">
        <v>12000</v>
      </c>
      <c r="P3" s="10" t="n">
        <v>37480</v>
      </c>
      <c r="Q3" s="10" t="n">
        <v>11993.6</v>
      </c>
      <c r="R3" s="10" t="n">
        <v>25486.4</v>
      </c>
      <c r="S3" s="10">
        <f>$Q3-$R3</f>
        <v/>
      </c>
      <c r="T3" s="10" t="n"/>
      <c r="U3" s="10" t="n"/>
      <c r="V3" s="10" t="n"/>
      <c r="W3" s="10" t="n"/>
      <c r="X3" s="10" t="n"/>
      <c r="Y3" s="10" t="n"/>
    </row>
    <row r="4">
      <c r="A4" s="9" t="n">
        <v>1</v>
      </c>
      <c r="B4" s="9" t="n">
        <v>2</v>
      </c>
      <c r="C4" s="8" t="n">
        <v>4</v>
      </c>
      <c r="D4" s="10" t="n">
        <v>120000</v>
      </c>
      <c r="E4" s="10" t="n">
        <v>52000</v>
      </c>
      <c r="F4" s="10" t="n">
        <v>1160</v>
      </c>
      <c r="G4" s="10" t="n">
        <v>960</v>
      </c>
      <c r="H4" s="10" t="n">
        <v>5000</v>
      </c>
      <c r="I4" s="10" t="n">
        <v>5600</v>
      </c>
      <c r="J4" s="10" t="n">
        <v>2000</v>
      </c>
      <c r="K4" s="10" t="n">
        <v>3800</v>
      </c>
      <c r="L4" s="10" t="n">
        <v>70520</v>
      </c>
      <c r="M4" s="10" t="n">
        <v>49480</v>
      </c>
      <c r="N4" s="10" t="n">
        <v>12000</v>
      </c>
      <c r="O4" s="10" t="n">
        <v>12000</v>
      </c>
      <c r="P4" s="10" t="n">
        <v>37480</v>
      </c>
      <c r="Q4" s="10" t="n">
        <v>11993.6</v>
      </c>
      <c r="R4" s="10" t="n">
        <v>25486.4</v>
      </c>
      <c r="S4" s="10">
        <f>$Q4-$R4</f>
        <v/>
      </c>
      <c r="T4" s="10" t="n"/>
      <c r="U4" s="10" t="n"/>
      <c r="V4" s="10" t="n"/>
      <c r="W4" s="10" t="n"/>
      <c r="X4" s="10" t="n"/>
      <c r="Y4" s="10" t="n"/>
    </row>
    <row r="5">
      <c r="A5" s="9" t="n">
        <v>1</v>
      </c>
      <c r="B5" s="9" t="n">
        <v>3</v>
      </c>
      <c r="C5" s="8" t="n">
        <v>4</v>
      </c>
      <c r="D5" s="10" t="n">
        <v>120000</v>
      </c>
      <c r="E5" s="10" t="n">
        <v>52000</v>
      </c>
      <c r="F5" s="10" t="n">
        <v>1160</v>
      </c>
      <c r="G5" s="10" t="n">
        <v>960</v>
      </c>
      <c r="H5" s="10" t="n">
        <v>5000</v>
      </c>
      <c r="I5" s="10" t="n">
        <v>5600</v>
      </c>
      <c r="J5" s="10" t="n">
        <v>2000</v>
      </c>
      <c r="K5" s="10" t="n">
        <v>3800</v>
      </c>
      <c r="L5" s="10" t="n">
        <v>70520</v>
      </c>
      <c r="M5" s="10" t="n">
        <v>49480</v>
      </c>
      <c r="N5" s="10" t="n">
        <v>12000</v>
      </c>
      <c r="O5" s="10" t="n">
        <v>12000</v>
      </c>
      <c r="P5" s="10" t="n">
        <v>37480</v>
      </c>
      <c r="Q5" s="10" t="n">
        <v>11993.6</v>
      </c>
      <c r="R5" s="10" t="n">
        <v>25486.4</v>
      </c>
      <c r="S5" s="10">
        <f>$Q5-$R5</f>
        <v/>
      </c>
      <c r="T5" s="10" t="n"/>
      <c r="U5" s="10" t="n"/>
      <c r="V5" s="10" t="n"/>
      <c r="W5" s="10" t="n"/>
      <c r="X5" s="10" t="n"/>
      <c r="Y5" s="10" t="n"/>
    </row>
    <row r="6">
      <c r="A6" s="9" t="n">
        <v>1</v>
      </c>
      <c r="B6" s="9" t="n">
        <v>4</v>
      </c>
      <c r="C6" s="8" t="n">
        <v>4</v>
      </c>
      <c r="D6" s="10" t="n">
        <v>120000</v>
      </c>
      <c r="E6" s="10" t="n">
        <v>52000</v>
      </c>
      <c r="F6" s="10" t="n">
        <v>1160</v>
      </c>
      <c r="G6" s="10" t="n">
        <v>960</v>
      </c>
      <c r="H6" s="10" t="n">
        <v>5000</v>
      </c>
      <c r="I6" s="10" t="n">
        <v>5600</v>
      </c>
      <c r="J6" s="10" t="n">
        <v>2000</v>
      </c>
      <c r="K6" s="10" t="n">
        <v>3800</v>
      </c>
      <c r="L6" s="10" t="n">
        <v>70520</v>
      </c>
      <c r="M6" s="10" t="n">
        <v>49480</v>
      </c>
      <c r="N6" s="10" t="n">
        <v>12000</v>
      </c>
      <c r="O6" s="10" t="n">
        <v>12000</v>
      </c>
      <c r="P6" s="10" t="n">
        <v>37480</v>
      </c>
      <c r="Q6" s="10" t="n">
        <v>11993.6</v>
      </c>
      <c r="R6" s="10" t="n">
        <v>25486.4</v>
      </c>
      <c r="S6" s="10">
        <f>$Q6-$R6</f>
        <v/>
      </c>
      <c r="T6" s="10" t="n"/>
      <c r="U6" s="10" t="n"/>
      <c r="V6" s="10" t="n"/>
      <c r="W6" s="10" t="n"/>
      <c r="X6" s="10" t="n"/>
      <c r="Y6" s="10" t="n"/>
    </row>
    <row r="7">
      <c r="A7" s="9" t="n">
        <v>1</v>
      </c>
      <c r="B7" s="9" t="n">
        <v>5</v>
      </c>
      <c r="C7" s="8" t="n">
        <v>4</v>
      </c>
      <c r="D7" s="10" t="n">
        <v>120000</v>
      </c>
      <c r="E7" s="10" t="n">
        <v>52000</v>
      </c>
      <c r="F7" s="10" t="n">
        <v>1160</v>
      </c>
      <c r="G7" s="10" t="n">
        <v>960</v>
      </c>
      <c r="H7" s="10" t="n">
        <v>5000</v>
      </c>
      <c r="I7" s="10" t="n">
        <v>5600</v>
      </c>
      <c r="J7" s="10" t="n">
        <v>2000</v>
      </c>
      <c r="K7" s="10" t="n">
        <v>3800</v>
      </c>
      <c r="L7" s="10" t="n">
        <v>70520</v>
      </c>
      <c r="M7" s="10" t="n">
        <v>49480</v>
      </c>
      <c r="N7" s="10" t="n">
        <v>12000</v>
      </c>
      <c r="O7" s="10" t="n">
        <v>12000</v>
      </c>
      <c r="P7" s="10" t="n">
        <v>37480</v>
      </c>
      <c r="Q7" s="10" t="n">
        <v>11993.6</v>
      </c>
      <c r="R7" s="10" t="n">
        <v>25486.4</v>
      </c>
      <c r="S7" s="10">
        <f>$Q7-$R7</f>
        <v/>
      </c>
      <c r="V7" s="10" t="n"/>
      <c r="W7" s="10" t="n"/>
      <c r="X7" s="10" t="n"/>
      <c r="Y7" s="10" t="n"/>
    </row>
    <row r="8">
      <c r="A8" s="9" t="n">
        <v>1</v>
      </c>
      <c r="B8" s="9" t="n">
        <v>6</v>
      </c>
      <c r="C8" s="8" t="n">
        <v>4</v>
      </c>
      <c r="D8" s="10" t="n">
        <v>120000</v>
      </c>
      <c r="E8" s="10" t="n">
        <v>52000</v>
      </c>
      <c r="F8" s="10" t="n">
        <v>1160</v>
      </c>
      <c r="G8" s="10" t="n">
        <v>960</v>
      </c>
      <c r="H8" s="10" t="n">
        <v>5000</v>
      </c>
      <c r="I8" s="10" t="n">
        <v>5600</v>
      </c>
      <c r="J8" s="10" t="n">
        <v>2000</v>
      </c>
      <c r="K8" s="10" t="n">
        <v>3800</v>
      </c>
      <c r="L8" s="10" t="n">
        <v>70520</v>
      </c>
      <c r="M8" s="10" t="n">
        <v>49480</v>
      </c>
      <c r="N8" s="10" t="n">
        <v>12000</v>
      </c>
      <c r="O8" s="10" t="n">
        <v>12000</v>
      </c>
      <c r="P8" s="10" t="n">
        <v>37480</v>
      </c>
      <c r="Q8" s="10" t="n">
        <v>11993.6</v>
      </c>
      <c r="R8" s="10" t="n">
        <v>25486.4</v>
      </c>
      <c r="S8" s="10">
        <f>$Q8-$R8</f>
        <v/>
      </c>
      <c r="V8" s="10" t="n"/>
      <c r="W8" s="10" t="n"/>
      <c r="X8" s="10" t="n"/>
      <c r="Y8" s="10" t="n"/>
    </row>
    <row r="9">
      <c r="A9" s="9" t="n">
        <v>1</v>
      </c>
      <c r="B9" s="9" t="n">
        <v>7</v>
      </c>
      <c r="C9" s="8" t="n">
        <v>4</v>
      </c>
      <c r="D9" s="10" t="n">
        <v>120000</v>
      </c>
      <c r="E9" s="10" t="n">
        <v>52000</v>
      </c>
      <c r="F9" s="10" t="n">
        <v>1160</v>
      </c>
      <c r="G9" s="10" t="n">
        <v>960</v>
      </c>
      <c r="H9" s="10" t="n">
        <v>5000</v>
      </c>
      <c r="I9" s="10" t="n">
        <v>5600</v>
      </c>
      <c r="J9" s="10" t="n">
        <v>2000</v>
      </c>
      <c r="K9" s="10" t="n">
        <v>3800</v>
      </c>
      <c r="L9" s="10" t="n">
        <v>70520</v>
      </c>
      <c r="M9" s="10" t="n">
        <v>49480</v>
      </c>
      <c r="N9" s="10" t="n">
        <v>12000</v>
      </c>
      <c r="O9" s="10" t="n">
        <v>12000</v>
      </c>
      <c r="P9" s="10" t="n">
        <v>37480</v>
      </c>
      <c r="Q9" s="10" t="n">
        <v>11993.6</v>
      </c>
      <c r="R9" s="10" t="n">
        <v>25486.4</v>
      </c>
      <c r="S9" s="10">
        <f>$Q9-$R9</f>
        <v/>
      </c>
      <c r="T9" s="10" t="n"/>
      <c r="U9" s="10" t="n"/>
      <c r="V9" s="10" t="n"/>
      <c r="W9" s="10" t="n"/>
      <c r="X9" s="10" t="n"/>
      <c r="Y9" s="10" t="n"/>
    </row>
    <row r="10">
      <c r="A10" s="9" t="n">
        <v>1</v>
      </c>
      <c r="B10" s="9" t="n">
        <v>8</v>
      </c>
      <c r="C10" s="8" t="n">
        <v>13</v>
      </c>
      <c r="D10" s="10" t="n">
        <v>390000</v>
      </c>
      <c r="E10" s="10" t="n">
        <v>169000</v>
      </c>
      <c r="F10" s="10" t="n">
        <v>3770</v>
      </c>
      <c r="G10" s="10" t="n">
        <v>3120</v>
      </c>
      <c r="H10" s="10" t="n">
        <v>16250</v>
      </c>
      <c r="I10" s="10" t="n">
        <v>18200</v>
      </c>
      <c r="J10" s="10" t="n">
        <v>6500</v>
      </c>
      <c r="K10" s="10" t="n">
        <v>12350</v>
      </c>
      <c r="L10" s="10" t="n">
        <v>229190</v>
      </c>
      <c r="M10" s="10" t="n">
        <v>160810</v>
      </c>
      <c r="N10" s="10" t="n">
        <v>39000</v>
      </c>
      <c r="O10" s="10" t="n">
        <v>39000</v>
      </c>
      <c r="P10" s="10" t="n">
        <v>121810</v>
      </c>
      <c r="Q10" s="10" t="n">
        <v>38979.2</v>
      </c>
      <c r="R10" s="10" t="n">
        <v>82830.8</v>
      </c>
      <c r="S10" s="10">
        <f>$Q10-$R10</f>
        <v/>
      </c>
      <c r="T10" s="10" t="n"/>
      <c r="U10" s="10" t="n"/>
      <c r="V10" s="10" t="n"/>
      <c r="W10" s="10" t="n"/>
      <c r="X10" s="10" t="n"/>
      <c r="Y10" s="10" t="n"/>
    </row>
    <row r="11">
      <c r="A11" s="9" t="n">
        <v>1</v>
      </c>
      <c r="B11" s="9" t="n">
        <v>9</v>
      </c>
      <c r="C11" s="8" t="n">
        <v>13</v>
      </c>
      <c r="D11" s="10" t="n">
        <v>390000</v>
      </c>
      <c r="E11" s="10" t="n">
        <v>169000</v>
      </c>
      <c r="F11" s="10" t="n">
        <v>3770</v>
      </c>
      <c r="G11" s="10" t="n">
        <v>3120</v>
      </c>
      <c r="H11" s="10" t="n">
        <v>16250</v>
      </c>
      <c r="I11" s="10" t="n">
        <v>18200</v>
      </c>
      <c r="J11" s="10" t="n">
        <v>6500</v>
      </c>
      <c r="K11" s="10" t="n">
        <v>12350</v>
      </c>
      <c r="L11" s="10" t="n">
        <v>229190</v>
      </c>
      <c r="M11" s="10" t="n">
        <v>160810</v>
      </c>
      <c r="N11" s="10" t="n">
        <v>39000</v>
      </c>
      <c r="O11" s="10" t="n">
        <v>39000</v>
      </c>
      <c r="P11" s="10" t="n">
        <v>121810</v>
      </c>
      <c r="Q11" s="10" t="n">
        <v>38979.2</v>
      </c>
      <c r="R11" s="10" t="n">
        <v>82830.8</v>
      </c>
      <c r="S11" s="10">
        <f>$Q11-$R11</f>
        <v/>
      </c>
      <c r="T11" s="10" t="n"/>
      <c r="U11" s="10" t="n"/>
      <c r="V11" s="10" t="n"/>
      <c r="W11" s="10" t="n"/>
      <c r="X11" s="10" t="n"/>
      <c r="Y11" s="10" t="n"/>
    </row>
    <row r="12">
      <c r="A12" s="9" t="n">
        <v>1</v>
      </c>
      <c r="B12" s="9" t="n">
        <v>10</v>
      </c>
      <c r="C12" s="8" t="n">
        <v>13</v>
      </c>
      <c r="D12" s="10" t="n">
        <v>390000</v>
      </c>
      <c r="E12" s="10" t="n">
        <v>169000</v>
      </c>
      <c r="F12" s="10" t="n">
        <v>3770</v>
      </c>
      <c r="G12" s="10" t="n">
        <v>3120</v>
      </c>
      <c r="H12" s="10" t="n">
        <v>16250</v>
      </c>
      <c r="I12" s="10" t="n">
        <v>18200</v>
      </c>
      <c r="J12" s="10" t="n">
        <v>6500</v>
      </c>
      <c r="K12" s="10" t="n">
        <v>12350</v>
      </c>
      <c r="L12" s="10" t="n">
        <v>229190</v>
      </c>
      <c r="M12" s="10" t="n">
        <v>160810</v>
      </c>
      <c r="N12" s="10" t="n">
        <v>39000</v>
      </c>
      <c r="O12" s="10" t="n">
        <v>39000</v>
      </c>
      <c r="P12" s="10" t="n">
        <v>121810</v>
      </c>
      <c r="Q12" s="10" t="n">
        <v>38979.2</v>
      </c>
      <c r="R12" s="10" t="n">
        <v>82830.8</v>
      </c>
      <c r="S12" s="10">
        <f>$Q12-$R12</f>
        <v/>
      </c>
      <c r="T12" s="10" t="n"/>
      <c r="U12" s="10" t="n"/>
      <c r="V12" s="10" t="n"/>
      <c r="W12" s="10" t="n"/>
      <c r="X12" s="10" t="n"/>
      <c r="Y12" s="10" t="n"/>
    </row>
    <row r="13">
      <c r="A13" s="9" t="n">
        <v>1</v>
      </c>
      <c r="B13" s="9" t="n">
        <v>11</v>
      </c>
      <c r="C13" s="8" t="n">
        <v>13</v>
      </c>
      <c r="D13" s="10" t="n">
        <v>390000</v>
      </c>
      <c r="E13" s="10" t="n">
        <v>169000</v>
      </c>
      <c r="F13" s="10" t="n">
        <v>3770</v>
      </c>
      <c r="G13" s="10" t="n">
        <v>3120</v>
      </c>
      <c r="H13" s="10" t="n">
        <v>16250</v>
      </c>
      <c r="I13" s="10" t="n">
        <v>18200</v>
      </c>
      <c r="J13" s="10" t="n">
        <v>6500</v>
      </c>
      <c r="K13" s="10" t="n">
        <v>12350</v>
      </c>
      <c r="L13" s="10" t="n">
        <v>229190</v>
      </c>
      <c r="M13" s="10" t="n">
        <v>160810</v>
      </c>
      <c r="N13" s="10" t="n">
        <v>39000</v>
      </c>
      <c r="O13" s="10" t="n">
        <v>39000</v>
      </c>
      <c r="P13" s="10" t="n">
        <v>121810</v>
      </c>
      <c r="Q13" s="10" t="n">
        <v>38979.2</v>
      </c>
      <c r="R13" s="10" t="n">
        <v>82830.8</v>
      </c>
      <c r="S13" s="10">
        <f>$Q13-$R13</f>
        <v/>
      </c>
      <c r="T13" s="10" t="n"/>
      <c r="U13" s="10" t="n"/>
      <c r="V13" s="10" t="n"/>
      <c r="W13" s="10" t="n"/>
      <c r="X13" s="10" t="n"/>
      <c r="Y13" s="10" t="n"/>
    </row>
    <row r="14">
      <c r="A14" s="9" t="n">
        <v>1</v>
      </c>
      <c r="B14" s="9" t="n">
        <v>12</v>
      </c>
      <c r="C14" s="8" t="n">
        <v>9</v>
      </c>
      <c r="D14" s="10" t="n">
        <v>270000</v>
      </c>
      <c r="E14" s="10" t="n">
        <v>117000</v>
      </c>
      <c r="F14" s="10" t="n">
        <v>2610</v>
      </c>
      <c r="G14" s="10" t="n">
        <v>2160</v>
      </c>
      <c r="H14" s="10" t="n">
        <v>11250</v>
      </c>
      <c r="I14" s="10" t="n">
        <v>12600</v>
      </c>
      <c r="J14" s="10" t="n">
        <v>4500</v>
      </c>
      <c r="K14" s="10" t="n">
        <v>8550</v>
      </c>
      <c r="L14" s="10" t="n">
        <v>158670</v>
      </c>
      <c r="M14" s="10" t="n">
        <v>111330</v>
      </c>
      <c r="N14" s="10" t="n">
        <v>27000</v>
      </c>
      <c r="O14" s="10" t="n">
        <v>27000</v>
      </c>
      <c r="P14" s="10" t="n">
        <v>84330</v>
      </c>
      <c r="Q14" s="10" t="n">
        <v>26985.6</v>
      </c>
      <c r="R14" s="10" t="n">
        <v>57344.4</v>
      </c>
      <c r="S14" s="10">
        <f>$Q14-$R14</f>
        <v/>
      </c>
      <c r="T14" s="10" t="n"/>
      <c r="U14" s="10" t="n"/>
      <c r="V14" s="10" t="n"/>
      <c r="W14" s="10" t="n"/>
      <c r="X14" s="10" t="n"/>
      <c r="Y14" s="10" t="n"/>
    </row>
    <row r="15">
      <c r="A15" s="9" t="n">
        <v>2</v>
      </c>
      <c r="B15" s="9" t="n">
        <v>13</v>
      </c>
      <c r="C15" s="8" t="n">
        <v>13</v>
      </c>
      <c r="D15" s="10" t="n">
        <v>390000</v>
      </c>
      <c r="E15" s="10" t="n">
        <v>169000</v>
      </c>
      <c r="F15" s="10" t="n">
        <v>3770</v>
      </c>
      <c r="G15" s="10" t="n">
        <v>3120</v>
      </c>
      <c r="H15" s="10" t="n">
        <v>16250</v>
      </c>
      <c r="I15" s="10" t="n">
        <v>18200</v>
      </c>
      <c r="J15" s="10" t="n">
        <v>6500</v>
      </c>
      <c r="K15" s="10" t="n">
        <v>12350</v>
      </c>
      <c r="L15" s="10" t="n">
        <v>229190</v>
      </c>
      <c r="M15" s="10" t="n">
        <v>160810</v>
      </c>
      <c r="N15" s="10" t="n">
        <v>39000</v>
      </c>
      <c r="O15" s="10" t="n">
        <v>39000</v>
      </c>
      <c r="P15" s="10" t="n">
        <v>121810</v>
      </c>
      <c r="Q15" s="10" t="n">
        <v>38979.2</v>
      </c>
      <c r="R15" s="10" t="n">
        <v>82830.8</v>
      </c>
      <c r="S15" s="10">
        <f>$Q15-$R15</f>
        <v/>
      </c>
      <c r="T15" s="10" t="n"/>
      <c r="U15" s="10" t="n"/>
      <c r="V15" s="10" t="n"/>
      <c r="W15" s="10" t="n"/>
      <c r="X15" s="10" t="n"/>
      <c r="Y15" s="10" t="n"/>
    </row>
    <row r="16">
      <c r="A16" s="9" t="n">
        <v>2</v>
      </c>
      <c r="B16" s="9" t="n">
        <v>14</v>
      </c>
      <c r="C16" s="8" t="n">
        <v>13</v>
      </c>
      <c r="D16" s="10" t="n">
        <v>390000</v>
      </c>
      <c r="E16" s="10" t="n">
        <v>169000</v>
      </c>
      <c r="F16" s="10" t="n">
        <v>3770</v>
      </c>
      <c r="G16" s="10" t="n">
        <v>3120</v>
      </c>
      <c r="H16" s="10" t="n">
        <v>16250</v>
      </c>
      <c r="I16" s="10" t="n">
        <v>18200</v>
      </c>
      <c r="J16" s="10" t="n">
        <v>6500</v>
      </c>
      <c r="K16" s="10" t="n">
        <v>12350</v>
      </c>
      <c r="L16" s="10" t="n">
        <v>229190</v>
      </c>
      <c r="M16" s="10" t="n">
        <v>160810</v>
      </c>
      <c r="N16" s="10" t="n">
        <v>39000</v>
      </c>
      <c r="O16" s="10" t="n">
        <v>39000</v>
      </c>
      <c r="P16" s="10" t="n">
        <v>121810</v>
      </c>
      <c r="Q16" s="10" t="n">
        <v>38979.2</v>
      </c>
      <c r="R16" s="10" t="n">
        <v>82830.8</v>
      </c>
      <c r="S16" s="10">
        <f>$Q16-$R16</f>
        <v/>
      </c>
      <c r="T16" s="10" t="n"/>
      <c r="U16" s="10" t="n"/>
      <c r="V16" s="10" t="n"/>
      <c r="W16" s="10" t="n"/>
      <c r="X16" s="10" t="n"/>
      <c r="Y16" s="10" t="n"/>
    </row>
    <row r="17">
      <c r="A17" s="9" t="n">
        <v>2</v>
      </c>
      <c r="B17" s="9" t="n">
        <v>15</v>
      </c>
      <c r="C17" s="8" t="n">
        <v>13</v>
      </c>
      <c r="D17" s="10" t="n">
        <v>390000</v>
      </c>
      <c r="E17" s="10" t="n">
        <v>169000</v>
      </c>
      <c r="F17" s="10" t="n">
        <v>3770</v>
      </c>
      <c r="G17" s="10" t="n">
        <v>3120</v>
      </c>
      <c r="H17" s="10" t="n">
        <v>16250</v>
      </c>
      <c r="I17" s="10" t="n">
        <v>18200</v>
      </c>
      <c r="J17" s="10" t="n">
        <v>6500</v>
      </c>
      <c r="K17" s="10" t="n">
        <v>12350</v>
      </c>
      <c r="L17" s="10" t="n">
        <v>229190</v>
      </c>
      <c r="M17" s="10" t="n">
        <v>160810</v>
      </c>
      <c r="N17" s="10" t="n">
        <v>39000</v>
      </c>
      <c r="O17" s="10" t="n">
        <v>39000</v>
      </c>
      <c r="P17" s="10" t="n">
        <v>121810</v>
      </c>
      <c r="Q17" s="10" t="n">
        <v>38979.2</v>
      </c>
      <c r="R17" s="10" t="n">
        <v>82830.8</v>
      </c>
      <c r="S17" s="10">
        <f>$Q17-$R17</f>
        <v/>
      </c>
      <c r="T17" s="10" t="n"/>
      <c r="U17" s="10" t="n"/>
      <c r="V17" s="10" t="n"/>
      <c r="W17" s="10" t="n"/>
      <c r="X17" s="10" t="n"/>
      <c r="Y17" s="10" t="n"/>
    </row>
    <row r="18">
      <c r="A18" s="9" t="n">
        <v>2</v>
      </c>
      <c r="B18" s="9" t="n">
        <v>16</v>
      </c>
      <c r="C18" s="8" t="n">
        <v>17</v>
      </c>
      <c r="D18" s="10" t="n">
        <v>510000</v>
      </c>
      <c r="E18" s="10" t="n">
        <v>221000</v>
      </c>
      <c r="F18" s="10" t="n">
        <v>4930</v>
      </c>
      <c r="G18" s="10" t="n">
        <v>4080</v>
      </c>
      <c r="H18" s="10" t="n">
        <v>21250</v>
      </c>
      <c r="I18" s="10" t="n">
        <v>23800</v>
      </c>
      <c r="J18" s="10" t="n">
        <v>8500</v>
      </c>
      <c r="K18" s="10" t="n">
        <v>16150</v>
      </c>
      <c r="L18" s="10" t="n">
        <v>299710</v>
      </c>
      <c r="M18" s="10" t="n">
        <v>210290</v>
      </c>
      <c r="N18" s="10" t="n">
        <v>51000</v>
      </c>
      <c r="O18" s="10" t="n">
        <v>51000</v>
      </c>
      <c r="P18" s="10" t="n">
        <v>159290</v>
      </c>
      <c r="Q18" s="10" t="n">
        <v>50972.8</v>
      </c>
      <c r="R18" s="10" t="n">
        <v>108317.2</v>
      </c>
      <c r="S18" s="10">
        <f>$Q18-$R18</f>
        <v/>
      </c>
      <c r="T18" s="10" t="n"/>
      <c r="U18" s="10" t="n"/>
      <c r="V18" s="10" t="n"/>
      <c r="W18" s="10" t="n"/>
      <c r="X18" s="10" t="n"/>
      <c r="Y18" s="10" t="n"/>
    </row>
    <row r="19">
      <c r="A19" s="9" t="n">
        <v>2</v>
      </c>
      <c r="B19" s="9" t="n">
        <v>17</v>
      </c>
      <c r="C19" s="8" t="n">
        <v>17</v>
      </c>
      <c r="D19" s="10" t="n">
        <v>510000</v>
      </c>
      <c r="E19" s="10" t="n">
        <v>221000</v>
      </c>
      <c r="F19" s="10" t="n">
        <v>4930</v>
      </c>
      <c r="G19" s="10" t="n">
        <v>4080</v>
      </c>
      <c r="H19" s="10" t="n">
        <v>21250</v>
      </c>
      <c r="I19" s="10" t="n">
        <v>23800</v>
      </c>
      <c r="J19" s="10" t="n">
        <v>8500</v>
      </c>
      <c r="K19" s="10" t="n">
        <v>16150</v>
      </c>
      <c r="L19" s="10" t="n">
        <v>299710</v>
      </c>
      <c r="M19" s="10" t="n">
        <v>210290</v>
      </c>
      <c r="N19" s="10" t="n">
        <v>51000</v>
      </c>
      <c r="O19" s="10" t="n">
        <v>51000</v>
      </c>
      <c r="P19" s="10" t="n">
        <v>159290</v>
      </c>
      <c r="Q19" s="10" t="n">
        <v>50972.8</v>
      </c>
      <c r="R19" s="10" t="n">
        <v>108317.2</v>
      </c>
      <c r="S19" s="10">
        <f>$Q19-$R19</f>
        <v/>
      </c>
      <c r="T19" s="10" t="n"/>
      <c r="U19" s="10" t="n"/>
      <c r="V19" s="10" t="n"/>
      <c r="W19" s="10" t="n"/>
      <c r="X19" s="10" t="n"/>
      <c r="Y19" s="10" t="n"/>
    </row>
    <row r="20">
      <c r="A20" s="9" t="n">
        <v>2</v>
      </c>
      <c r="B20" s="9" t="n">
        <v>18</v>
      </c>
      <c r="C20" s="8" t="n">
        <v>17</v>
      </c>
      <c r="D20" s="10" t="n">
        <v>510000</v>
      </c>
      <c r="E20" s="10" t="n">
        <v>221000</v>
      </c>
      <c r="F20" s="10" t="n">
        <v>4930</v>
      </c>
      <c r="G20" s="10" t="n">
        <v>4080</v>
      </c>
      <c r="H20" s="10" t="n">
        <v>21250</v>
      </c>
      <c r="I20" s="10" t="n">
        <v>23800</v>
      </c>
      <c r="J20" s="10" t="n">
        <v>8500</v>
      </c>
      <c r="K20" s="10" t="n">
        <v>16150</v>
      </c>
      <c r="L20" s="10" t="n">
        <v>299710</v>
      </c>
      <c r="M20" s="10" t="n">
        <v>210290</v>
      </c>
      <c r="N20" s="10" t="n">
        <v>51000</v>
      </c>
      <c r="O20" s="10" t="n">
        <v>51000</v>
      </c>
      <c r="P20" s="10" t="n">
        <v>159290</v>
      </c>
      <c r="Q20" s="10" t="n">
        <v>50972.8</v>
      </c>
      <c r="R20" s="10" t="n">
        <v>108317.2</v>
      </c>
      <c r="S20" s="10">
        <f>$Q20-$R20</f>
        <v/>
      </c>
      <c r="T20" s="10" t="n"/>
      <c r="U20" s="10" t="n"/>
      <c r="V20" s="10" t="n"/>
      <c r="W20" s="10" t="n"/>
      <c r="X20" s="10" t="n"/>
      <c r="Y20" s="10" t="n"/>
    </row>
    <row r="21">
      <c r="A21" s="9" t="n">
        <v>2</v>
      </c>
      <c r="B21" s="9" t="n">
        <v>19</v>
      </c>
      <c r="C21" s="8" t="n">
        <v>12</v>
      </c>
      <c r="D21" s="10" t="n">
        <v>360000</v>
      </c>
      <c r="E21" s="10" t="n">
        <v>156000</v>
      </c>
      <c r="F21" s="10" t="n">
        <v>3480</v>
      </c>
      <c r="G21" s="10" t="n">
        <v>2880</v>
      </c>
      <c r="H21" s="10" t="n">
        <v>15000</v>
      </c>
      <c r="I21" s="10" t="n">
        <v>16800</v>
      </c>
      <c r="J21" s="10" t="n">
        <v>6000</v>
      </c>
      <c r="K21" s="10" t="n">
        <v>11400</v>
      </c>
      <c r="L21" s="10" t="n">
        <v>211560</v>
      </c>
      <c r="M21" s="10" t="n">
        <v>148440</v>
      </c>
      <c r="N21" s="10" t="n">
        <v>36000</v>
      </c>
      <c r="O21" s="10" t="n">
        <v>36000</v>
      </c>
      <c r="P21" s="10" t="n">
        <v>112440</v>
      </c>
      <c r="Q21" s="10" t="n">
        <v>35980.8</v>
      </c>
      <c r="R21" s="10" t="n">
        <v>76459.2</v>
      </c>
      <c r="S21" s="10">
        <f>$Q21-$R21</f>
        <v/>
      </c>
      <c r="T21" s="10" t="n"/>
      <c r="U21" s="10" t="n"/>
      <c r="V21" s="10" t="n"/>
      <c r="W21" s="10" t="n"/>
      <c r="X21" s="10" t="n"/>
      <c r="Y21" s="10" t="n"/>
    </row>
    <row r="22">
      <c r="A22" s="9" t="n">
        <v>2</v>
      </c>
      <c r="B22" s="9" t="n">
        <v>20</v>
      </c>
      <c r="C22" s="8" t="n">
        <v>12</v>
      </c>
      <c r="D22" s="10" t="n">
        <v>360000</v>
      </c>
      <c r="E22" s="10" t="n">
        <v>156000</v>
      </c>
      <c r="F22" s="10" t="n">
        <v>3480</v>
      </c>
      <c r="G22" s="10" t="n">
        <v>2880</v>
      </c>
      <c r="H22" s="10" t="n">
        <v>15000</v>
      </c>
      <c r="I22" s="10" t="n">
        <v>16800</v>
      </c>
      <c r="J22" s="10" t="n">
        <v>6000</v>
      </c>
      <c r="K22" s="10" t="n">
        <v>11400</v>
      </c>
      <c r="L22" s="10" t="n">
        <v>211560</v>
      </c>
      <c r="M22" s="10" t="n">
        <v>148440</v>
      </c>
      <c r="N22" s="10" t="n">
        <v>36000</v>
      </c>
      <c r="O22" s="10" t="n">
        <v>36000</v>
      </c>
      <c r="P22" s="10" t="n">
        <v>112440</v>
      </c>
      <c r="Q22" s="10" t="n">
        <v>35980.8</v>
      </c>
      <c r="R22" s="10" t="n">
        <v>76459.2</v>
      </c>
      <c r="S22" s="10">
        <f>$Q22-$R22</f>
        <v/>
      </c>
      <c r="T22" s="10" t="n"/>
      <c r="U22" s="10" t="n"/>
      <c r="V22" s="10" t="n"/>
      <c r="W22" s="10" t="n"/>
      <c r="X22" s="10" t="n"/>
      <c r="Y22" s="10" t="n"/>
    </row>
    <row r="23">
      <c r="A23" s="9" t="n">
        <v>2</v>
      </c>
      <c r="B23" s="9" t="n">
        <v>21</v>
      </c>
      <c r="C23" s="8" t="n">
        <v>16</v>
      </c>
      <c r="D23" s="10" t="n">
        <v>480000</v>
      </c>
      <c r="E23" s="10" t="n">
        <v>208000</v>
      </c>
      <c r="F23" s="10" t="n">
        <v>4640</v>
      </c>
      <c r="G23" s="10" t="n">
        <v>3840</v>
      </c>
      <c r="H23" s="10" t="n">
        <v>20000</v>
      </c>
      <c r="I23" s="10" t="n">
        <v>22400</v>
      </c>
      <c r="J23" s="10" t="n">
        <v>8000</v>
      </c>
      <c r="K23" s="10" t="n">
        <v>15200</v>
      </c>
      <c r="L23" s="10" t="n">
        <v>282080</v>
      </c>
      <c r="M23" s="10" t="n">
        <v>197920</v>
      </c>
      <c r="N23" s="10" t="n">
        <v>48000</v>
      </c>
      <c r="O23" s="10" t="n">
        <v>48000</v>
      </c>
      <c r="P23" s="10" t="n">
        <v>149920</v>
      </c>
      <c r="Q23" s="10" t="n">
        <v>47974.4</v>
      </c>
      <c r="R23" s="10" t="n">
        <v>101945.6</v>
      </c>
      <c r="S23" s="10">
        <f>$Q23-$R23</f>
        <v/>
      </c>
      <c r="T23" s="10" t="n"/>
      <c r="U23" s="10" t="n"/>
      <c r="V23" s="10" t="n"/>
      <c r="W23" s="10" t="n"/>
      <c r="X23" s="10" t="n"/>
      <c r="Y23" s="10" t="n"/>
    </row>
    <row r="24">
      <c r="A24" s="9" t="n">
        <v>2</v>
      </c>
      <c r="B24" s="9" t="n">
        <v>22</v>
      </c>
      <c r="C24" s="8" t="n">
        <v>16</v>
      </c>
      <c r="D24" s="10" t="n">
        <v>480000</v>
      </c>
      <c r="E24" s="10" t="n">
        <v>208000</v>
      </c>
      <c r="F24" s="10" t="n">
        <v>4640</v>
      </c>
      <c r="G24" s="10" t="n">
        <v>3840</v>
      </c>
      <c r="H24" s="10" t="n">
        <v>20000</v>
      </c>
      <c r="I24" s="10" t="n">
        <v>22400</v>
      </c>
      <c r="J24" s="10" t="n">
        <v>8000</v>
      </c>
      <c r="K24" s="10" t="n">
        <v>15200</v>
      </c>
      <c r="L24" s="10" t="n">
        <v>282080</v>
      </c>
      <c r="M24" s="10" t="n">
        <v>197920</v>
      </c>
      <c r="N24" s="10" t="n">
        <v>48000</v>
      </c>
      <c r="O24" s="10" t="n">
        <v>48000</v>
      </c>
      <c r="P24" s="10" t="n">
        <v>149920</v>
      </c>
      <c r="Q24" s="10" t="n">
        <v>47974.4</v>
      </c>
      <c r="R24" s="10" t="n">
        <v>101945.6</v>
      </c>
      <c r="S24" s="10">
        <f>$Q24-$R24</f>
        <v/>
      </c>
      <c r="T24" s="10" t="n"/>
      <c r="U24" s="10" t="n"/>
      <c r="V24" s="10" t="n"/>
      <c r="W24" s="10" t="n"/>
      <c r="X24" s="10" t="n"/>
      <c r="Y24" s="10" t="n"/>
    </row>
    <row r="25">
      <c r="A25" s="9" t="n">
        <v>2</v>
      </c>
      <c r="B25" s="9" t="n">
        <v>23</v>
      </c>
      <c r="C25" s="8" t="n">
        <v>16</v>
      </c>
      <c r="D25" s="10" t="n">
        <v>480000</v>
      </c>
      <c r="E25" s="10" t="n">
        <v>208000</v>
      </c>
      <c r="F25" s="10" t="n">
        <v>4640</v>
      </c>
      <c r="G25" s="10" t="n">
        <v>3840</v>
      </c>
      <c r="H25" s="10" t="n">
        <v>20000</v>
      </c>
      <c r="I25" s="10" t="n">
        <v>22400</v>
      </c>
      <c r="J25" s="10" t="n">
        <v>8000</v>
      </c>
      <c r="K25" s="10" t="n">
        <v>15200</v>
      </c>
      <c r="L25" s="10" t="n">
        <v>282080</v>
      </c>
      <c r="M25" s="10" t="n">
        <v>197920</v>
      </c>
      <c r="N25" s="10" t="n">
        <v>48000</v>
      </c>
      <c r="O25" s="10" t="n">
        <v>48000</v>
      </c>
      <c r="P25" s="10" t="n">
        <v>149920</v>
      </c>
      <c r="Q25" s="10" t="n">
        <v>47974.4</v>
      </c>
      <c r="R25" s="10" t="n">
        <v>101945.6</v>
      </c>
      <c r="S25" s="10">
        <f>$Q25-$R25</f>
        <v/>
      </c>
      <c r="T25" s="10" t="n"/>
      <c r="U25" s="10" t="n"/>
      <c r="V25" s="10" t="n"/>
      <c r="W25" s="10" t="n"/>
      <c r="X25" s="10" t="n"/>
      <c r="Y25" s="10" t="n"/>
    </row>
    <row r="26">
      <c r="A26" s="9" t="n">
        <v>2</v>
      </c>
      <c r="B26" s="9" t="n">
        <v>24</v>
      </c>
      <c r="C26" s="8" t="n">
        <v>16</v>
      </c>
      <c r="D26" s="10" t="n">
        <v>480000</v>
      </c>
      <c r="E26" s="10" t="n">
        <v>208000</v>
      </c>
      <c r="F26" s="10" t="n">
        <v>4640</v>
      </c>
      <c r="G26" s="10" t="n">
        <v>3840</v>
      </c>
      <c r="H26" s="10" t="n">
        <v>20000</v>
      </c>
      <c r="I26" s="10" t="n">
        <v>22400</v>
      </c>
      <c r="J26" s="10" t="n">
        <v>8000</v>
      </c>
      <c r="K26" s="10" t="n">
        <v>15200</v>
      </c>
      <c r="L26" s="10" t="n">
        <v>282080</v>
      </c>
      <c r="M26" s="10" t="n">
        <v>197920</v>
      </c>
      <c r="N26" s="10" t="n">
        <v>48000</v>
      </c>
      <c r="O26" s="10" t="n">
        <v>48000</v>
      </c>
      <c r="P26" s="10" t="n">
        <v>149920</v>
      </c>
      <c r="Q26" s="10" t="n">
        <v>47974.4</v>
      </c>
      <c r="R26" s="10" t="n">
        <v>101945.6</v>
      </c>
      <c r="S26" s="10">
        <f>$Q26-$R26</f>
        <v/>
      </c>
      <c r="T26" s="10" t="n"/>
      <c r="U26" s="10" t="n"/>
      <c r="V26" s="10" t="n"/>
      <c r="W26" s="10" t="n"/>
      <c r="X26" s="10" t="n"/>
      <c r="Y26" s="10" t="n"/>
    </row>
    <row r="27">
      <c r="A27" s="9" t="n">
        <v>3</v>
      </c>
      <c r="B27" s="9" t="n">
        <v>25</v>
      </c>
      <c r="C27" s="8" t="n">
        <v>16</v>
      </c>
      <c r="D27" s="10" t="n">
        <v>480000</v>
      </c>
      <c r="E27" s="10" t="n">
        <v>208000</v>
      </c>
      <c r="F27" s="10" t="n">
        <v>4640</v>
      </c>
      <c r="G27" s="10" t="n">
        <v>3840</v>
      </c>
      <c r="H27" s="10" t="n">
        <v>20000</v>
      </c>
      <c r="I27" s="10" t="n">
        <v>22400</v>
      </c>
      <c r="J27" s="10" t="n">
        <v>8000</v>
      </c>
      <c r="K27" s="10" t="n">
        <v>15200</v>
      </c>
      <c r="L27" s="10" t="n">
        <v>282080</v>
      </c>
      <c r="M27" s="10" t="n">
        <v>197920</v>
      </c>
      <c r="N27" s="10" t="n">
        <v>48000</v>
      </c>
      <c r="O27" s="10" t="n">
        <v>48000</v>
      </c>
      <c r="P27" s="10" t="n">
        <v>149920</v>
      </c>
      <c r="Q27" s="10" t="n">
        <v>47974.4</v>
      </c>
      <c r="R27" s="10" t="n">
        <v>101945.6</v>
      </c>
      <c r="S27" s="10">
        <f>$Q27-$R27</f>
        <v/>
      </c>
      <c r="T27" s="10" t="n"/>
      <c r="U27" s="10" t="n"/>
      <c r="V27" s="10" t="n"/>
      <c r="W27" s="10" t="n"/>
      <c r="X27" s="10" t="n"/>
      <c r="Y27" s="10" t="n"/>
    </row>
    <row r="28">
      <c r="A28" s="9" t="n">
        <v>3</v>
      </c>
      <c r="B28" s="9" t="n">
        <v>26</v>
      </c>
      <c r="C28" s="8" t="n">
        <v>20</v>
      </c>
      <c r="D28" s="10" t="n">
        <v>600000</v>
      </c>
      <c r="E28" s="10" t="n">
        <v>260000</v>
      </c>
      <c r="F28" s="10" t="n">
        <v>5800</v>
      </c>
      <c r="G28" s="10" t="n">
        <v>4800</v>
      </c>
      <c r="H28" s="10" t="n">
        <v>25000</v>
      </c>
      <c r="I28" s="10" t="n">
        <v>28000</v>
      </c>
      <c r="J28" s="10" t="n">
        <v>10000</v>
      </c>
      <c r="K28" s="10" t="n">
        <v>19000</v>
      </c>
      <c r="L28" s="10" t="n">
        <v>352600</v>
      </c>
      <c r="M28" s="10" t="n">
        <v>247400</v>
      </c>
      <c r="N28" s="10" t="n">
        <v>60000</v>
      </c>
      <c r="O28" s="10" t="n">
        <v>60000</v>
      </c>
      <c r="P28" s="10" t="n">
        <v>187400</v>
      </c>
      <c r="Q28" s="10" t="n">
        <v>59968</v>
      </c>
      <c r="R28" s="10" t="n">
        <v>127432</v>
      </c>
      <c r="S28" s="10">
        <f>$Q28-$R28</f>
        <v/>
      </c>
      <c r="T28" s="10" t="n"/>
      <c r="U28" s="10" t="n"/>
      <c r="V28" s="10" t="n"/>
      <c r="W28" s="10" t="n"/>
      <c r="X28" s="10" t="n"/>
      <c r="Y28" s="10" t="n"/>
    </row>
    <row r="29">
      <c r="A29" s="9" t="n">
        <v>3</v>
      </c>
      <c r="B29" s="9" t="n">
        <v>27</v>
      </c>
      <c r="C29" s="8" t="n">
        <v>16</v>
      </c>
      <c r="D29" s="10" t="n">
        <v>480000</v>
      </c>
      <c r="E29" s="10" t="n">
        <v>208000</v>
      </c>
      <c r="F29" s="10" t="n">
        <v>4640</v>
      </c>
      <c r="G29" s="10" t="n">
        <v>3840</v>
      </c>
      <c r="H29" s="10" t="n">
        <v>20000</v>
      </c>
      <c r="I29" s="10" t="n">
        <v>22400</v>
      </c>
      <c r="J29" s="10" t="n">
        <v>8000</v>
      </c>
      <c r="K29" s="10" t="n">
        <v>15200</v>
      </c>
      <c r="L29" s="10" t="n">
        <v>282080</v>
      </c>
      <c r="M29" s="10" t="n">
        <v>197920</v>
      </c>
      <c r="N29" s="10" t="n">
        <v>48000</v>
      </c>
      <c r="O29" s="10" t="n">
        <v>48000</v>
      </c>
      <c r="P29" s="10" t="n">
        <v>149920</v>
      </c>
      <c r="Q29" s="10" t="n">
        <v>47974.4</v>
      </c>
      <c r="R29" s="10" t="n">
        <v>101945.6</v>
      </c>
      <c r="S29" s="10">
        <f>$Q29-$R29</f>
        <v/>
      </c>
      <c r="T29" s="10" t="n"/>
      <c r="U29" s="10" t="n"/>
      <c r="V29" s="10" t="n"/>
      <c r="W29" s="10" t="n"/>
      <c r="X29" s="10" t="n"/>
      <c r="Y29" s="10" t="n"/>
    </row>
    <row r="30">
      <c r="A30" s="9" t="n">
        <v>3</v>
      </c>
      <c r="B30" s="9" t="n">
        <v>28</v>
      </c>
      <c r="C30" s="8" t="n">
        <v>16</v>
      </c>
      <c r="D30" s="10" t="n">
        <v>480000</v>
      </c>
      <c r="E30" s="10" t="n">
        <v>208000</v>
      </c>
      <c r="F30" s="10" t="n">
        <v>4640</v>
      </c>
      <c r="G30" s="10" t="n">
        <v>3840</v>
      </c>
      <c r="H30" s="10" t="n">
        <v>20000</v>
      </c>
      <c r="I30" s="10" t="n">
        <v>22400</v>
      </c>
      <c r="J30" s="10" t="n">
        <v>8000</v>
      </c>
      <c r="K30" s="10" t="n">
        <v>15200</v>
      </c>
      <c r="L30" s="10" t="n">
        <v>282080</v>
      </c>
      <c r="M30" s="10" t="n">
        <v>197920</v>
      </c>
      <c r="N30" s="10" t="n">
        <v>48000</v>
      </c>
      <c r="O30" s="10" t="n">
        <v>48000</v>
      </c>
      <c r="P30" s="10" t="n">
        <v>149920</v>
      </c>
      <c r="Q30" s="10" t="n">
        <v>47974.4</v>
      </c>
      <c r="R30" s="10" t="n">
        <v>101945.6</v>
      </c>
      <c r="S30" s="10">
        <f>$Q30-$R30</f>
        <v/>
      </c>
      <c r="T30" s="10" t="n"/>
      <c r="U30" s="10" t="n"/>
      <c r="V30" s="10" t="n"/>
      <c r="W30" s="10" t="n"/>
      <c r="X30" s="10" t="n"/>
      <c r="Y30" s="10" t="n"/>
    </row>
    <row r="31">
      <c r="A31" s="9" t="n">
        <v>3</v>
      </c>
      <c r="B31" s="9" t="n">
        <v>29</v>
      </c>
      <c r="C31" s="8" t="n">
        <v>21</v>
      </c>
      <c r="D31" s="10" t="n">
        <v>630000</v>
      </c>
      <c r="E31" s="10" t="n">
        <v>273000</v>
      </c>
      <c r="F31" s="10" t="n">
        <v>6090</v>
      </c>
      <c r="G31" s="10" t="n">
        <v>5040</v>
      </c>
      <c r="H31" s="10" t="n">
        <v>26250</v>
      </c>
      <c r="I31" s="10" t="n">
        <v>29400</v>
      </c>
      <c r="J31" s="10" t="n">
        <v>10500</v>
      </c>
      <c r="K31" s="10" t="n">
        <v>19950</v>
      </c>
      <c r="L31" s="10" t="n">
        <v>370230</v>
      </c>
      <c r="M31" s="10" t="n">
        <v>259770</v>
      </c>
      <c r="N31" s="10" t="n">
        <v>63000</v>
      </c>
      <c r="O31" s="10" t="n">
        <v>63000</v>
      </c>
      <c r="P31" s="10" t="n">
        <v>196770</v>
      </c>
      <c r="Q31" s="10" t="n">
        <v>62966.4</v>
      </c>
      <c r="R31" s="10" t="n">
        <v>133803.6</v>
      </c>
      <c r="S31" s="10">
        <f>$Q31-$R31</f>
        <v/>
      </c>
      <c r="T31" s="10" t="n"/>
      <c r="U31" s="10" t="n"/>
      <c r="V31" s="10" t="n"/>
      <c r="W31" s="10" t="n"/>
      <c r="X31" s="10" t="n"/>
      <c r="Y31" s="10" t="n"/>
    </row>
    <row r="32">
      <c r="A32" s="9" t="n">
        <v>3</v>
      </c>
      <c r="B32" s="9" t="n">
        <v>30</v>
      </c>
      <c r="C32" s="8" t="n">
        <v>17</v>
      </c>
      <c r="D32" s="10" t="n">
        <v>510000</v>
      </c>
      <c r="E32" s="10" t="n">
        <v>221000</v>
      </c>
      <c r="F32" s="10" t="n">
        <v>4930</v>
      </c>
      <c r="G32" s="10" t="n">
        <v>4080</v>
      </c>
      <c r="H32" s="10" t="n">
        <v>21250</v>
      </c>
      <c r="I32" s="10" t="n">
        <v>23800</v>
      </c>
      <c r="J32" s="10" t="n">
        <v>8500</v>
      </c>
      <c r="K32" s="10" t="n">
        <v>16150</v>
      </c>
      <c r="L32" s="10" t="n">
        <v>299710</v>
      </c>
      <c r="M32" s="10" t="n">
        <v>210290</v>
      </c>
      <c r="N32" s="10" t="n">
        <v>51000</v>
      </c>
      <c r="O32" s="10" t="n">
        <v>51000</v>
      </c>
      <c r="P32" s="10" t="n">
        <v>159290</v>
      </c>
      <c r="Q32" s="10" t="n">
        <v>50972.8</v>
      </c>
      <c r="R32" s="10" t="n">
        <v>108317.2</v>
      </c>
      <c r="S32" s="10">
        <f>$Q32-$R32</f>
        <v/>
      </c>
      <c r="T32" s="10" t="n"/>
      <c r="U32" s="10" t="n"/>
      <c r="V32" s="10" t="n"/>
      <c r="W32" s="10" t="n"/>
      <c r="X32" s="10" t="n"/>
      <c r="Y32" s="10" t="n"/>
    </row>
    <row r="33">
      <c r="A33" s="9" t="n">
        <v>3</v>
      </c>
      <c r="B33" s="9" t="n">
        <v>31</v>
      </c>
      <c r="C33" s="8" t="n">
        <v>21</v>
      </c>
      <c r="D33" s="10" t="n">
        <v>630000</v>
      </c>
      <c r="E33" s="10" t="n">
        <v>273000</v>
      </c>
      <c r="F33" s="10" t="n">
        <v>6090</v>
      </c>
      <c r="G33" s="10" t="n">
        <v>5040</v>
      </c>
      <c r="H33" s="10" t="n">
        <v>26250</v>
      </c>
      <c r="I33" s="10" t="n">
        <v>29400</v>
      </c>
      <c r="J33" s="10" t="n">
        <v>10500</v>
      </c>
      <c r="K33" s="10" t="n">
        <v>19950</v>
      </c>
      <c r="L33" s="10" t="n">
        <v>370230</v>
      </c>
      <c r="M33" s="10" t="n">
        <v>259770</v>
      </c>
      <c r="N33" s="10" t="n">
        <v>63000</v>
      </c>
      <c r="O33" s="10" t="n">
        <v>63000</v>
      </c>
      <c r="P33" s="10" t="n">
        <v>196770</v>
      </c>
      <c r="Q33" s="10" t="n">
        <v>62966.4</v>
      </c>
      <c r="R33" s="10" t="n">
        <v>133803.6</v>
      </c>
      <c r="S33" s="10">
        <f>$Q33-$R33</f>
        <v/>
      </c>
      <c r="T33" s="10" t="n"/>
      <c r="U33" s="10" t="n"/>
      <c r="V33" s="10" t="n"/>
      <c r="W33" s="10" t="n"/>
      <c r="X33" s="10" t="n"/>
      <c r="Y33" s="10" t="n"/>
    </row>
    <row r="34">
      <c r="A34" s="9" t="n">
        <v>3</v>
      </c>
      <c r="B34" s="9" t="n">
        <v>32</v>
      </c>
      <c r="C34" s="8" t="n">
        <v>17</v>
      </c>
      <c r="D34" s="10" t="n">
        <v>510000</v>
      </c>
      <c r="E34" s="10" t="n">
        <v>221000</v>
      </c>
      <c r="F34" s="10" t="n">
        <v>4930</v>
      </c>
      <c r="G34" s="10" t="n">
        <v>4080</v>
      </c>
      <c r="H34" s="10" t="n">
        <v>21250</v>
      </c>
      <c r="I34" s="10" t="n">
        <v>23800</v>
      </c>
      <c r="J34" s="10" t="n">
        <v>8500</v>
      </c>
      <c r="K34" s="10" t="n">
        <v>16150</v>
      </c>
      <c r="L34" s="10" t="n">
        <v>299710</v>
      </c>
      <c r="M34" s="10" t="n">
        <v>210290</v>
      </c>
      <c r="N34" s="10" t="n">
        <v>51000</v>
      </c>
      <c r="O34" s="10" t="n">
        <v>51000</v>
      </c>
      <c r="P34" s="10" t="n">
        <v>159290</v>
      </c>
      <c r="Q34" s="10" t="n">
        <v>50972.8</v>
      </c>
      <c r="R34" s="10" t="n">
        <v>108317.2</v>
      </c>
      <c r="S34" s="10">
        <f>$Q34-$R34</f>
        <v/>
      </c>
      <c r="T34" s="10" t="n"/>
      <c r="U34" s="10" t="n"/>
      <c r="V34" s="10" t="n"/>
      <c r="W34" s="10" t="n"/>
      <c r="X34" s="10" t="n"/>
      <c r="Y34" s="10" t="n"/>
    </row>
    <row r="35">
      <c r="A35" s="9" t="n">
        <v>3</v>
      </c>
      <c r="B35" s="9" t="n">
        <v>33</v>
      </c>
      <c r="C35" s="8" t="n">
        <v>21</v>
      </c>
      <c r="D35" s="10" t="n">
        <v>630000</v>
      </c>
      <c r="E35" s="10" t="n">
        <v>273000</v>
      </c>
      <c r="F35" s="10" t="n">
        <v>6090</v>
      </c>
      <c r="G35" s="10" t="n">
        <v>5040</v>
      </c>
      <c r="H35" s="10" t="n">
        <v>26250</v>
      </c>
      <c r="I35" s="10" t="n">
        <v>29400</v>
      </c>
      <c r="J35" s="10" t="n">
        <v>10500</v>
      </c>
      <c r="K35" s="10" t="n">
        <v>19950</v>
      </c>
      <c r="L35" s="10" t="n">
        <v>370230</v>
      </c>
      <c r="M35" s="10" t="n">
        <v>259770</v>
      </c>
      <c r="N35" s="10" t="n">
        <v>63000</v>
      </c>
      <c r="O35" s="10" t="n">
        <v>63000</v>
      </c>
      <c r="P35" s="10" t="n">
        <v>196770</v>
      </c>
      <c r="Q35" s="10" t="n">
        <v>62966.4</v>
      </c>
      <c r="R35" s="10" t="n">
        <v>133803.6</v>
      </c>
      <c r="S35" s="10">
        <f>$Q35-$R35</f>
        <v/>
      </c>
      <c r="T35" s="10" t="n"/>
      <c r="U35" s="10" t="n"/>
      <c r="V35" s="10" t="n"/>
      <c r="W35" s="10" t="n"/>
      <c r="X35" s="10" t="n"/>
      <c r="Y35" s="10" t="n"/>
    </row>
    <row r="36">
      <c r="A36" s="9" t="n">
        <v>3</v>
      </c>
      <c r="B36" s="9" t="n">
        <v>34</v>
      </c>
      <c r="C36" s="8" t="n">
        <v>21</v>
      </c>
      <c r="D36" s="10" t="n">
        <v>630000</v>
      </c>
      <c r="E36" s="10" t="n">
        <v>273000</v>
      </c>
      <c r="F36" s="10" t="n">
        <v>6090</v>
      </c>
      <c r="G36" s="10" t="n">
        <v>5040</v>
      </c>
      <c r="H36" s="10" t="n">
        <v>26250</v>
      </c>
      <c r="I36" s="10" t="n">
        <v>29400</v>
      </c>
      <c r="J36" s="10" t="n">
        <v>10500</v>
      </c>
      <c r="K36" s="10" t="n">
        <v>19950</v>
      </c>
      <c r="L36" s="10" t="n">
        <v>370230</v>
      </c>
      <c r="M36" s="10" t="n">
        <v>259770</v>
      </c>
      <c r="N36" s="10" t="n">
        <v>63000</v>
      </c>
      <c r="O36" s="10" t="n">
        <v>63000</v>
      </c>
      <c r="P36" s="10" t="n">
        <v>196770</v>
      </c>
      <c r="Q36" s="10" t="n">
        <v>62966.4</v>
      </c>
      <c r="R36" s="10" t="n">
        <v>133803.6</v>
      </c>
      <c r="S36" s="10">
        <f>$Q36-$R36</f>
        <v/>
      </c>
      <c r="T36" s="10" t="n"/>
      <c r="U36" s="10" t="n"/>
      <c r="V36" s="10" t="n"/>
      <c r="W36" s="10" t="n"/>
      <c r="X36" s="10" t="n"/>
      <c r="Y36" s="10" t="n"/>
    </row>
    <row r="37">
      <c r="A37" s="9" t="n">
        <v>3</v>
      </c>
      <c r="B37" s="9" t="n">
        <v>35</v>
      </c>
      <c r="C37" s="8" t="n">
        <v>21</v>
      </c>
      <c r="D37" s="10" t="n">
        <v>630000</v>
      </c>
      <c r="E37" s="10" t="n">
        <v>273000</v>
      </c>
      <c r="F37" s="10" t="n">
        <v>6090</v>
      </c>
      <c r="G37" s="10" t="n">
        <v>5040</v>
      </c>
      <c r="H37" s="10" t="n">
        <v>26250</v>
      </c>
      <c r="I37" s="10" t="n">
        <v>29400</v>
      </c>
      <c r="J37" s="10" t="n">
        <v>10500</v>
      </c>
      <c r="K37" s="10" t="n">
        <v>19950</v>
      </c>
      <c r="L37" s="10" t="n">
        <v>370230</v>
      </c>
      <c r="M37" s="10" t="n">
        <v>259770</v>
      </c>
      <c r="N37" s="10" t="n">
        <v>63000</v>
      </c>
      <c r="O37" s="10" t="n">
        <v>63000</v>
      </c>
      <c r="P37" s="10" t="n">
        <v>196770</v>
      </c>
      <c r="Q37" s="10" t="n">
        <v>62966.4</v>
      </c>
      <c r="R37" s="10" t="n">
        <v>133803.6</v>
      </c>
      <c r="S37" s="10">
        <f>$Q37-$R37</f>
        <v/>
      </c>
      <c r="T37" s="10" t="n"/>
      <c r="U37" s="10" t="n"/>
      <c r="V37" s="10" t="n"/>
      <c r="W37" s="10" t="n"/>
      <c r="X37" s="10" t="n"/>
      <c r="Y37" s="10" t="n"/>
    </row>
    <row r="38">
      <c r="A38" s="9" t="n">
        <v>3</v>
      </c>
      <c r="B38" s="9" t="n">
        <v>36</v>
      </c>
      <c r="C38" s="8" t="n">
        <v>21</v>
      </c>
      <c r="D38" s="10" t="n">
        <v>630000</v>
      </c>
      <c r="E38" s="10" t="n">
        <v>273000</v>
      </c>
      <c r="F38" s="10" t="n">
        <v>6090</v>
      </c>
      <c r="G38" s="10" t="n">
        <v>5040</v>
      </c>
      <c r="H38" s="10" t="n">
        <v>26250</v>
      </c>
      <c r="I38" s="10" t="n">
        <v>29400</v>
      </c>
      <c r="J38" s="10" t="n">
        <v>10500</v>
      </c>
      <c r="K38" s="10" t="n">
        <v>19950</v>
      </c>
      <c r="L38" s="10" t="n">
        <v>370230</v>
      </c>
      <c r="M38" s="10" t="n">
        <v>259770</v>
      </c>
      <c r="N38" s="10" t="n">
        <v>63000</v>
      </c>
      <c r="O38" s="10" t="n">
        <v>63000</v>
      </c>
      <c r="P38" s="10" t="n">
        <v>196770</v>
      </c>
      <c r="Q38" s="10" t="n">
        <v>62966.4</v>
      </c>
      <c r="R38" s="10" t="n">
        <v>133803.6</v>
      </c>
      <c r="S38" s="10">
        <f>$Q38-$R38</f>
        <v/>
      </c>
      <c r="T38" s="10" t="n"/>
      <c r="U38" s="10" t="n"/>
      <c r="V38" s="10" t="n"/>
      <c r="W38" s="10" t="n"/>
      <c r="X38" s="10" t="n"/>
      <c r="Y38" s="10" t="n"/>
    </row>
    <row r="39">
      <c r="A39" s="9" t="n">
        <v>4</v>
      </c>
      <c r="B39" s="9" t="n">
        <v>37</v>
      </c>
      <c r="C39" s="8" t="n">
        <v>21</v>
      </c>
      <c r="D39" s="10" t="n">
        <v>630000</v>
      </c>
      <c r="E39" s="10" t="n">
        <v>273000</v>
      </c>
      <c r="F39" s="10" t="n">
        <v>6090</v>
      </c>
      <c r="G39" s="10" t="n">
        <v>5040</v>
      </c>
      <c r="H39" s="10" t="n">
        <v>26250</v>
      </c>
      <c r="I39" s="10" t="n">
        <v>29400</v>
      </c>
      <c r="J39" s="10" t="n">
        <v>10500</v>
      </c>
      <c r="K39" s="10" t="n">
        <v>19950</v>
      </c>
      <c r="L39" s="10" t="n">
        <v>370230</v>
      </c>
      <c r="M39" s="10" t="n">
        <v>259770</v>
      </c>
      <c r="N39" s="10" t="n">
        <v>63000</v>
      </c>
      <c r="O39" s="10" t="n">
        <v>63000</v>
      </c>
      <c r="P39" s="10" t="n">
        <v>196770</v>
      </c>
      <c r="Q39" s="10" t="n">
        <v>62966.4</v>
      </c>
      <c r="R39" s="10" t="n">
        <v>133803.6</v>
      </c>
      <c r="S39" s="10">
        <f>$Q39-$R39</f>
        <v/>
      </c>
      <c r="T39" s="10" t="n"/>
      <c r="U39" s="10" t="n"/>
      <c r="V39" s="10" t="n"/>
      <c r="W39" s="10" t="n"/>
      <c r="X39" s="10" t="n"/>
      <c r="Y39" s="10" t="n"/>
    </row>
    <row r="40">
      <c r="A40" s="9" t="n">
        <v>4</v>
      </c>
      <c r="B40" s="9" t="n">
        <v>38</v>
      </c>
      <c r="C40" s="8" t="n">
        <v>21</v>
      </c>
      <c r="D40" s="10" t="n">
        <v>630000</v>
      </c>
      <c r="E40" s="10" t="n">
        <v>273000</v>
      </c>
      <c r="F40" s="10" t="n">
        <v>6090</v>
      </c>
      <c r="G40" s="10" t="n">
        <v>5040</v>
      </c>
      <c r="H40" s="10" t="n">
        <v>26250</v>
      </c>
      <c r="I40" s="10" t="n">
        <v>29400</v>
      </c>
      <c r="J40" s="10" t="n">
        <v>10500</v>
      </c>
      <c r="K40" s="10" t="n">
        <v>19950</v>
      </c>
      <c r="L40" s="10" t="n">
        <v>370230</v>
      </c>
      <c r="M40" s="10" t="n">
        <v>259770</v>
      </c>
      <c r="N40" s="10" t="n">
        <v>63000</v>
      </c>
      <c r="O40" s="10" t="n">
        <v>63000</v>
      </c>
      <c r="P40" s="10" t="n">
        <v>196770</v>
      </c>
      <c r="Q40" s="10" t="n">
        <v>62966.4</v>
      </c>
      <c r="R40" s="10" t="n">
        <v>133803.6</v>
      </c>
      <c r="S40" s="10">
        <f>$Q40-$R40</f>
        <v/>
      </c>
      <c r="T40" s="10" t="n"/>
      <c r="U40" s="10" t="n"/>
      <c r="V40" s="10" t="n"/>
      <c r="W40" s="10" t="n"/>
      <c r="X40" s="10" t="n"/>
      <c r="Y40" s="10" t="n"/>
    </row>
    <row r="41">
      <c r="A41" s="9" t="n">
        <v>4</v>
      </c>
      <c r="B41" s="9" t="n">
        <v>39</v>
      </c>
      <c r="C41" s="8" t="n">
        <v>25</v>
      </c>
      <c r="D41" s="10" t="n">
        <v>750000</v>
      </c>
      <c r="E41" s="10" t="n">
        <v>325000</v>
      </c>
      <c r="F41" s="10" t="n">
        <v>7250</v>
      </c>
      <c r="G41" s="10" t="n">
        <v>6000</v>
      </c>
      <c r="H41" s="10" t="n">
        <v>31250</v>
      </c>
      <c r="I41" s="10" t="n">
        <v>35000</v>
      </c>
      <c r="J41" s="10" t="n">
        <v>12500</v>
      </c>
      <c r="K41" s="10" t="n">
        <v>23750</v>
      </c>
      <c r="L41" s="10" t="n">
        <v>440750</v>
      </c>
      <c r="M41" s="10" t="n">
        <v>309250</v>
      </c>
      <c r="N41" s="10" t="n">
        <v>75000</v>
      </c>
      <c r="O41" s="10" t="n">
        <v>75000</v>
      </c>
      <c r="P41" s="10" t="n">
        <v>234250</v>
      </c>
      <c r="Q41" s="10" t="n">
        <v>74960</v>
      </c>
      <c r="R41" s="10" t="n">
        <v>159290</v>
      </c>
      <c r="S41" s="10">
        <f>$Q41-$R41</f>
        <v/>
      </c>
      <c r="T41" s="10" t="n"/>
      <c r="U41" s="10" t="n"/>
      <c r="V41" s="10" t="n"/>
      <c r="W41" s="10" t="n"/>
      <c r="X41" s="10" t="n"/>
      <c r="Y41" s="10" t="n"/>
    </row>
    <row r="42">
      <c r="A42" s="9" t="n">
        <v>4</v>
      </c>
      <c r="B42" s="9" t="n">
        <v>40</v>
      </c>
      <c r="C42" s="8" t="n">
        <v>20</v>
      </c>
      <c r="D42" s="10" t="n">
        <v>600000</v>
      </c>
      <c r="E42" s="10" t="n">
        <v>260000</v>
      </c>
      <c r="F42" s="10" t="n">
        <v>5800</v>
      </c>
      <c r="G42" s="10" t="n">
        <v>4800</v>
      </c>
      <c r="H42" s="10" t="n">
        <v>25000</v>
      </c>
      <c r="I42" s="10" t="n">
        <v>28000</v>
      </c>
      <c r="J42" s="10" t="n">
        <v>10000</v>
      </c>
      <c r="K42" s="10" t="n">
        <v>19000</v>
      </c>
      <c r="L42" s="10" t="n">
        <v>352600</v>
      </c>
      <c r="M42" s="10" t="n">
        <v>247400</v>
      </c>
      <c r="N42" s="10" t="n">
        <v>60000</v>
      </c>
      <c r="O42" s="10" t="n">
        <v>60000</v>
      </c>
      <c r="P42" s="10" t="n">
        <v>187400</v>
      </c>
      <c r="Q42" s="10" t="n">
        <v>59968</v>
      </c>
      <c r="R42" s="10" t="n">
        <v>127432</v>
      </c>
      <c r="S42" s="10">
        <f>$Q42-$R42</f>
        <v/>
      </c>
      <c r="T42" s="10" t="n"/>
      <c r="U42" s="10" t="n"/>
      <c r="V42" s="10" t="n"/>
      <c r="W42" s="10" t="n"/>
      <c r="X42" s="10" t="n"/>
      <c r="Y42" s="10" t="n"/>
    </row>
    <row r="43">
      <c r="A43" s="9" t="n">
        <v>4</v>
      </c>
      <c r="B43" s="9" t="n">
        <v>41</v>
      </c>
      <c r="C43" s="8" t="n">
        <v>24</v>
      </c>
      <c r="D43" s="10" t="n">
        <v>720000</v>
      </c>
      <c r="E43" s="10" t="n">
        <v>312000</v>
      </c>
      <c r="F43" s="10" t="n">
        <v>6960</v>
      </c>
      <c r="G43" s="10" t="n">
        <v>5760</v>
      </c>
      <c r="H43" s="10" t="n">
        <v>30000</v>
      </c>
      <c r="I43" s="10" t="n">
        <v>33600</v>
      </c>
      <c r="J43" s="10" t="n">
        <v>12000</v>
      </c>
      <c r="K43" s="10" t="n">
        <v>22800</v>
      </c>
      <c r="L43" s="10" t="n">
        <v>423120</v>
      </c>
      <c r="M43" s="10" t="n">
        <v>296880</v>
      </c>
      <c r="N43" s="10" t="n">
        <v>72000</v>
      </c>
      <c r="O43" s="10" t="n">
        <v>72000</v>
      </c>
      <c r="P43" s="10" t="n">
        <v>224880</v>
      </c>
      <c r="Q43" s="10" t="n">
        <v>71961.60000000001</v>
      </c>
      <c r="R43" s="10" t="n">
        <v>152918.4</v>
      </c>
      <c r="S43" s="10">
        <f>$Q43-$R43</f>
        <v/>
      </c>
      <c r="T43" s="10" t="n"/>
      <c r="U43" s="10" t="n"/>
      <c r="V43" s="10" t="n"/>
      <c r="W43" s="10" t="n"/>
      <c r="X43" s="10" t="n"/>
      <c r="Y43" s="10" t="n"/>
    </row>
    <row r="44">
      <c r="A44" s="9" t="n">
        <v>4</v>
      </c>
      <c r="B44" s="9" t="n">
        <v>42</v>
      </c>
      <c r="C44" s="8" t="n">
        <v>20</v>
      </c>
      <c r="D44" s="10" t="n">
        <v>600000</v>
      </c>
      <c r="E44" s="10" t="n">
        <v>260000</v>
      </c>
      <c r="F44" s="10" t="n">
        <v>5800</v>
      </c>
      <c r="G44" s="10" t="n">
        <v>4800</v>
      </c>
      <c r="H44" s="10" t="n">
        <v>25000</v>
      </c>
      <c r="I44" s="10" t="n">
        <v>28000</v>
      </c>
      <c r="J44" s="10" t="n">
        <v>10000</v>
      </c>
      <c r="K44" s="10" t="n">
        <v>19000</v>
      </c>
      <c r="L44" s="10" t="n">
        <v>352600</v>
      </c>
      <c r="M44" s="10" t="n">
        <v>247400</v>
      </c>
      <c r="N44" s="10" t="n">
        <v>60000</v>
      </c>
      <c r="O44" s="10" t="n">
        <v>60000</v>
      </c>
      <c r="P44" s="10" t="n">
        <v>187400</v>
      </c>
      <c r="Q44" s="10" t="n">
        <v>59968</v>
      </c>
      <c r="R44" s="10" t="n">
        <v>127432</v>
      </c>
      <c r="S44" s="10">
        <f>$Q44-$R44</f>
        <v/>
      </c>
      <c r="T44" s="10" t="n"/>
      <c r="U44" s="10" t="n"/>
      <c r="V44" s="10" t="n"/>
      <c r="W44" s="10" t="n"/>
      <c r="X44" s="10" t="n"/>
      <c r="Y44" s="10" t="n"/>
    </row>
    <row r="45">
      <c r="A45" s="9" t="n">
        <v>4</v>
      </c>
      <c r="B45" s="9" t="n">
        <v>43</v>
      </c>
      <c r="C45" s="8" t="n">
        <v>25</v>
      </c>
      <c r="D45" s="10" t="n">
        <v>750000</v>
      </c>
      <c r="E45" s="10" t="n">
        <v>325000</v>
      </c>
      <c r="F45" s="10" t="n">
        <v>7250</v>
      </c>
      <c r="G45" s="10" t="n">
        <v>6000</v>
      </c>
      <c r="H45" s="10" t="n">
        <v>31250</v>
      </c>
      <c r="I45" s="10" t="n">
        <v>35000</v>
      </c>
      <c r="J45" s="10" t="n">
        <v>12500</v>
      </c>
      <c r="K45" s="10" t="n">
        <v>23750</v>
      </c>
      <c r="L45" s="10" t="n">
        <v>440750</v>
      </c>
      <c r="M45" s="10" t="n">
        <v>309250</v>
      </c>
      <c r="N45" s="10" t="n">
        <v>75000</v>
      </c>
      <c r="O45" s="10" t="n">
        <v>75000</v>
      </c>
      <c r="P45" s="10" t="n">
        <v>234250</v>
      </c>
      <c r="Q45" s="10" t="n">
        <v>74960</v>
      </c>
      <c r="R45" s="10" t="n">
        <v>159290</v>
      </c>
      <c r="S45" s="10">
        <f>$Q45-$R45</f>
        <v/>
      </c>
      <c r="T45" s="10" t="n"/>
      <c r="U45" s="10" t="n"/>
      <c r="V45" s="10" t="n"/>
      <c r="W45" s="10" t="n"/>
      <c r="X45" s="10" t="n"/>
      <c r="Y45" s="10" t="n"/>
    </row>
    <row r="46">
      <c r="A46" s="9" t="n">
        <v>4</v>
      </c>
      <c r="B46" s="9" t="n">
        <v>44</v>
      </c>
      <c r="C46" s="8" t="n">
        <v>21</v>
      </c>
      <c r="D46" s="10" t="n">
        <v>630000</v>
      </c>
      <c r="E46" s="10" t="n">
        <v>273000</v>
      </c>
      <c r="F46" s="10" t="n">
        <v>6090</v>
      </c>
      <c r="G46" s="10" t="n">
        <v>5040</v>
      </c>
      <c r="H46" s="10" t="n">
        <v>26250</v>
      </c>
      <c r="I46" s="10" t="n">
        <v>29400</v>
      </c>
      <c r="J46" s="10" t="n">
        <v>10500</v>
      </c>
      <c r="K46" s="10" t="n">
        <v>19950</v>
      </c>
      <c r="L46" s="10" t="n">
        <v>370230</v>
      </c>
      <c r="M46" s="10" t="n">
        <v>259770</v>
      </c>
      <c r="N46" s="10" t="n">
        <v>63000</v>
      </c>
      <c r="O46" s="10" t="n">
        <v>63000</v>
      </c>
      <c r="P46" s="10" t="n">
        <v>196770</v>
      </c>
      <c r="Q46" s="10" t="n">
        <v>62966.4</v>
      </c>
      <c r="R46" s="10" t="n">
        <v>133803.6</v>
      </c>
      <c r="S46" s="10">
        <f>$Q46-$R46</f>
        <v/>
      </c>
      <c r="T46" s="10" t="n"/>
      <c r="U46" s="10" t="n"/>
      <c r="V46" s="10" t="n"/>
      <c r="W46" s="10" t="n"/>
      <c r="X46" s="10" t="n"/>
      <c r="Y46" s="10" t="n"/>
    </row>
    <row r="47">
      <c r="A47" s="9" t="n">
        <v>4</v>
      </c>
      <c r="B47" s="9" t="n">
        <v>45</v>
      </c>
      <c r="C47" s="8" t="n">
        <v>26</v>
      </c>
      <c r="D47" s="10" t="n">
        <v>780000</v>
      </c>
      <c r="E47" s="10" t="n">
        <v>338000</v>
      </c>
      <c r="F47" s="10" t="n">
        <v>7540</v>
      </c>
      <c r="G47" s="10" t="n">
        <v>6240</v>
      </c>
      <c r="H47" s="10" t="n">
        <v>32500</v>
      </c>
      <c r="I47" s="10" t="n">
        <v>36400</v>
      </c>
      <c r="J47" s="10" t="n">
        <v>13000</v>
      </c>
      <c r="K47" s="10" t="n">
        <v>24700</v>
      </c>
      <c r="L47" s="10" t="n">
        <v>458380</v>
      </c>
      <c r="M47" s="10" t="n">
        <v>321620</v>
      </c>
      <c r="N47" s="10" t="n">
        <v>78000</v>
      </c>
      <c r="O47" s="10" t="n">
        <v>78000</v>
      </c>
      <c r="P47" s="10" t="n">
        <v>243620</v>
      </c>
      <c r="Q47" s="10" t="n">
        <v>77958.39999999999</v>
      </c>
      <c r="R47" s="10" t="n">
        <v>165661.6</v>
      </c>
      <c r="S47" s="10">
        <f>$Q47-$R47</f>
        <v/>
      </c>
      <c r="T47" s="10" t="n"/>
      <c r="U47" s="10" t="n"/>
      <c r="V47" s="10" t="n"/>
      <c r="W47" s="10" t="n"/>
      <c r="X47" s="10" t="n"/>
      <c r="Y47" s="10" t="n"/>
    </row>
    <row r="48">
      <c r="A48" s="9" t="n">
        <v>4</v>
      </c>
      <c r="B48" s="9" t="n">
        <v>46</v>
      </c>
      <c r="C48" s="8" t="n">
        <v>22</v>
      </c>
      <c r="D48" s="10" t="n">
        <v>660000</v>
      </c>
      <c r="E48" s="10" t="n">
        <v>286000</v>
      </c>
      <c r="F48" s="10" t="n">
        <v>6380</v>
      </c>
      <c r="G48" s="10" t="n">
        <v>5280</v>
      </c>
      <c r="H48" s="10" t="n">
        <v>27500</v>
      </c>
      <c r="I48" s="10" t="n">
        <v>30800</v>
      </c>
      <c r="J48" s="10" t="n">
        <v>11000</v>
      </c>
      <c r="K48" s="10" t="n">
        <v>20900</v>
      </c>
      <c r="L48" s="10" t="n">
        <v>387860</v>
      </c>
      <c r="M48" s="10" t="n">
        <v>272140</v>
      </c>
      <c r="N48" s="10" t="n">
        <v>66000</v>
      </c>
      <c r="O48" s="10" t="n">
        <v>66000</v>
      </c>
      <c r="P48" s="10" t="n">
        <v>206140</v>
      </c>
      <c r="Q48" s="10" t="n">
        <v>65964.8</v>
      </c>
      <c r="R48" s="10" t="n">
        <v>140175.2</v>
      </c>
      <c r="S48" s="10">
        <f>$Q48-$R48</f>
        <v/>
      </c>
      <c r="T48" s="10" t="n"/>
      <c r="U48" s="10" t="n"/>
      <c r="V48" s="10" t="n"/>
      <c r="W48" s="10" t="n"/>
      <c r="X48" s="10" t="n"/>
      <c r="Y48" s="10" t="n"/>
    </row>
    <row r="49">
      <c r="A49" s="9" t="n">
        <v>4</v>
      </c>
      <c r="B49" s="9" t="n">
        <v>47</v>
      </c>
      <c r="C49" s="8" t="n">
        <v>27</v>
      </c>
      <c r="D49" s="10" t="n">
        <v>810000</v>
      </c>
      <c r="E49" s="10" t="n">
        <v>351000</v>
      </c>
      <c r="F49" s="10" t="n">
        <v>7830</v>
      </c>
      <c r="G49" s="10" t="n">
        <v>6480</v>
      </c>
      <c r="H49" s="10" t="n">
        <v>33750</v>
      </c>
      <c r="I49" s="10" t="n">
        <v>37800</v>
      </c>
      <c r="J49" s="10" t="n">
        <v>13500</v>
      </c>
      <c r="K49" s="10" t="n">
        <v>25650</v>
      </c>
      <c r="L49" s="10" t="n">
        <v>476010</v>
      </c>
      <c r="M49" s="10" t="n">
        <v>333990</v>
      </c>
      <c r="N49" s="10" t="n">
        <v>81000</v>
      </c>
      <c r="O49" s="10" t="n">
        <v>81000</v>
      </c>
      <c r="P49" s="10" t="n">
        <v>252990</v>
      </c>
      <c r="Q49" s="10" t="n">
        <v>80956.8</v>
      </c>
      <c r="R49" s="10" t="n">
        <v>172033.2</v>
      </c>
      <c r="S49" s="10">
        <f>$Q49-$R49</f>
        <v/>
      </c>
      <c r="T49" s="10" t="n"/>
      <c r="U49" s="10" t="n"/>
      <c r="V49" s="10" t="n"/>
      <c r="W49" s="10" t="n"/>
      <c r="X49" s="10" t="n"/>
      <c r="Y49" s="10" t="n"/>
    </row>
    <row r="50">
      <c r="A50" s="9" t="n">
        <v>4</v>
      </c>
      <c r="B50" s="9" t="n">
        <v>48</v>
      </c>
      <c r="C50" s="8" t="n">
        <v>23</v>
      </c>
      <c r="D50" s="10" t="n">
        <v>690000</v>
      </c>
      <c r="E50" s="10" t="n">
        <v>299000</v>
      </c>
      <c r="F50" s="10" t="n">
        <v>6670</v>
      </c>
      <c r="G50" s="10" t="n">
        <v>5520</v>
      </c>
      <c r="H50" s="10" t="n">
        <v>28750</v>
      </c>
      <c r="I50" s="10" t="n">
        <v>32200</v>
      </c>
      <c r="J50" s="10" t="n">
        <v>11500</v>
      </c>
      <c r="K50" s="10" t="n">
        <v>21850</v>
      </c>
      <c r="L50" s="10" t="n">
        <v>405490</v>
      </c>
      <c r="M50" s="10" t="n">
        <v>284510</v>
      </c>
      <c r="N50" s="10" t="n">
        <v>69000</v>
      </c>
      <c r="O50" s="10" t="n">
        <v>69000</v>
      </c>
      <c r="P50" s="10" t="n">
        <v>215510</v>
      </c>
      <c r="Q50" s="10" t="n">
        <v>68963.2</v>
      </c>
      <c r="R50" s="10" t="n">
        <v>146546.8</v>
      </c>
      <c r="S50" s="10">
        <f>$Q50-$R50</f>
        <v/>
      </c>
      <c r="T50" s="10" t="n"/>
      <c r="U50" s="10" t="n"/>
      <c r="V50" s="10" t="n"/>
      <c r="W50" s="10" t="n"/>
      <c r="X50" s="10" t="n"/>
      <c r="Y50" s="10" t="n"/>
    </row>
    <row r="51">
      <c r="A51" s="9" t="n">
        <v>5</v>
      </c>
      <c r="B51" s="9" t="n">
        <v>49</v>
      </c>
      <c r="C51" s="8" t="n">
        <v>27</v>
      </c>
      <c r="D51" s="10" t="n">
        <v>810000</v>
      </c>
      <c r="E51" s="10" t="n">
        <v>351000</v>
      </c>
      <c r="F51" s="10" t="n">
        <v>7830</v>
      </c>
      <c r="G51" s="10" t="n">
        <v>6480</v>
      </c>
      <c r="H51" s="10" t="n">
        <v>33750</v>
      </c>
      <c r="I51" s="10" t="n">
        <v>37800</v>
      </c>
      <c r="J51" s="10" t="n">
        <v>13500</v>
      </c>
      <c r="K51" s="10" t="n">
        <v>25650</v>
      </c>
      <c r="L51" s="10" t="n">
        <v>476010</v>
      </c>
      <c r="M51" s="10" t="n">
        <v>333990</v>
      </c>
      <c r="N51" s="10" t="n">
        <v>81000</v>
      </c>
      <c r="O51" s="10" t="n">
        <v>81000</v>
      </c>
      <c r="P51" s="10" t="n">
        <v>252990</v>
      </c>
      <c r="Q51" s="10" t="n">
        <v>80956.8</v>
      </c>
      <c r="R51" s="10" t="n">
        <v>172033.2</v>
      </c>
      <c r="S51" s="10">
        <f>$Q51-$R51</f>
        <v/>
      </c>
      <c r="T51" s="10" t="n"/>
      <c r="U51" s="10" t="n"/>
      <c r="V51" s="10" t="n"/>
      <c r="W51" s="10" t="n"/>
      <c r="X51" s="10" t="n"/>
      <c r="Y51" s="10" t="n"/>
    </row>
    <row r="52">
      <c r="A52" s="9" t="n">
        <v>5</v>
      </c>
      <c r="B52" s="9" t="n">
        <v>50</v>
      </c>
      <c r="C52" s="8" t="n">
        <v>23</v>
      </c>
      <c r="D52" s="10" t="n">
        <v>690000</v>
      </c>
      <c r="E52" s="10" t="n">
        <v>299000</v>
      </c>
      <c r="F52" s="10" t="n">
        <v>6670</v>
      </c>
      <c r="G52" s="10" t="n">
        <v>5520</v>
      </c>
      <c r="H52" s="10" t="n">
        <v>28750</v>
      </c>
      <c r="I52" s="10" t="n">
        <v>32200</v>
      </c>
      <c r="J52" s="10" t="n">
        <v>11500</v>
      </c>
      <c r="K52" s="10" t="n">
        <v>21850</v>
      </c>
      <c r="L52" s="10" t="n">
        <v>405490</v>
      </c>
      <c r="M52" s="10" t="n">
        <v>284510</v>
      </c>
      <c r="N52" s="10" t="n">
        <v>69000</v>
      </c>
      <c r="O52" s="10" t="n">
        <v>69000</v>
      </c>
      <c r="P52" s="10" t="n">
        <v>215510</v>
      </c>
      <c r="Q52" s="10" t="n">
        <v>68963.2</v>
      </c>
      <c r="R52" s="10" t="n">
        <v>146546.8</v>
      </c>
      <c r="S52" s="10">
        <f>$Q52-$R52</f>
        <v/>
      </c>
      <c r="T52" s="10" t="n"/>
      <c r="U52" s="10" t="n"/>
      <c r="V52" s="10" t="n"/>
      <c r="W52" s="10" t="n"/>
      <c r="X52" s="10" t="n"/>
      <c r="Y52" s="10" t="n"/>
    </row>
    <row r="53">
      <c r="A53" s="9" t="n">
        <v>5</v>
      </c>
      <c r="B53" s="9" t="n">
        <v>51</v>
      </c>
      <c r="C53" s="8" t="n">
        <v>29</v>
      </c>
      <c r="D53" s="10" t="n">
        <v>870000</v>
      </c>
      <c r="E53" s="10" t="n">
        <v>377000</v>
      </c>
      <c r="F53" s="10" t="n">
        <v>8410</v>
      </c>
      <c r="G53" s="10" t="n">
        <v>6960</v>
      </c>
      <c r="H53" s="10" t="n">
        <v>36250</v>
      </c>
      <c r="I53" s="10" t="n">
        <v>40600</v>
      </c>
      <c r="J53" s="10" t="n">
        <v>14500</v>
      </c>
      <c r="K53" s="10" t="n">
        <v>27550</v>
      </c>
      <c r="L53" s="10" t="n">
        <v>511270</v>
      </c>
      <c r="M53" s="10" t="n">
        <v>358730</v>
      </c>
      <c r="N53" s="10" t="n">
        <v>87000</v>
      </c>
      <c r="O53" s="10" t="n">
        <v>87000</v>
      </c>
      <c r="P53" s="10" t="n">
        <v>271730</v>
      </c>
      <c r="Q53" s="10" t="n">
        <v>86953.60000000001</v>
      </c>
      <c r="R53" s="10" t="n">
        <v>184776.4</v>
      </c>
      <c r="S53" s="10">
        <f>$Q53-$R53</f>
        <v/>
      </c>
      <c r="T53" s="10" t="n"/>
      <c r="U53" s="10" t="n"/>
      <c r="V53" s="10" t="n"/>
      <c r="W53" s="10" t="n"/>
      <c r="X53" s="10" t="n"/>
      <c r="Y53" s="10" t="n"/>
    </row>
    <row r="54">
      <c r="A54" s="9" t="n">
        <v>5</v>
      </c>
      <c r="B54" s="9" t="n">
        <v>52</v>
      </c>
      <c r="C54" s="8" t="n">
        <v>25</v>
      </c>
      <c r="D54" s="10" t="n">
        <v>750000</v>
      </c>
      <c r="E54" s="10" t="n">
        <v>325000</v>
      </c>
      <c r="F54" s="10" t="n">
        <v>7250</v>
      </c>
      <c r="G54" s="10" t="n">
        <v>6000</v>
      </c>
      <c r="H54" s="10" t="n">
        <v>31250</v>
      </c>
      <c r="I54" s="10" t="n">
        <v>35000</v>
      </c>
      <c r="J54" s="10" t="n">
        <v>12500</v>
      </c>
      <c r="K54" s="10" t="n">
        <v>23750</v>
      </c>
      <c r="L54" s="10" t="n">
        <v>440750</v>
      </c>
      <c r="M54" s="10" t="n">
        <v>309250</v>
      </c>
      <c r="N54" s="10" t="n">
        <v>75000</v>
      </c>
      <c r="O54" s="10" t="n">
        <v>75000</v>
      </c>
      <c r="P54" s="10" t="n">
        <v>234250</v>
      </c>
      <c r="Q54" s="10" t="n">
        <v>74960</v>
      </c>
      <c r="R54" s="10" t="n">
        <v>159290</v>
      </c>
      <c r="S54" s="10">
        <f>$Q54-$R54</f>
        <v/>
      </c>
      <c r="T54" s="10" t="n"/>
      <c r="U54" s="10" t="n"/>
      <c r="V54" s="10" t="n"/>
      <c r="W54" s="10" t="n"/>
      <c r="X54" s="10" t="n"/>
      <c r="Y54" s="10" t="n"/>
    </row>
    <row r="55">
      <c r="A55" s="9" t="n">
        <v>5</v>
      </c>
      <c r="B55" s="9" t="n">
        <v>53</v>
      </c>
      <c r="C55" s="8" t="n">
        <v>30</v>
      </c>
      <c r="D55" s="10" t="n">
        <v>900000</v>
      </c>
      <c r="E55" s="10" t="n">
        <v>390000</v>
      </c>
      <c r="F55" s="10" t="n">
        <v>8700</v>
      </c>
      <c r="G55" s="10" t="n">
        <v>7200</v>
      </c>
      <c r="H55" s="10" t="n">
        <v>37500</v>
      </c>
      <c r="I55" s="10" t="n">
        <v>42000</v>
      </c>
      <c r="J55" s="10" t="n">
        <v>15000</v>
      </c>
      <c r="K55" s="10" t="n">
        <v>28500</v>
      </c>
      <c r="L55" s="10" t="n">
        <v>528900</v>
      </c>
      <c r="M55" s="10" t="n">
        <v>371100</v>
      </c>
      <c r="N55" s="10" t="n">
        <v>90000</v>
      </c>
      <c r="O55" s="10" t="n">
        <v>90000</v>
      </c>
      <c r="P55" s="10" t="n">
        <v>281100</v>
      </c>
      <c r="Q55" s="10" t="n">
        <v>89952</v>
      </c>
      <c r="R55" s="10" t="n">
        <v>191148</v>
      </c>
      <c r="S55" s="10">
        <f>$Q55-$R55</f>
        <v/>
      </c>
      <c r="T55" s="10" t="n"/>
      <c r="U55" s="10" t="n"/>
      <c r="V55" s="10" t="n"/>
      <c r="W55" s="10" t="n"/>
      <c r="X55" s="10" t="n"/>
      <c r="Y55" s="10" t="n"/>
    </row>
    <row r="56">
      <c r="A56" s="9" t="n">
        <v>5</v>
      </c>
      <c r="B56" s="9" t="n">
        <v>54</v>
      </c>
      <c r="C56" s="8" t="n">
        <v>25</v>
      </c>
      <c r="D56" s="10" t="n">
        <v>750000</v>
      </c>
      <c r="E56" s="10" t="n">
        <v>325000</v>
      </c>
      <c r="F56" s="10" t="n">
        <v>7250</v>
      </c>
      <c r="G56" s="10" t="n">
        <v>6000</v>
      </c>
      <c r="H56" s="10" t="n">
        <v>31250</v>
      </c>
      <c r="I56" s="10" t="n">
        <v>35000</v>
      </c>
      <c r="J56" s="10" t="n">
        <v>12500</v>
      </c>
      <c r="K56" s="10" t="n">
        <v>23750</v>
      </c>
      <c r="L56" s="10" t="n">
        <v>440750</v>
      </c>
      <c r="M56" s="10" t="n">
        <v>309250</v>
      </c>
      <c r="N56" s="10" t="n">
        <v>75000</v>
      </c>
      <c r="O56" s="10" t="n">
        <v>75000</v>
      </c>
      <c r="P56" s="10" t="n">
        <v>234250</v>
      </c>
      <c r="Q56" s="10" t="n">
        <v>74960</v>
      </c>
      <c r="R56" s="10" t="n">
        <v>159290</v>
      </c>
      <c r="S56" s="10">
        <f>$Q56-$R56</f>
        <v/>
      </c>
      <c r="T56" s="10" t="n"/>
      <c r="U56" s="10" t="n"/>
      <c r="V56" s="10" t="n"/>
      <c r="W56" s="10" t="n"/>
      <c r="X56" s="10" t="n"/>
      <c r="Y56" s="10" t="n"/>
    </row>
    <row r="57">
      <c r="A57" s="9" t="n">
        <v>5</v>
      </c>
      <c r="B57" s="9" t="n">
        <v>55</v>
      </c>
      <c r="C57" s="8" t="n">
        <v>30</v>
      </c>
      <c r="D57" s="10" t="n">
        <v>900000</v>
      </c>
      <c r="E57" s="10" t="n">
        <v>390000</v>
      </c>
      <c r="F57" s="10" t="n">
        <v>8700</v>
      </c>
      <c r="G57" s="10" t="n">
        <v>7200</v>
      </c>
      <c r="H57" s="10" t="n">
        <v>37500</v>
      </c>
      <c r="I57" s="10" t="n">
        <v>42000</v>
      </c>
      <c r="J57" s="10" t="n">
        <v>15000</v>
      </c>
      <c r="K57" s="10" t="n">
        <v>28500</v>
      </c>
      <c r="L57" s="10" t="n">
        <v>528900</v>
      </c>
      <c r="M57" s="10" t="n">
        <v>371100</v>
      </c>
      <c r="N57" s="10" t="n">
        <v>90000</v>
      </c>
      <c r="O57" s="10" t="n">
        <v>90000</v>
      </c>
      <c r="P57" s="10" t="n">
        <v>281100</v>
      </c>
      <c r="Q57" s="10" t="n">
        <v>89952</v>
      </c>
      <c r="R57" s="10" t="n">
        <v>191148</v>
      </c>
      <c r="S57" s="10">
        <f>$Q57-$R57</f>
        <v/>
      </c>
      <c r="T57" s="10" t="n"/>
      <c r="U57" s="10" t="n"/>
      <c r="V57" s="10" t="n"/>
      <c r="W57" s="10" t="n"/>
      <c r="X57" s="10" t="n"/>
      <c r="Y57" s="10" t="n"/>
    </row>
    <row r="58">
      <c r="A58" s="9" t="n">
        <v>5</v>
      </c>
      <c r="B58" s="9" t="n">
        <v>56</v>
      </c>
      <c r="C58" s="8" t="n">
        <v>25</v>
      </c>
      <c r="D58" s="10" t="n">
        <v>750000</v>
      </c>
      <c r="E58" s="10" t="n">
        <v>325000</v>
      </c>
      <c r="F58" s="10" t="n">
        <v>7250</v>
      </c>
      <c r="G58" s="10" t="n">
        <v>6000</v>
      </c>
      <c r="H58" s="10" t="n">
        <v>31250</v>
      </c>
      <c r="I58" s="10" t="n">
        <v>35000</v>
      </c>
      <c r="J58" s="10" t="n">
        <v>12500</v>
      </c>
      <c r="K58" s="10" t="n">
        <v>23750</v>
      </c>
      <c r="L58" s="10" t="n">
        <v>440750</v>
      </c>
      <c r="M58" s="10" t="n">
        <v>309250</v>
      </c>
      <c r="N58" s="10" t="n">
        <v>75000</v>
      </c>
      <c r="O58" s="10" t="n">
        <v>75000</v>
      </c>
      <c r="P58" s="10" t="n">
        <v>234250</v>
      </c>
      <c r="Q58" s="10" t="n">
        <v>74960</v>
      </c>
      <c r="R58" s="10" t="n">
        <v>159290</v>
      </c>
      <c r="S58" s="10">
        <f>$Q58-$R58</f>
        <v/>
      </c>
      <c r="T58" s="10" t="n"/>
      <c r="U58" s="10" t="n"/>
      <c r="V58" s="10" t="n"/>
      <c r="W58" s="10" t="n"/>
      <c r="X58" s="10" t="n"/>
      <c r="Y58" s="10" t="n"/>
    </row>
    <row r="59">
      <c r="A59" s="9" t="n">
        <v>5</v>
      </c>
      <c r="B59" s="9" t="n">
        <v>57</v>
      </c>
      <c r="C59" s="8" t="n">
        <v>31</v>
      </c>
      <c r="D59" s="10" t="n">
        <v>930000</v>
      </c>
      <c r="E59" s="10" t="n">
        <v>403000</v>
      </c>
      <c r="F59" s="10" t="n">
        <v>8990</v>
      </c>
      <c r="G59" s="10" t="n">
        <v>7440</v>
      </c>
      <c r="H59" s="10" t="n">
        <v>38750</v>
      </c>
      <c r="I59" s="10" t="n">
        <v>43400</v>
      </c>
      <c r="J59" s="10" t="n">
        <v>15500</v>
      </c>
      <c r="K59" s="10" t="n">
        <v>29450</v>
      </c>
      <c r="L59" s="10" t="n">
        <v>546530</v>
      </c>
      <c r="M59" s="10" t="n">
        <v>383470</v>
      </c>
      <c r="N59" s="10" t="n">
        <v>93000</v>
      </c>
      <c r="O59" s="10" t="n">
        <v>93000</v>
      </c>
      <c r="P59" s="10" t="n">
        <v>290470</v>
      </c>
      <c r="Q59" s="10" t="n">
        <v>92950.39999999999</v>
      </c>
      <c r="R59" s="10" t="n">
        <v>197519.6</v>
      </c>
      <c r="S59" s="10">
        <f>$Q59-$R59</f>
        <v/>
      </c>
      <c r="T59" s="10" t="n"/>
      <c r="U59" s="10" t="n"/>
      <c r="V59" s="10" t="n"/>
      <c r="W59" s="10" t="n"/>
      <c r="X59" s="10" t="n"/>
      <c r="Y59" s="10" t="n"/>
    </row>
    <row r="60">
      <c r="A60" s="9" t="n">
        <v>5</v>
      </c>
      <c r="B60" s="9" t="n">
        <v>58</v>
      </c>
      <c r="C60" s="8" t="n">
        <v>26</v>
      </c>
      <c r="D60" s="10" t="n">
        <v>780000</v>
      </c>
      <c r="E60" s="10" t="n">
        <v>338000</v>
      </c>
      <c r="F60" s="10" t="n">
        <v>7540</v>
      </c>
      <c r="G60" s="10" t="n">
        <v>6240</v>
      </c>
      <c r="H60" s="10" t="n">
        <v>32500</v>
      </c>
      <c r="I60" s="10" t="n">
        <v>36400</v>
      </c>
      <c r="J60" s="10" t="n">
        <v>13000</v>
      </c>
      <c r="K60" s="10" t="n">
        <v>24700</v>
      </c>
      <c r="L60" s="10" t="n">
        <v>458380</v>
      </c>
      <c r="M60" s="10" t="n">
        <v>321620</v>
      </c>
      <c r="N60" s="10" t="n">
        <v>78000</v>
      </c>
      <c r="O60" s="10" t="n">
        <v>78000</v>
      </c>
      <c r="P60" s="10" t="n">
        <v>243620</v>
      </c>
      <c r="Q60" s="10" t="n">
        <v>77958.39999999999</v>
      </c>
      <c r="R60" s="10" t="n">
        <v>165661.6</v>
      </c>
      <c r="S60" s="10">
        <f>$Q60-$R60</f>
        <v/>
      </c>
      <c r="T60" s="10" t="n"/>
      <c r="U60" s="10" t="n"/>
      <c r="V60" s="10" t="n"/>
      <c r="W60" s="10" t="n"/>
      <c r="X60" s="10" t="n"/>
      <c r="Y60" s="10" t="n"/>
    </row>
    <row r="61">
      <c r="A61" s="9" t="n">
        <v>5</v>
      </c>
      <c r="B61" s="9" t="n">
        <v>59</v>
      </c>
      <c r="C61" s="8" t="n">
        <v>32</v>
      </c>
      <c r="D61" s="10" t="n">
        <v>960000</v>
      </c>
      <c r="E61" s="10" t="n">
        <v>416000</v>
      </c>
      <c r="F61" s="10" t="n">
        <v>9280</v>
      </c>
      <c r="G61" s="10" t="n">
        <v>7680</v>
      </c>
      <c r="H61" s="10" t="n">
        <v>40000</v>
      </c>
      <c r="I61" s="10" t="n">
        <v>44800</v>
      </c>
      <c r="J61" s="10" t="n">
        <v>16000</v>
      </c>
      <c r="K61" s="10" t="n">
        <v>30400</v>
      </c>
      <c r="L61" s="10" t="n">
        <v>564160</v>
      </c>
      <c r="M61" s="10" t="n">
        <v>395840</v>
      </c>
      <c r="N61" s="10" t="n">
        <v>96000</v>
      </c>
      <c r="O61" s="10" t="n">
        <v>96000</v>
      </c>
      <c r="P61" s="10" t="n">
        <v>299840</v>
      </c>
      <c r="Q61" s="10" t="n">
        <v>95948.8</v>
      </c>
      <c r="R61" s="10" t="n">
        <v>203891.2</v>
      </c>
      <c r="S61" s="10">
        <f>$Q61-$R61</f>
        <v/>
      </c>
      <c r="T61" s="10" t="n"/>
      <c r="U61" s="10" t="n"/>
      <c r="V61" s="10" t="n"/>
      <c r="W61" s="10" t="n"/>
      <c r="X61" s="10" t="n"/>
      <c r="Y61" s="10" t="n"/>
    </row>
    <row r="62">
      <c r="A62" s="9" t="n">
        <v>5</v>
      </c>
      <c r="B62" s="9" t="n">
        <v>60</v>
      </c>
      <c r="C62" s="8" t="n">
        <v>28</v>
      </c>
      <c r="D62" s="10" t="n">
        <v>840000</v>
      </c>
      <c r="E62" s="10" t="n">
        <v>364000</v>
      </c>
      <c r="F62" s="10" t="n">
        <v>8120</v>
      </c>
      <c r="G62" s="10" t="n">
        <v>6720</v>
      </c>
      <c r="H62" s="10" t="n">
        <v>35000</v>
      </c>
      <c r="I62" s="10" t="n">
        <v>39200</v>
      </c>
      <c r="J62" s="10" t="n">
        <v>14000</v>
      </c>
      <c r="K62" s="10" t="n">
        <v>26600</v>
      </c>
      <c r="L62" s="10" t="n">
        <v>493640</v>
      </c>
      <c r="M62" s="10" t="n">
        <v>346360</v>
      </c>
      <c r="N62" s="10" t="n">
        <v>84000</v>
      </c>
      <c r="O62" s="10" t="n">
        <v>84000</v>
      </c>
      <c r="P62" s="10" t="n">
        <v>262360</v>
      </c>
      <c r="Q62" s="10" t="n">
        <v>83955.2</v>
      </c>
      <c r="R62" s="10" t="n">
        <v>178404.8</v>
      </c>
      <c r="S62" s="10">
        <f>$Q62-$R62</f>
        <v/>
      </c>
      <c r="T62" s="10" t="n"/>
      <c r="U62" s="10" t="n"/>
      <c r="V62" s="10" t="n"/>
      <c r="W62" s="10" t="n"/>
      <c r="X62" s="10" t="n"/>
      <c r="Y62" s="10" t="n"/>
    </row>
  </sheetData>
  <mergeCells count="1">
    <mergeCell ref="A1:C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2"/>
  <sheetViews>
    <sheetView showGridLines="0" zoomScale="130" zoomScaleNormal="130" workbookViewId="0">
      <pane xSplit="2" ySplit="2" topLeftCell="C9" activePane="bottomRight" state="frozen"/>
      <selection pane="topRight" activeCell="B1" sqref="B1"/>
      <selection pane="bottomLeft" activeCell="A3" sqref="A3"/>
      <selection pane="bottomRight" activeCell="D2" sqref="D2"/>
    </sheetView>
  </sheetViews>
  <sheetFormatPr baseColWidth="8" defaultColWidth="8.7109375" defaultRowHeight="15" customHeight="1"/>
  <cols>
    <col width="10" customWidth="1" min="2" max="2"/>
    <col width="20.28515625" bestFit="1" customWidth="1" min="3" max="3"/>
    <col width="18.42578125" customWidth="1" min="4" max="4"/>
    <col width="21.42578125" customWidth="1" min="5" max="5"/>
    <col width="16" customWidth="1" min="6" max="6"/>
    <col width="21.7109375" customWidth="1" min="7" max="7"/>
    <col width="16" customWidth="1" min="8" max="8"/>
    <col width="18.140625" customWidth="1" min="9" max="11"/>
    <col width="16" customWidth="1" min="12" max="12"/>
    <col width="18.42578125" customWidth="1" min="13" max="20"/>
    <col width="23.5703125" customWidth="1" min="21" max="22"/>
    <col width="20.42578125" customWidth="1" min="23" max="23"/>
    <col width="12.5703125" bestFit="1" customWidth="1" min="24" max="24"/>
  </cols>
  <sheetData>
    <row r="1" ht="17.25" customHeight="1">
      <c r="B1" s="20" t="inlineStr">
        <is>
          <t xml:space="preserve">Monthly Balance Sheet Snapshot </t>
        </is>
      </c>
      <c r="I1" s="20" t="n"/>
      <c r="J1" s="20" t="n"/>
      <c r="K1" s="20" t="n"/>
      <c r="L1" s="20" t="n"/>
    </row>
    <row r="2" ht="58.5" customHeight="1">
      <c r="A2" s="19" t="inlineStr">
        <is>
          <t>Year #</t>
        </is>
      </c>
      <c r="B2" s="2" t="inlineStr">
        <is>
          <t>Month #</t>
        </is>
      </c>
      <c r="C2" s="2" t="inlineStr">
        <is>
          <t>Total Owner/Investor Capital Invested</t>
        </is>
      </c>
      <c r="D2" s="2" t="inlineStr">
        <is>
          <t>Net Owner/Investor Capital Outstanding</t>
        </is>
      </c>
      <c r="E2" s="2" t="inlineStr">
        <is>
          <t>Loan Closing Balance</t>
        </is>
      </c>
      <c r="F2" s="2" t="inlineStr">
        <is>
          <t>Cars in Operation (count)</t>
        </is>
      </c>
      <c r="G2" s="2" t="inlineStr">
        <is>
          <t>Total Cars Operation (Cummulative)</t>
        </is>
      </c>
      <c r="H2" s="2" t="inlineStr">
        <is>
          <t>Vehicles In Use - Cost</t>
        </is>
      </c>
      <c r="I2" s="2" t="inlineStr">
        <is>
          <t>Total Cars Cost (Cummulative)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Gross Revenue (Cummulative)</t>
        </is>
      </c>
      <c r="M2" s="18" t="inlineStr">
        <is>
          <t>Operating Expenses (Cummulative)</t>
        </is>
      </c>
      <c r="N2" s="15" t="inlineStr">
        <is>
          <t>Operating Profit (Cummulative)</t>
        </is>
      </c>
      <c r="O2" s="15" t="inlineStr">
        <is>
          <t>Loan Repayment (Cummulative)</t>
        </is>
      </c>
      <c r="P2" s="15" t="inlineStr">
        <is>
          <t>Income Tax</t>
        </is>
      </c>
      <c r="Q2" s="15" t="inlineStr">
        <is>
          <t>Income Tax (Cummulative)</t>
        </is>
      </c>
      <c r="R2" s="15" t="inlineStr">
        <is>
          <t>Net Profit (Cummulative)</t>
        </is>
      </c>
      <c r="S2" s="15" t="inlineStr">
        <is>
          <t>Investor Payout/Profit Distribution</t>
        </is>
      </c>
      <c r="T2" s="15" t="inlineStr">
        <is>
          <t xml:space="preserve">Net Profit </t>
        </is>
      </c>
      <c r="U2" s="15" t="inlineStr">
        <is>
          <t>Investor Payout/Profit Distribution (Cummulative)</t>
        </is>
      </c>
      <c r="V2" s="15" t="inlineStr">
        <is>
          <t xml:space="preserve">Retained Profits Closing </t>
        </is>
      </c>
      <c r="W2" s="15" t="inlineStr">
        <is>
          <t>Retained Profits (Cummulative)</t>
        </is>
      </c>
    </row>
    <row r="3">
      <c r="A3" s="9" t="n">
        <v>1</v>
      </c>
      <c r="B3" s="9" t="n">
        <v>1</v>
      </c>
      <c r="C3" s="10" t="n">
        <v>250000</v>
      </c>
      <c r="D3" s="10" t="n">
        <v>250000</v>
      </c>
      <c r="E3" s="10" t="n">
        <v>0</v>
      </c>
      <c r="F3" s="8" t="n">
        <v>4</v>
      </c>
      <c r="G3" s="8" t="n">
        <v>0</v>
      </c>
      <c r="H3" s="10" t="n">
        <v>0</v>
      </c>
      <c r="I3" s="10" t="n">
        <v>0</v>
      </c>
      <c r="J3" s="16" t="n">
        <v>275486.4</v>
      </c>
      <c r="K3" s="16" t="n">
        <v>0</v>
      </c>
      <c r="L3" s="16" t="n">
        <v>120000</v>
      </c>
      <c r="M3" s="17">
        <f>Cash_Flow!$E3</f>
        <v/>
      </c>
      <c r="N3" s="17">
        <f>Income_Statement!$M3</f>
        <v/>
      </c>
      <c r="O3" s="17">
        <f>(Cash_Flow!$F3+Cash_Flow!$G3)</f>
        <v/>
      </c>
      <c r="P3" s="17">
        <f>Income_Statement!$P3</f>
        <v/>
      </c>
      <c r="Q3" s="17">
        <f>Income_Statement!$P3</f>
        <v/>
      </c>
      <c r="R3" s="17">
        <f>Income_Statement!$Q3</f>
        <v/>
      </c>
      <c r="S3" s="17">
        <f>Income_Statement!$R3</f>
        <v/>
      </c>
      <c r="T3" s="17">
        <f>Income_Statement!$Q3</f>
        <v/>
      </c>
      <c r="U3" s="17">
        <f>Cash_Flow!$I3</f>
        <v/>
      </c>
      <c r="V3" s="17">
        <f>Cash_Flow!$N3</f>
        <v/>
      </c>
      <c r="W3" s="17">
        <f>Cash_Flow!$N3</f>
        <v/>
      </c>
      <c r="X3" s="14" t="n"/>
    </row>
    <row r="4">
      <c r="A4" s="9" t="n">
        <v>1</v>
      </c>
      <c r="B4" s="9" t="n">
        <v>2</v>
      </c>
      <c r="C4" s="10" t="n">
        <v>250000</v>
      </c>
      <c r="D4" s="10" t="n">
        <v>250000</v>
      </c>
      <c r="E4" s="10" t="n">
        <v>0</v>
      </c>
      <c r="F4" s="8" t="n">
        <v>4</v>
      </c>
      <c r="G4" s="8" t="n">
        <v>0</v>
      </c>
      <c r="H4" s="10" t="n">
        <v>0</v>
      </c>
      <c r="I4" s="10" t="n">
        <v>0</v>
      </c>
      <c r="J4" s="16" t="n">
        <v>25486.4</v>
      </c>
      <c r="K4" s="16" t="n">
        <v>0</v>
      </c>
      <c r="L4" s="16" t="n">
        <v>240000</v>
      </c>
      <c r="M4" s="17">
        <f>$M3+Cash_Flow!$E4</f>
        <v/>
      </c>
      <c r="N4" s="17">
        <f>$N3+Income_Statement!$M4</f>
        <v/>
      </c>
      <c r="O4" s="17">
        <f>IF(Cash_Flow!$F4&lt;=0,0,$O3+(Cash_Flow!$F4+Cash_Flow!$G4))</f>
        <v/>
      </c>
      <c r="P4" s="17">
        <f>Income_Statement!$P4</f>
        <v/>
      </c>
      <c r="Q4" s="17">
        <f>$Q3+Income_Statement!$P4</f>
        <v/>
      </c>
      <c r="R4" s="17">
        <f>$R3+Income_Statement!$Q4</f>
        <v/>
      </c>
      <c r="S4" s="17">
        <f>Income_Statement!$R4</f>
        <v/>
      </c>
      <c r="T4" s="17">
        <f>Income_Statement!$Q4</f>
        <v/>
      </c>
      <c r="U4" s="17">
        <f>$U3+Cash_Flow!$I4</f>
        <v/>
      </c>
      <c r="V4" s="17">
        <f>Cash_Flow!$N4</f>
        <v/>
      </c>
      <c r="W4" s="17">
        <f>($W3+Cash_Flow!$J4)-(Cash_Flow!$B4+Cash_Flow!$C4)</f>
        <v/>
      </c>
    </row>
    <row r="5">
      <c r="A5" s="9" t="n">
        <v>1</v>
      </c>
      <c r="B5" s="9" t="n">
        <v>3</v>
      </c>
      <c r="C5" s="10" t="n">
        <v>250000</v>
      </c>
      <c r="D5" s="10" t="n">
        <v>250000</v>
      </c>
      <c r="E5" s="10" t="n">
        <v>0</v>
      </c>
      <c r="F5" s="8" t="n">
        <v>4</v>
      </c>
      <c r="G5" s="8" t="n">
        <v>0</v>
      </c>
      <c r="H5" s="10" t="n">
        <v>0</v>
      </c>
      <c r="I5" s="10" t="n">
        <v>0</v>
      </c>
      <c r="J5" s="16" t="n">
        <v>25486.4</v>
      </c>
      <c r="K5" s="16" t="n">
        <v>0</v>
      </c>
      <c r="L5" s="16" t="n">
        <v>360000</v>
      </c>
      <c r="M5" s="17">
        <f>$M4+Cash_Flow!$E5</f>
        <v/>
      </c>
      <c r="N5" s="17">
        <f>$N4+Income_Statement!$M5</f>
        <v/>
      </c>
      <c r="O5" s="17">
        <f>IF(Cash_Flow!$F5&lt;=0,0,$O4+(Cash_Flow!$F5+Cash_Flow!$G5))</f>
        <v/>
      </c>
      <c r="P5" s="17">
        <f>Income_Statement!$P5</f>
        <v/>
      </c>
      <c r="Q5" s="17">
        <f>$Q4+Income_Statement!$P5</f>
        <v/>
      </c>
      <c r="R5" s="17">
        <f>$R4+Income_Statement!$Q5</f>
        <v/>
      </c>
      <c r="S5" s="17">
        <f>Income_Statement!$R5</f>
        <v/>
      </c>
      <c r="T5" s="17">
        <f>Income_Statement!$Q5</f>
        <v/>
      </c>
      <c r="U5" s="17">
        <f>$U4+Cash_Flow!$I5</f>
        <v/>
      </c>
      <c r="V5" s="17">
        <f>Cash_Flow!$N5</f>
        <v/>
      </c>
      <c r="W5" s="17">
        <f>($W4+Cash_Flow!$J5)-(Cash_Flow!$B5+Cash_Flow!$C5)</f>
        <v/>
      </c>
    </row>
    <row r="6">
      <c r="A6" s="9" t="n">
        <v>1</v>
      </c>
      <c r="B6" s="9" t="n">
        <v>4</v>
      </c>
      <c r="C6" s="10" t="n">
        <v>250000</v>
      </c>
      <c r="D6" s="10" t="n">
        <v>250000</v>
      </c>
      <c r="E6" s="10" t="n">
        <v>0</v>
      </c>
      <c r="F6" s="8" t="n">
        <v>4</v>
      </c>
      <c r="G6" s="8" t="n">
        <v>0</v>
      </c>
      <c r="H6" s="10" t="n">
        <v>0</v>
      </c>
      <c r="I6" s="10" t="n">
        <v>0</v>
      </c>
      <c r="J6" s="16" t="n">
        <v>25486.4</v>
      </c>
      <c r="K6" s="16" t="n">
        <v>0</v>
      </c>
      <c r="L6" s="16" t="n">
        <v>480000</v>
      </c>
      <c r="M6" s="17">
        <f>$M5+Cash_Flow!$E6</f>
        <v/>
      </c>
      <c r="N6" s="17">
        <f>$N5+Income_Statement!$M6</f>
        <v/>
      </c>
      <c r="O6" s="17">
        <f>IF(Cash_Flow!$F6&lt;=0,0,$O5+(Cash_Flow!$F6+Cash_Flow!$G6))</f>
        <v/>
      </c>
      <c r="P6" s="17">
        <f>Income_Statement!$P6</f>
        <v/>
      </c>
      <c r="Q6" s="17">
        <f>$Q5+Income_Statement!$P6</f>
        <v/>
      </c>
      <c r="R6" s="17">
        <f>$R5+Income_Statement!$Q6</f>
        <v/>
      </c>
      <c r="S6" s="17">
        <f>Income_Statement!$R6</f>
        <v/>
      </c>
      <c r="T6" s="17">
        <f>Income_Statement!$Q6</f>
        <v/>
      </c>
      <c r="U6" s="17">
        <f>$U5+Cash_Flow!$I6</f>
        <v/>
      </c>
      <c r="V6" s="17">
        <f>Cash_Flow!$N6</f>
        <v/>
      </c>
      <c r="W6" s="17">
        <f>($W5+Cash_Flow!$J6)-(Cash_Flow!$B6+Cash_Flow!$C6)</f>
        <v/>
      </c>
    </row>
    <row r="7">
      <c r="A7" s="9" t="n">
        <v>1</v>
      </c>
      <c r="B7" s="9" t="n">
        <v>5</v>
      </c>
      <c r="C7" s="10" t="n">
        <v>250000</v>
      </c>
      <c r="D7" s="10" t="n">
        <v>0</v>
      </c>
      <c r="E7" s="10" t="n">
        <v>246315.23</v>
      </c>
      <c r="F7" s="8" t="n">
        <v>4</v>
      </c>
      <c r="G7" s="8" t="n">
        <v>9</v>
      </c>
      <c r="H7" s="10" t="n">
        <v>240000</v>
      </c>
      <c r="I7" s="10" t="n">
        <v>540000</v>
      </c>
      <c r="J7" s="16" t="n">
        <v>269718.3</v>
      </c>
      <c r="K7" s="16" t="n">
        <v>540000</v>
      </c>
      <c r="L7" s="16" t="n">
        <v>600000</v>
      </c>
      <c r="M7" s="17">
        <f>$M6+Cash_Flow!$E7</f>
        <v/>
      </c>
      <c r="N7" s="17">
        <f>$N6+Income_Statement!$M7</f>
        <v/>
      </c>
      <c r="O7" s="17">
        <f>IF(Cash_Flow!$F7&lt;=0,0,$O6+(Cash_Flow!$F7+Cash_Flow!$G7))</f>
        <v/>
      </c>
      <c r="P7" s="17">
        <f>Income_Statement!$P7</f>
        <v/>
      </c>
      <c r="Q7" s="17">
        <f>$Q6+Income_Statement!$P7</f>
        <v/>
      </c>
      <c r="R7" s="17">
        <f>$R6+Income_Statement!$Q7</f>
        <v/>
      </c>
      <c r="S7" s="17">
        <f>Income_Statement!$R7</f>
        <v/>
      </c>
      <c r="T7" s="17">
        <f>Income_Statement!$Q7</f>
        <v/>
      </c>
      <c r="U7" s="17">
        <f>$U6+Cash_Flow!$I7</f>
        <v/>
      </c>
      <c r="V7" s="17">
        <f>Cash_Flow!$N7</f>
        <v/>
      </c>
      <c r="W7" s="17">
        <f>($W6+Cash_Flow!$J7)-(Cash_Flow!$B7+Cash_Flow!$C7)</f>
        <v/>
      </c>
    </row>
    <row r="8">
      <c r="A8" s="9" t="n">
        <v>1</v>
      </c>
      <c r="B8" s="9" t="n">
        <v>6</v>
      </c>
      <c r="C8" s="10" t="n">
        <v>250000</v>
      </c>
      <c r="D8" s="10" t="n">
        <v>0</v>
      </c>
      <c r="E8" s="10" t="n">
        <v>242599.76</v>
      </c>
      <c r="F8" s="8" t="n">
        <v>4</v>
      </c>
      <c r="G8" s="8" t="n">
        <v>9</v>
      </c>
      <c r="H8" s="10" t="n">
        <v>240000</v>
      </c>
      <c r="I8" s="10" t="n">
        <v>540000</v>
      </c>
      <c r="J8" s="16" t="n">
        <v>19718.3</v>
      </c>
      <c r="K8" s="16" t="n">
        <v>0</v>
      </c>
      <c r="L8" s="16" t="n">
        <v>720000</v>
      </c>
      <c r="M8" s="17">
        <f>$M7+Cash_Flow!$E8</f>
        <v/>
      </c>
      <c r="N8" s="17">
        <f>$N7+Income_Statement!$M8</f>
        <v/>
      </c>
      <c r="O8" s="17">
        <f>IF(Cash_Flow!$F8&lt;=0,0,$O7+(Cash_Flow!$F8+Cash_Flow!$G8))</f>
        <v/>
      </c>
      <c r="P8" s="17">
        <f>Income_Statement!$P8</f>
        <v/>
      </c>
      <c r="Q8" s="17">
        <f>$Q7+Income_Statement!$P8</f>
        <v/>
      </c>
      <c r="R8" s="17">
        <f>$R7+Income_Statement!$Q8</f>
        <v/>
      </c>
      <c r="S8" s="17">
        <f>Income_Statement!$R8</f>
        <v/>
      </c>
      <c r="T8" s="17">
        <f>Income_Statement!$Q8</f>
        <v/>
      </c>
      <c r="U8" s="17">
        <f>$U7+Cash_Flow!$I8</f>
        <v/>
      </c>
      <c r="V8" s="17">
        <f>Cash_Flow!$N8</f>
        <v/>
      </c>
      <c r="W8" s="17">
        <f>($W7+Cash_Flow!$J8)-(Cash_Flow!$B8+Cash_Flow!$C8)</f>
        <v/>
      </c>
    </row>
    <row r="9">
      <c r="A9" s="9" t="n">
        <v>1</v>
      </c>
      <c r="B9" s="9" t="n">
        <v>7</v>
      </c>
      <c r="C9" s="10" t="n">
        <v>250000</v>
      </c>
      <c r="D9" s="10" t="n">
        <v>0</v>
      </c>
      <c r="E9" s="10" t="n">
        <v>238853.32</v>
      </c>
      <c r="F9" s="8" t="n">
        <v>4</v>
      </c>
      <c r="G9" s="8" t="n">
        <v>9</v>
      </c>
      <c r="H9" s="10" t="n">
        <v>240000</v>
      </c>
      <c r="I9" s="10" t="n">
        <v>540000</v>
      </c>
      <c r="J9" s="16" t="n">
        <v>19718.3</v>
      </c>
      <c r="K9" s="16" t="n">
        <v>0</v>
      </c>
      <c r="L9" s="16" t="n">
        <v>840000</v>
      </c>
      <c r="M9" s="17">
        <f>$M8+Cash_Flow!$E9</f>
        <v/>
      </c>
      <c r="N9" s="17">
        <f>$N8+Income_Statement!$M9</f>
        <v/>
      </c>
      <c r="O9" s="17">
        <f>IF(Cash_Flow!$F9&lt;=0,0,$O8+(Cash_Flow!$F9+Cash_Flow!$G9))</f>
        <v/>
      </c>
      <c r="P9" s="17">
        <f>Income_Statement!$P9</f>
        <v/>
      </c>
      <c r="Q9" s="17">
        <f>$Q8+Income_Statement!$P9</f>
        <v/>
      </c>
      <c r="R9" s="17">
        <f>$R8+Income_Statement!$Q9</f>
        <v/>
      </c>
      <c r="S9" s="17">
        <f>Income_Statement!$R9</f>
        <v/>
      </c>
      <c r="T9" s="17">
        <f>Income_Statement!$Q9</f>
        <v/>
      </c>
      <c r="U9" s="17">
        <f>$U8+Cash_Flow!$I9</f>
        <v/>
      </c>
      <c r="V9" s="17">
        <f>Cash_Flow!$N9</f>
        <v/>
      </c>
      <c r="W9" s="17">
        <f>($W8+Cash_Flow!$J9)-(Cash_Flow!$B9+Cash_Flow!$C9)</f>
        <v/>
      </c>
    </row>
    <row r="10">
      <c r="A10" s="9" t="n">
        <v>1</v>
      </c>
      <c r="B10" s="9" t="n">
        <v>8</v>
      </c>
      <c r="C10" s="10" t="n">
        <v>250000</v>
      </c>
      <c r="D10" s="10" t="n">
        <v>0</v>
      </c>
      <c r="E10" s="10" t="n">
        <v>235075.66</v>
      </c>
      <c r="F10" s="8" t="n">
        <v>13</v>
      </c>
      <c r="G10" s="8" t="n">
        <v>9</v>
      </c>
      <c r="H10" s="10" t="n">
        <v>780000</v>
      </c>
      <c r="I10" s="10" t="n">
        <v>540000</v>
      </c>
      <c r="J10" s="16" t="n">
        <v>77062.7</v>
      </c>
      <c r="K10" s="16" t="n">
        <v>0</v>
      </c>
      <c r="L10" s="16" t="n">
        <v>1230000</v>
      </c>
      <c r="M10" s="17">
        <f>$M9+Cash_Flow!$E10</f>
        <v/>
      </c>
      <c r="N10" s="17">
        <f>$N9+Income_Statement!$M10</f>
        <v/>
      </c>
      <c r="O10" s="17">
        <f>IF(Cash_Flow!$F10&lt;=0,0,$O9+(Cash_Flow!$F10+Cash_Flow!$G10))</f>
        <v/>
      </c>
      <c r="P10" s="17">
        <f>Income_Statement!$P10</f>
        <v/>
      </c>
      <c r="Q10" s="17">
        <f>$Q9+Income_Statement!$P10</f>
        <v/>
      </c>
      <c r="R10" s="17">
        <f>$R9+Income_Statement!$Q10</f>
        <v/>
      </c>
      <c r="S10" s="17">
        <f>Income_Statement!$R10</f>
        <v/>
      </c>
      <c r="T10" s="17">
        <f>Income_Statement!$Q10</f>
        <v/>
      </c>
      <c r="U10" s="17">
        <f>$U9+Cash_Flow!$I10</f>
        <v/>
      </c>
      <c r="V10" s="17">
        <f>Cash_Flow!$N10</f>
        <v/>
      </c>
      <c r="W10" s="17">
        <f>($W9+Cash_Flow!$J10)-(Cash_Flow!$B10+Cash_Flow!$C10)</f>
        <v/>
      </c>
    </row>
    <row r="11">
      <c r="A11" s="9" t="n">
        <v>1</v>
      </c>
      <c r="B11" s="9" t="n">
        <v>9</v>
      </c>
      <c r="C11" s="10" t="n">
        <v>250000</v>
      </c>
      <c r="D11" s="10" t="n">
        <v>0</v>
      </c>
      <c r="E11" s="10" t="n">
        <v>231266.52</v>
      </c>
      <c r="F11" s="8" t="n">
        <v>13</v>
      </c>
      <c r="G11" s="8" t="n">
        <v>9</v>
      </c>
      <c r="H11" s="10" t="n">
        <v>780000</v>
      </c>
      <c r="I11" s="10" t="n">
        <v>540000</v>
      </c>
      <c r="J11" s="16" t="n">
        <v>77062.7</v>
      </c>
      <c r="K11" s="16" t="n">
        <v>0</v>
      </c>
      <c r="L11" s="16" t="n">
        <v>1620000</v>
      </c>
      <c r="M11" s="17">
        <f>$M10+Cash_Flow!$E11</f>
        <v/>
      </c>
      <c r="N11" s="17">
        <f>$N10+Income_Statement!$M11</f>
        <v/>
      </c>
      <c r="O11" s="17">
        <f>IF(Cash_Flow!$F11&lt;=0,0,$O10+(Cash_Flow!$F11+Cash_Flow!$G11))</f>
        <v/>
      </c>
      <c r="P11" s="17">
        <f>Income_Statement!$P11</f>
        <v/>
      </c>
      <c r="Q11" s="17">
        <f>$Q10+Income_Statement!$P11</f>
        <v/>
      </c>
      <c r="R11" s="17">
        <f>$R10+Income_Statement!$Q11</f>
        <v/>
      </c>
      <c r="S11" s="17">
        <f>Income_Statement!$R11</f>
        <v/>
      </c>
      <c r="T11" s="17">
        <f>Income_Statement!$Q11</f>
        <v/>
      </c>
      <c r="U11" s="17">
        <f>$U10+Cash_Flow!$I11</f>
        <v/>
      </c>
      <c r="V11" s="17">
        <f>Cash_Flow!$N11</f>
        <v/>
      </c>
      <c r="W11" s="17">
        <f>($W10+Cash_Flow!$J11)-(Cash_Flow!$B11+Cash_Flow!$C11)</f>
        <v/>
      </c>
    </row>
    <row r="12">
      <c r="A12" s="9" t="n">
        <v>1</v>
      </c>
      <c r="B12" s="9" t="n">
        <v>10</v>
      </c>
      <c r="C12" s="10" t="n">
        <v>250000</v>
      </c>
      <c r="D12" s="10" t="n">
        <v>0</v>
      </c>
      <c r="E12" s="10" t="n">
        <v>227425.64</v>
      </c>
      <c r="F12" s="8" t="n">
        <v>13</v>
      </c>
      <c r="G12" s="8" t="n">
        <v>13</v>
      </c>
      <c r="H12" s="10" t="n">
        <v>780000</v>
      </c>
      <c r="I12" s="10" t="n">
        <v>780000</v>
      </c>
      <c r="J12" s="16" t="n">
        <v>77062.7</v>
      </c>
      <c r="K12" s="16" t="n">
        <v>240000</v>
      </c>
      <c r="L12" s="16" t="n">
        <v>2010000</v>
      </c>
      <c r="M12" s="17">
        <f>$M11+Cash_Flow!$E12</f>
        <v/>
      </c>
      <c r="N12" s="17">
        <f>$N11+Income_Statement!$M12</f>
        <v/>
      </c>
      <c r="O12" s="17">
        <f>IF(Cash_Flow!$F12&lt;=0,0,$O11+(Cash_Flow!$F12+Cash_Flow!$G12))</f>
        <v/>
      </c>
      <c r="P12" s="17">
        <f>Income_Statement!$P12</f>
        <v/>
      </c>
      <c r="Q12" s="17">
        <f>$Q11+Income_Statement!$P12</f>
        <v/>
      </c>
      <c r="R12" s="17">
        <f>$R11+Income_Statement!$Q12</f>
        <v/>
      </c>
      <c r="S12" s="17">
        <f>Income_Statement!$R12</f>
        <v/>
      </c>
      <c r="T12" s="17">
        <f>Income_Statement!$Q12</f>
        <v/>
      </c>
      <c r="U12" s="17">
        <f>$U11+Cash_Flow!$I12</f>
        <v/>
      </c>
      <c r="V12" s="17">
        <f>Cash_Flow!$N12</f>
        <v/>
      </c>
      <c r="W12" s="17">
        <f>($W11+Cash_Flow!$J12)-(Cash_Flow!$B12+Cash_Flow!$C12)</f>
        <v/>
      </c>
    </row>
    <row r="13">
      <c r="A13" s="9" t="n">
        <v>1</v>
      </c>
      <c r="B13" s="9" t="n">
        <v>11</v>
      </c>
      <c r="C13" s="10" t="n">
        <v>250000</v>
      </c>
      <c r="D13" s="10" t="n">
        <v>0</v>
      </c>
      <c r="E13" s="10" t="n">
        <v>223552.75</v>
      </c>
      <c r="F13" s="8" t="n">
        <v>13</v>
      </c>
      <c r="G13" s="8" t="n">
        <v>13</v>
      </c>
      <c r="H13" s="10" t="n">
        <v>780000</v>
      </c>
      <c r="I13" s="10" t="n">
        <v>780000</v>
      </c>
      <c r="J13" s="16" t="n">
        <v>77062.7</v>
      </c>
      <c r="K13" s="16" t="n">
        <v>0</v>
      </c>
      <c r="L13" s="16" t="n">
        <v>2400000</v>
      </c>
      <c r="M13" s="17">
        <f>$M12+Cash_Flow!$E13</f>
        <v/>
      </c>
      <c r="N13" s="17">
        <f>$N12+Income_Statement!$M13</f>
        <v/>
      </c>
      <c r="O13" s="17">
        <f>IF(Cash_Flow!$F13&lt;=0,0,$O12+(Cash_Flow!$F13+Cash_Flow!$G13))</f>
        <v/>
      </c>
      <c r="P13" s="17">
        <f>Income_Statement!$P13</f>
        <v/>
      </c>
      <c r="Q13" s="17">
        <f>$Q12+Income_Statement!$P13</f>
        <v/>
      </c>
      <c r="R13" s="17">
        <f>$R12+Income_Statement!$Q13</f>
        <v/>
      </c>
      <c r="S13" s="17">
        <f>Income_Statement!$R13</f>
        <v/>
      </c>
      <c r="T13" s="17">
        <f>Income_Statement!$Q13</f>
        <v/>
      </c>
      <c r="U13" s="17">
        <f>$U12+Cash_Flow!$I13</f>
        <v/>
      </c>
      <c r="V13" s="17">
        <f>Cash_Flow!$N13</f>
        <v/>
      </c>
      <c r="W13" s="17">
        <f>($W12+Cash_Flow!$J13)-(Cash_Flow!$B13+Cash_Flow!$C13)</f>
        <v/>
      </c>
    </row>
    <row r="14">
      <c r="A14" s="9" t="n">
        <v>1</v>
      </c>
      <c r="B14" s="9" t="n">
        <v>12</v>
      </c>
      <c r="C14" s="10" t="n">
        <v>250000</v>
      </c>
      <c r="D14" s="10" t="n">
        <v>0</v>
      </c>
      <c r="E14" s="10" t="n">
        <v>219647.59</v>
      </c>
      <c r="F14" s="8" t="n">
        <v>9</v>
      </c>
      <c r="G14" s="8" t="n">
        <v>13</v>
      </c>
      <c r="H14" s="10" t="n">
        <v>540000</v>
      </c>
      <c r="I14" s="10" t="n">
        <v>780000</v>
      </c>
      <c r="J14" s="16" t="n">
        <v>51576.3</v>
      </c>
      <c r="K14" s="16" t="n">
        <v>0</v>
      </c>
      <c r="L14" s="16" t="n">
        <v>2670000</v>
      </c>
      <c r="M14" s="17">
        <f>$M13+Cash_Flow!$E14</f>
        <v/>
      </c>
      <c r="N14" s="17">
        <f>$N13+Income_Statement!$M14</f>
        <v/>
      </c>
      <c r="O14" s="17">
        <f>IF(Cash_Flow!$F14&lt;=0,0,$O13+(Cash_Flow!$F14+Cash_Flow!$G14))</f>
        <v/>
      </c>
      <c r="P14" s="17">
        <f>Income_Statement!$P14</f>
        <v/>
      </c>
      <c r="Q14" s="17">
        <f>$Q13+Income_Statement!$P14</f>
        <v/>
      </c>
      <c r="R14" s="17">
        <f>$R13+Income_Statement!$Q14</f>
        <v/>
      </c>
      <c r="S14" s="17">
        <f>Income_Statement!$R14</f>
        <v/>
      </c>
      <c r="T14" s="17">
        <f>Income_Statement!$Q14</f>
        <v/>
      </c>
      <c r="U14" s="17">
        <f>$U13+Cash_Flow!$I14</f>
        <v/>
      </c>
      <c r="V14" s="17">
        <f>Cash_Flow!$N14</f>
        <v/>
      </c>
      <c r="W14" s="17">
        <f>($W13+Cash_Flow!$J14)-(Cash_Flow!$B14+Cash_Flow!$C14)</f>
        <v/>
      </c>
    </row>
    <row r="15">
      <c r="A15" s="9" t="n">
        <v>2</v>
      </c>
      <c r="B15" s="9" t="n">
        <v>13</v>
      </c>
      <c r="C15" s="10" t="n">
        <v>250000</v>
      </c>
      <c r="D15" s="10" t="n">
        <v>0</v>
      </c>
      <c r="E15" s="10" t="n">
        <v>215709.89</v>
      </c>
      <c r="F15" s="8" t="n">
        <v>13</v>
      </c>
      <c r="G15" s="8" t="n">
        <v>17</v>
      </c>
      <c r="H15" s="10" t="n">
        <v>780000</v>
      </c>
      <c r="I15" s="10" t="n">
        <v>1020000</v>
      </c>
      <c r="J15" s="16" t="n">
        <v>77062.69</v>
      </c>
      <c r="K15" s="16" t="n">
        <v>240000</v>
      </c>
      <c r="L15" s="16" t="n">
        <v>3060000</v>
      </c>
      <c r="M15" s="17">
        <f>$M14+Cash_Flow!$E15</f>
        <v/>
      </c>
      <c r="N15" s="17">
        <f>$N14+Income_Statement!$M15</f>
        <v/>
      </c>
      <c r="O15" s="17">
        <f>IF(Cash_Flow!$F15&lt;=0,0,$O14+(Cash_Flow!$F15+Cash_Flow!$G15))</f>
        <v/>
      </c>
      <c r="P15" s="17">
        <f>Income_Statement!$P15</f>
        <v/>
      </c>
      <c r="Q15" s="17">
        <f>$Q14+Income_Statement!$P15</f>
        <v/>
      </c>
      <c r="R15" s="17">
        <f>$R14+Income_Statement!$Q15</f>
        <v/>
      </c>
      <c r="S15" s="17">
        <f>Income_Statement!$R15</f>
        <v/>
      </c>
      <c r="T15" s="17">
        <f>Income_Statement!$Q15</f>
        <v/>
      </c>
      <c r="U15" s="17">
        <f>$U14+Cash_Flow!$I15</f>
        <v/>
      </c>
      <c r="V15" s="17">
        <f>Cash_Flow!$N15</f>
        <v/>
      </c>
      <c r="W15" s="17">
        <f>($W14+Cash_Flow!$J15)-(Cash_Flow!$B15+Cash_Flow!$C15)</f>
        <v/>
      </c>
    </row>
    <row r="16">
      <c r="A16" s="9" t="n">
        <v>2</v>
      </c>
      <c r="B16" s="9" t="n">
        <v>14</v>
      </c>
      <c r="C16" s="10" t="n">
        <v>250000</v>
      </c>
      <c r="D16" s="10" t="n">
        <v>0</v>
      </c>
      <c r="E16" s="10" t="n">
        <v>211739.37</v>
      </c>
      <c r="F16" s="8" t="n">
        <v>13</v>
      </c>
      <c r="G16" s="8" t="n">
        <v>17</v>
      </c>
      <c r="H16" s="10" t="n">
        <v>780000</v>
      </c>
      <c r="I16" s="10" t="n">
        <v>1020000</v>
      </c>
      <c r="J16" s="16" t="n">
        <v>77062.7</v>
      </c>
      <c r="K16" s="16" t="n">
        <v>0</v>
      </c>
      <c r="L16" s="16" t="n">
        <v>3450000</v>
      </c>
      <c r="M16" s="17">
        <f>$M15+Cash_Flow!$E16</f>
        <v/>
      </c>
      <c r="N16" s="17">
        <f>$N15+Income_Statement!$M16</f>
        <v/>
      </c>
      <c r="O16" s="17">
        <f>IF(Cash_Flow!$F16&lt;=0,0,$O15+(Cash_Flow!$F16+Cash_Flow!$G16))</f>
        <v/>
      </c>
      <c r="P16" s="17">
        <f>Income_Statement!$P16</f>
        <v/>
      </c>
      <c r="Q16" s="17">
        <f>$Q15+Income_Statement!$P16</f>
        <v/>
      </c>
      <c r="R16" s="17">
        <f>$R15+Income_Statement!$Q16</f>
        <v/>
      </c>
      <c r="S16" s="17">
        <f>Income_Statement!$R16</f>
        <v/>
      </c>
      <c r="T16" s="17">
        <f>Income_Statement!$Q16</f>
        <v/>
      </c>
      <c r="U16" s="17">
        <f>$U15+Cash_Flow!$I16</f>
        <v/>
      </c>
      <c r="V16" s="17">
        <f>Cash_Flow!$N16</f>
        <v/>
      </c>
      <c r="W16" s="17">
        <f>($W15+Cash_Flow!$J16)-(Cash_Flow!$B16+Cash_Flow!$C16)</f>
        <v/>
      </c>
    </row>
    <row r="17">
      <c r="A17" s="9" t="n">
        <v>2</v>
      </c>
      <c r="B17" s="9" t="n">
        <v>15</v>
      </c>
      <c r="C17" s="10" t="n">
        <v>250000</v>
      </c>
      <c r="D17" s="10" t="n">
        <v>0</v>
      </c>
      <c r="E17" s="10" t="n">
        <v>207735.76</v>
      </c>
      <c r="F17" s="8" t="n">
        <v>13</v>
      </c>
      <c r="G17" s="8" t="n">
        <v>17</v>
      </c>
      <c r="H17" s="10" t="n">
        <v>780000</v>
      </c>
      <c r="I17" s="10" t="n">
        <v>1020000</v>
      </c>
      <c r="J17" s="16" t="n">
        <v>77062.7</v>
      </c>
      <c r="K17" s="16" t="n">
        <v>0</v>
      </c>
      <c r="L17" s="16" t="n">
        <v>3840000</v>
      </c>
      <c r="M17" s="17">
        <f>$M16+Cash_Flow!$E17</f>
        <v/>
      </c>
      <c r="N17" s="17">
        <f>$N16+Income_Statement!$M17</f>
        <v/>
      </c>
      <c r="O17" s="17">
        <f>IF(Cash_Flow!$F17&lt;=0,0,$O16+(Cash_Flow!$F17+Cash_Flow!$G17))</f>
        <v/>
      </c>
      <c r="P17" s="17">
        <f>Income_Statement!$P17</f>
        <v/>
      </c>
      <c r="Q17" s="17">
        <f>$Q16+Income_Statement!$P17</f>
        <v/>
      </c>
      <c r="R17" s="17">
        <f>$R16+Income_Statement!$Q17</f>
        <v/>
      </c>
      <c r="S17" s="17">
        <f>Income_Statement!$R17</f>
        <v/>
      </c>
      <c r="T17" s="17">
        <f>Income_Statement!$Q17</f>
        <v/>
      </c>
      <c r="U17" s="17">
        <f>$U16+Cash_Flow!$I17</f>
        <v/>
      </c>
      <c r="V17" s="17">
        <f>Cash_Flow!$N17</f>
        <v/>
      </c>
      <c r="W17" s="17">
        <f>($W16+Cash_Flow!$J17)-(Cash_Flow!$B17+Cash_Flow!$C17)</f>
        <v/>
      </c>
    </row>
    <row r="18">
      <c r="A18" s="9" t="n">
        <v>2</v>
      </c>
      <c r="B18" s="9" t="n">
        <v>16</v>
      </c>
      <c r="C18" s="10" t="n">
        <v>250000</v>
      </c>
      <c r="D18" s="10" t="n">
        <v>0</v>
      </c>
      <c r="E18" s="10" t="n">
        <v>203698.79</v>
      </c>
      <c r="F18" s="8" t="n">
        <v>17</v>
      </c>
      <c r="G18" s="8" t="n">
        <v>21</v>
      </c>
      <c r="H18" s="10" t="n">
        <v>1020000</v>
      </c>
      <c r="I18" s="10" t="n">
        <v>1260000</v>
      </c>
      <c r="J18" s="16" t="n">
        <v>102549.1</v>
      </c>
      <c r="K18" s="16" t="n">
        <v>240000</v>
      </c>
      <c r="L18" s="16" t="n">
        <v>4350000</v>
      </c>
      <c r="M18" s="17">
        <f>$M17+Cash_Flow!$E18</f>
        <v/>
      </c>
      <c r="N18" s="17">
        <f>$N17+Income_Statement!$M18</f>
        <v/>
      </c>
      <c r="O18" s="17">
        <f>IF(Cash_Flow!$F18&lt;=0,0,$O17+(Cash_Flow!$F18+Cash_Flow!$G18))</f>
        <v/>
      </c>
      <c r="P18" s="17">
        <f>Income_Statement!$P18</f>
        <v/>
      </c>
      <c r="Q18" s="17">
        <f>$Q17+Income_Statement!$P18</f>
        <v/>
      </c>
      <c r="R18" s="17">
        <f>$R17+Income_Statement!$Q18</f>
        <v/>
      </c>
      <c r="S18" s="17">
        <f>Income_Statement!$R18</f>
        <v/>
      </c>
      <c r="T18" s="17">
        <f>Income_Statement!$Q18</f>
        <v/>
      </c>
      <c r="U18" s="17">
        <f>$U17+Cash_Flow!$I18</f>
        <v/>
      </c>
      <c r="V18" s="17">
        <f>Cash_Flow!$N18</f>
        <v/>
      </c>
      <c r="W18" s="17">
        <f>($W17+Cash_Flow!$J18)-(Cash_Flow!$B18+Cash_Flow!$C18)</f>
        <v/>
      </c>
    </row>
    <row r="19">
      <c r="A19" s="9" t="n">
        <v>2</v>
      </c>
      <c r="B19" s="9" t="n">
        <v>17</v>
      </c>
      <c r="C19" s="10" t="n">
        <v>250000</v>
      </c>
      <c r="D19" s="10" t="n">
        <v>0</v>
      </c>
      <c r="E19" s="10" t="n">
        <v>199628.18</v>
      </c>
      <c r="F19" s="8" t="n">
        <v>17</v>
      </c>
      <c r="G19" s="8" t="n">
        <v>21</v>
      </c>
      <c r="H19" s="10" t="n">
        <v>1020000</v>
      </c>
      <c r="I19" s="10" t="n">
        <v>1260000</v>
      </c>
      <c r="J19" s="16" t="n">
        <v>102549.1</v>
      </c>
      <c r="K19" s="16" t="n">
        <v>0</v>
      </c>
      <c r="L19" s="16" t="n">
        <v>4860000</v>
      </c>
      <c r="M19" s="17">
        <f>$M18+Cash_Flow!$E19</f>
        <v/>
      </c>
      <c r="N19" s="17">
        <f>$N18+Income_Statement!$M19</f>
        <v/>
      </c>
      <c r="O19" s="17">
        <f>IF(Cash_Flow!$F19&lt;=0,0,$O18+(Cash_Flow!$F19+Cash_Flow!$G19))</f>
        <v/>
      </c>
      <c r="P19" s="17">
        <f>Income_Statement!$P19</f>
        <v/>
      </c>
      <c r="Q19" s="17">
        <f>$Q18+Income_Statement!$P19</f>
        <v/>
      </c>
      <c r="R19" s="17">
        <f>$R18+Income_Statement!$Q19</f>
        <v/>
      </c>
      <c r="S19" s="17">
        <f>Income_Statement!$R19</f>
        <v/>
      </c>
      <c r="T19" s="17">
        <f>Income_Statement!$Q19</f>
        <v/>
      </c>
      <c r="U19" s="17">
        <f>$U18+Cash_Flow!$I19</f>
        <v/>
      </c>
      <c r="V19" s="17">
        <f>Cash_Flow!$N19</f>
        <v/>
      </c>
      <c r="W19" s="17">
        <f>($W18+Cash_Flow!$J19)-(Cash_Flow!$B19+Cash_Flow!$C19)</f>
        <v/>
      </c>
    </row>
    <row r="20">
      <c r="A20" s="9" t="n">
        <v>2</v>
      </c>
      <c r="B20" s="9" t="n">
        <v>18</v>
      </c>
      <c r="C20" s="10" t="n">
        <v>250000</v>
      </c>
      <c r="D20" s="10" t="n">
        <v>0</v>
      </c>
      <c r="E20" s="10" t="n">
        <v>195523.64</v>
      </c>
      <c r="F20" s="8" t="n">
        <v>17</v>
      </c>
      <c r="G20" s="8" t="n">
        <v>25</v>
      </c>
      <c r="H20" s="10" t="n">
        <v>1020000</v>
      </c>
      <c r="I20" s="10" t="n">
        <v>1500000</v>
      </c>
      <c r="J20" s="16" t="n">
        <v>102549.1</v>
      </c>
      <c r="K20" s="16" t="n">
        <v>240000</v>
      </c>
      <c r="L20" s="16" t="n">
        <v>5370000</v>
      </c>
      <c r="M20" s="17">
        <f>$M19+Cash_Flow!$E20</f>
        <v/>
      </c>
      <c r="N20" s="17">
        <f>$N19+Income_Statement!$M20</f>
        <v/>
      </c>
      <c r="O20" s="17">
        <f>IF(Cash_Flow!$F20&lt;=0,0,$O19+(Cash_Flow!$F20+Cash_Flow!$G20))</f>
        <v/>
      </c>
      <c r="P20" s="17">
        <f>Income_Statement!$P20</f>
        <v/>
      </c>
      <c r="Q20" s="17">
        <f>$Q19+Income_Statement!$P20</f>
        <v/>
      </c>
      <c r="R20" s="17">
        <f>$R19+Income_Statement!$Q20</f>
        <v/>
      </c>
      <c r="S20" s="17">
        <f>Income_Statement!$R20</f>
        <v/>
      </c>
      <c r="T20" s="17">
        <f>Income_Statement!$Q20</f>
        <v/>
      </c>
      <c r="U20" s="17">
        <f>$U19+Cash_Flow!$I20</f>
        <v/>
      </c>
      <c r="V20" s="17">
        <f>Cash_Flow!$N20</f>
        <v/>
      </c>
      <c r="W20" s="17">
        <f>($W19+Cash_Flow!$J20)-(Cash_Flow!$B20+Cash_Flow!$C20)</f>
        <v/>
      </c>
    </row>
    <row r="21">
      <c r="A21" s="9" t="n">
        <v>2</v>
      </c>
      <c r="B21" s="9" t="n">
        <v>19</v>
      </c>
      <c r="C21" s="10" t="n">
        <v>250000</v>
      </c>
      <c r="D21" s="10" t="n">
        <v>0</v>
      </c>
      <c r="E21" s="10" t="n">
        <v>191384.91</v>
      </c>
      <c r="F21" s="8" t="n">
        <v>12</v>
      </c>
      <c r="G21" s="8" t="n">
        <v>25</v>
      </c>
      <c r="H21" s="10" t="n">
        <v>720000</v>
      </c>
      <c r="I21" s="10" t="n">
        <v>1500000</v>
      </c>
      <c r="J21" s="16" t="n">
        <v>70691.10000000001</v>
      </c>
      <c r="K21" s="16" t="n">
        <v>0</v>
      </c>
      <c r="L21" s="16" t="n">
        <v>5730000</v>
      </c>
      <c r="M21" s="17">
        <f>$M20+Cash_Flow!$E21</f>
        <v/>
      </c>
      <c r="N21" s="17">
        <f>$N20+Income_Statement!$M21</f>
        <v/>
      </c>
      <c r="O21" s="17">
        <f>IF(Cash_Flow!$F21&lt;=0,0,$O20+(Cash_Flow!$F21+Cash_Flow!$G21))</f>
        <v/>
      </c>
      <c r="P21" s="17">
        <f>Income_Statement!$P21</f>
        <v/>
      </c>
      <c r="Q21" s="17">
        <f>$Q20+Income_Statement!$P21</f>
        <v/>
      </c>
      <c r="R21" s="17">
        <f>$R20+Income_Statement!$Q21</f>
        <v/>
      </c>
      <c r="S21" s="17">
        <f>Income_Statement!$R21</f>
        <v/>
      </c>
      <c r="T21" s="17">
        <f>Income_Statement!$Q21</f>
        <v/>
      </c>
      <c r="U21" s="17">
        <f>$U20+Cash_Flow!$I21</f>
        <v/>
      </c>
      <c r="V21" s="17">
        <f>Cash_Flow!$N21</f>
        <v/>
      </c>
      <c r="W21" s="17">
        <f>($W20+Cash_Flow!$J21)-(Cash_Flow!$B21+Cash_Flow!$C21)</f>
        <v/>
      </c>
    </row>
    <row r="22">
      <c r="A22" s="9" t="n">
        <v>2</v>
      </c>
      <c r="B22" s="9" t="n">
        <v>20</v>
      </c>
      <c r="C22" s="10" t="n">
        <v>250000</v>
      </c>
      <c r="D22" s="10" t="n">
        <v>0</v>
      </c>
      <c r="E22" s="10" t="n">
        <v>187211.68</v>
      </c>
      <c r="F22" s="8" t="n">
        <v>12</v>
      </c>
      <c r="G22" s="8" t="n">
        <v>25</v>
      </c>
      <c r="H22" s="10" t="n">
        <v>720000</v>
      </c>
      <c r="I22" s="10" t="n">
        <v>1500000</v>
      </c>
      <c r="J22" s="16" t="n">
        <v>70691.10000000001</v>
      </c>
      <c r="K22" s="16" t="n">
        <v>0</v>
      </c>
      <c r="L22" s="16" t="n">
        <v>6090000</v>
      </c>
      <c r="M22" s="17">
        <f>$M21+Cash_Flow!$E22</f>
        <v/>
      </c>
      <c r="N22" s="17">
        <f>$N21+Income_Statement!$M22</f>
        <v/>
      </c>
      <c r="O22" s="17">
        <f>IF(Cash_Flow!$F22&lt;=0,0,$O21+(Cash_Flow!$F22+Cash_Flow!$G22))</f>
        <v/>
      </c>
      <c r="P22" s="17">
        <f>Income_Statement!$P22</f>
        <v/>
      </c>
      <c r="Q22" s="17">
        <f>$Q21+Income_Statement!$P22</f>
        <v/>
      </c>
      <c r="R22" s="17">
        <f>$R21+Income_Statement!$Q22</f>
        <v/>
      </c>
      <c r="S22" s="17">
        <f>Income_Statement!$R22</f>
        <v/>
      </c>
      <c r="T22" s="17">
        <f>Income_Statement!$Q22</f>
        <v/>
      </c>
      <c r="U22" s="17">
        <f>$U21+Cash_Flow!$I22</f>
        <v/>
      </c>
      <c r="V22" s="17">
        <f>Cash_Flow!$N22</f>
        <v/>
      </c>
      <c r="W22" s="17">
        <f>($W21+Cash_Flow!$J22)-(Cash_Flow!$B22+Cash_Flow!$C22)</f>
        <v/>
      </c>
    </row>
    <row r="23">
      <c r="A23" s="9" t="n">
        <v>2</v>
      </c>
      <c r="B23" s="9" t="n">
        <v>21</v>
      </c>
      <c r="C23" s="10" t="n">
        <v>250000</v>
      </c>
      <c r="D23" s="10" t="n">
        <v>0</v>
      </c>
      <c r="E23" s="10" t="n">
        <v>183003.67</v>
      </c>
      <c r="F23" s="8" t="n">
        <v>16</v>
      </c>
      <c r="G23" s="8" t="n">
        <v>29</v>
      </c>
      <c r="H23" s="10" t="n">
        <v>960000</v>
      </c>
      <c r="I23" s="10" t="n">
        <v>1740000</v>
      </c>
      <c r="J23" s="16" t="n">
        <v>96177.5</v>
      </c>
      <c r="K23" s="16" t="n">
        <v>240000</v>
      </c>
      <c r="L23" s="16" t="n">
        <v>6570000</v>
      </c>
      <c r="M23" s="17">
        <f>$M22+Cash_Flow!$E23</f>
        <v/>
      </c>
      <c r="N23" s="17">
        <f>$N22+Income_Statement!$M23</f>
        <v/>
      </c>
      <c r="O23" s="17">
        <f>IF(Cash_Flow!$F23&lt;=0,0,$O22+(Cash_Flow!$F23+Cash_Flow!$G23))</f>
        <v/>
      </c>
      <c r="P23" s="17">
        <f>Income_Statement!$P23</f>
        <v/>
      </c>
      <c r="Q23" s="17">
        <f>$Q22+Income_Statement!$P23</f>
        <v/>
      </c>
      <c r="R23" s="17">
        <f>$R22+Income_Statement!$Q23</f>
        <v/>
      </c>
      <c r="S23" s="17">
        <f>Income_Statement!$R23</f>
        <v/>
      </c>
      <c r="T23" s="17">
        <f>Income_Statement!$Q23</f>
        <v/>
      </c>
      <c r="U23" s="17">
        <f>$U22+Cash_Flow!$I23</f>
        <v/>
      </c>
      <c r="V23" s="17">
        <f>Cash_Flow!$N23</f>
        <v/>
      </c>
      <c r="W23" s="17">
        <f>($W22+Cash_Flow!$J23)-(Cash_Flow!$B23+Cash_Flow!$C23)</f>
        <v/>
      </c>
    </row>
    <row r="24">
      <c r="A24" s="9" t="n">
        <v>2</v>
      </c>
      <c r="B24" s="9" t="n">
        <v>22</v>
      </c>
      <c r="C24" s="10" t="n">
        <v>250000</v>
      </c>
      <c r="D24" s="10" t="n">
        <v>0</v>
      </c>
      <c r="E24" s="10" t="n">
        <v>178760.6</v>
      </c>
      <c r="F24" s="8" t="n">
        <v>16</v>
      </c>
      <c r="G24" s="8" t="n">
        <v>29</v>
      </c>
      <c r="H24" s="10" t="n">
        <v>960000</v>
      </c>
      <c r="I24" s="10" t="n">
        <v>1740000</v>
      </c>
      <c r="J24" s="16" t="n">
        <v>96177.5</v>
      </c>
      <c r="K24" s="16" t="n">
        <v>0</v>
      </c>
      <c r="L24" s="16" t="n">
        <v>7050000</v>
      </c>
      <c r="M24" s="17">
        <f>$M23+Cash_Flow!$E24</f>
        <v/>
      </c>
      <c r="N24" s="17">
        <f>$N23+Income_Statement!$M24</f>
        <v/>
      </c>
      <c r="O24" s="17">
        <f>IF(Cash_Flow!$F24&lt;=0,0,$O23+(Cash_Flow!$F24+Cash_Flow!$G24))</f>
        <v/>
      </c>
      <c r="P24" s="17">
        <f>Income_Statement!$P24</f>
        <v/>
      </c>
      <c r="Q24" s="17">
        <f>$Q23+Income_Statement!$P24</f>
        <v/>
      </c>
      <c r="R24" s="17">
        <f>$R23+Income_Statement!$Q24</f>
        <v/>
      </c>
      <c r="S24" s="17">
        <f>Income_Statement!$R24</f>
        <v/>
      </c>
      <c r="T24" s="17">
        <f>Income_Statement!$Q24</f>
        <v/>
      </c>
      <c r="U24" s="17">
        <f>$U23+Cash_Flow!$I24</f>
        <v/>
      </c>
      <c r="V24" s="17">
        <f>Cash_Flow!$N24</f>
        <v/>
      </c>
      <c r="W24" s="17">
        <f>($W23+Cash_Flow!$J24)-(Cash_Flow!$B24+Cash_Flow!$C24)</f>
        <v/>
      </c>
    </row>
    <row r="25">
      <c r="A25" s="9" t="n">
        <v>2</v>
      </c>
      <c r="B25" s="9" t="n">
        <v>23</v>
      </c>
      <c r="C25" s="10" t="n">
        <v>250000</v>
      </c>
      <c r="D25" s="10" t="n">
        <v>0</v>
      </c>
      <c r="E25" s="10" t="n">
        <v>174482.17</v>
      </c>
      <c r="F25" s="8" t="n">
        <v>16</v>
      </c>
      <c r="G25" s="8" t="n">
        <v>33</v>
      </c>
      <c r="H25" s="10" t="n">
        <v>960000</v>
      </c>
      <c r="I25" s="10" t="n">
        <v>1980000</v>
      </c>
      <c r="J25" s="16" t="n">
        <v>96177.5</v>
      </c>
      <c r="K25" s="16" t="n">
        <v>240000</v>
      </c>
      <c r="L25" s="16" t="n">
        <v>7530000</v>
      </c>
      <c r="M25" s="17">
        <f>$M24+Cash_Flow!$E25</f>
        <v/>
      </c>
      <c r="N25" s="17">
        <f>$N24+Income_Statement!$M25</f>
        <v/>
      </c>
      <c r="O25" s="17">
        <f>IF(Cash_Flow!$F25&lt;=0,0,$O24+(Cash_Flow!$F25+Cash_Flow!$G25))</f>
        <v/>
      </c>
      <c r="P25" s="17">
        <f>Income_Statement!$P25</f>
        <v/>
      </c>
      <c r="Q25" s="17">
        <f>$Q24+Income_Statement!$P25</f>
        <v/>
      </c>
      <c r="R25" s="17">
        <f>$R24+Income_Statement!$Q25</f>
        <v/>
      </c>
      <c r="S25" s="17">
        <f>Income_Statement!$R25</f>
        <v/>
      </c>
      <c r="T25" s="17">
        <f>Income_Statement!$Q25</f>
        <v/>
      </c>
      <c r="U25" s="17">
        <f>$U24+Cash_Flow!$I25</f>
        <v/>
      </c>
      <c r="V25" s="17">
        <f>Cash_Flow!$N25</f>
        <v/>
      </c>
      <c r="W25" s="17">
        <f>($W24+Cash_Flow!$J25)-(Cash_Flow!$B25+Cash_Flow!$C25)</f>
        <v/>
      </c>
    </row>
    <row r="26">
      <c r="A26" s="9" t="n">
        <v>2</v>
      </c>
      <c r="B26" s="9" t="n">
        <v>24</v>
      </c>
      <c r="C26" s="10" t="n">
        <v>250000</v>
      </c>
      <c r="D26" s="10" t="n">
        <v>0</v>
      </c>
      <c r="E26" s="10" t="n">
        <v>170168.09</v>
      </c>
      <c r="F26" s="8" t="n">
        <v>16</v>
      </c>
      <c r="G26" s="8" t="n">
        <v>33</v>
      </c>
      <c r="H26" s="10" t="n">
        <v>960000</v>
      </c>
      <c r="I26" s="10" t="n">
        <v>1980000</v>
      </c>
      <c r="J26" s="16" t="n">
        <v>96177.5</v>
      </c>
      <c r="K26" s="16" t="n">
        <v>0</v>
      </c>
      <c r="L26" s="16" t="n">
        <v>8010000</v>
      </c>
      <c r="M26" s="17">
        <f>$M25+Cash_Flow!$E26</f>
        <v/>
      </c>
      <c r="N26" s="17">
        <f>$N25+Income_Statement!$M26</f>
        <v/>
      </c>
      <c r="O26" s="17">
        <f>IF(Cash_Flow!$F26&lt;=0,0,$O25+(Cash_Flow!$F26+Cash_Flow!$G26))</f>
        <v/>
      </c>
      <c r="P26" s="17">
        <f>Income_Statement!$P26</f>
        <v/>
      </c>
      <c r="Q26" s="17">
        <f>$Q25+Income_Statement!$P26</f>
        <v/>
      </c>
      <c r="R26" s="17">
        <f>$R25+Income_Statement!$Q26</f>
        <v/>
      </c>
      <c r="S26" s="17">
        <f>Income_Statement!$R26</f>
        <v/>
      </c>
      <c r="T26" s="17">
        <f>Income_Statement!$Q26</f>
        <v/>
      </c>
      <c r="U26" s="17">
        <f>$U25+Cash_Flow!$I26</f>
        <v/>
      </c>
      <c r="V26" s="17">
        <f>Cash_Flow!$N26</f>
        <v/>
      </c>
      <c r="W26" s="17">
        <f>($W25+Cash_Flow!$J26)-(Cash_Flow!$B26+Cash_Flow!$C26)</f>
        <v/>
      </c>
    </row>
    <row r="27">
      <c r="A27" s="9" t="n">
        <v>3</v>
      </c>
      <c r="B27" s="9" t="n">
        <v>25</v>
      </c>
      <c r="C27" s="10" t="n">
        <v>250000</v>
      </c>
      <c r="D27" s="10" t="n">
        <v>0</v>
      </c>
      <c r="E27" s="10" t="n">
        <v>165818.05</v>
      </c>
      <c r="F27" s="8" t="n">
        <v>16</v>
      </c>
      <c r="G27" s="8" t="n">
        <v>33</v>
      </c>
      <c r="H27" s="10" t="n">
        <v>960000</v>
      </c>
      <c r="I27" s="10" t="n">
        <v>1980000</v>
      </c>
      <c r="J27" s="16" t="n">
        <v>96177.5</v>
      </c>
      <c r="K27" s="16" t="n">
        <v>0</v>
      </c>
      <c r="L27" s="16" t="n">
        <v>8490000</v>
      </c>
      <c r="M27" s="17">
        <f>$M26+Cash_Flow!$E27</f>
        <v/>
      </c>
      <c r="N27" s="17">
        <f>$N26+Income_Statement!$M27</f>
        <v/>
      </c>
      <c r="O27" s="17">
        <f>IF(Cash_Flow!$F27&lt;=0,0,$O26+(Cash_Flow!$F27+Cash_Flow!$G27))</f>
        <v/>
      </c>
      <c r="P27" s="17">
        <f>Income_Statement!$P27</f>
        <v/>
      </c>
      <c r="Q27" s="17">
        <f>$Q26+Income_Statement!$P27</f>
        <v/>
      </c>
      <c r="R27" s="17">
        <f>$R26+Income_Statement!$Q27</f>
        <v/>
      </c>
      <c r="S27" s="17">
        <f>Income_Statement!$R27</f>
        <v/>
      </c>
      <c r="T27" s="17">
        <f>Income_Statement!$Q27</f>
        <v/>
      </c>
      <c r="U27" s="17">
        <f>$U26+Cash_Flow!$I27</f>
        <v/>
      </c>
      <c r="V27" s="17">
        <f>Cash_Flow!$N27</f>
        <v/>
      </c>
      <c r="W27" s="17">
        <f>($W26+Cash_Flow!$J27)-(Cash_Flow!$B27+Cash_Flow!$C27)</f>
        <v/>
      </c>
    </row>
    <row r="28">
      <c r="A28" s="9" t="n">
        <v>3</v>
      </c>
      <c r="B28" s="9" t="n">
        <v>26</v>
      </c>
      <c r="C28" s="10" t="n">
        <v>250000</v>
      </c>
      <c r="D28" s="10" t="n">
        <v>0</v>
      </c>
      <c r="E28" s="10" t="n">
        <v>161431.77</v>
      </c>
      <c r="F28" s="8" t="n">
        <v>20</v>
      </c>
      <c r="G28" s="8" t="n">
        <v>38</v>
      </c>
      <c r="H28" s="10" t="n">
        <v>1200000</v>
      </c>
      <c r="I28" s="10" t="n">
        <v>2280000</v>
      </c>
      <c r="J28" s="16" t="n">
        <v>121663.9</v>
      </c>
      <c r="K28" s="16" t="n">
        <v>300000</v>
      </c>
      <c r="L28" s="16" t="n">
        <v>9090000</v>
      </c>
      <c r="M28" s="17">
        <f>$M27+Cash_Flow!$E28</f>
        <v/>
      </c>
      <c r="N28" s="17">
        <f>$N27+Income_Statement!$M28</f>
        <v/>
      </c>
      <c r="O28" s="17">
        <f>IF(Cash_Flow!$F28&lt;=0,0,$O27+(Cash_Flow!$F28+Cash_Flow!$G28))</f>
        <v/>
      </c>
      <c r="P28" s="17">
        <f>Income_Statement!$P28</f>
        <v/>
      </c>
      <c r="Q28" s="17">
        <f>$Q27+Income_Statement!$P28</f>
        <v/>
      </c>
      <c r="R28" s="17">
        <f>$R27+Income_Statement!$Q28</f>
        <v/>
      </c>
      <c r="S28" s="17">
        <f>Income_Statement!$R28</f>
        <v/>
      </c>
      <c r="T28" s="17">
        <f>Income_Statement!$Q28</f>
        <v/>
      </c>
      <c r="U28" s="17">
        <f>$U27+Cash_Flow!$I28</f>
        <v/>
      </c>
      <c r="V28" s="17">
        <f>Cash_Flow!$N28</f>
        <v/>
      </c>
      <c r="W28" s="17">
        <f>($W27+Cash_Flow!$J28)-(Cash_Flow!$B28+Cash_Flow!$C28)</f>
        <v/>
      </c>
    </row>
    <row r="29">
      <c r="A29" s="9" t="n">
        <v>3</v>
      </c>
      <c r="B29" s="9" t="n">
        <v>27</v>
      </c>
      <c r="C29" s="10" t="n">
        <v>250000</v>
      </c>
      <c r="D29" s="10" t="n">
        <v>0</v>
      </c>
      <c r="E29" s="10" t="n">
        <v>157008.93</v>
      </c>
      <c r="F29" s="8" t="n">
        <v>16</v>
      </c>
      <c r="G29" s="8" t="n">
        <v>38</v>
      </c>
      <c r="H29" s="10" t="n">
        <v>960000</v>
      </c>
      <c r="I29" s="10" t="n">
        <v>2280000</v>
      </c>
      <c r="J29" s="16" t="n">
        <v>96177.5</v>
      </c>
      <c r="K29" s="16" t="n">
        <v>0</v>
      </c>
      <c r="L29" s="16" t="n">
        <v>9570000</v>
      </c>
      <c r="M29" s="17">
        <f>$M28+Cash_Flow!$E29</f>
        <v/>
      </c>
      <c r="N29" s="17">
        <f>$N28+Income_Statement!$M29</f>
        <v/>
      </c>
      <c r="O29" s="17">
        <f>IF(Cash_Flow!$F29&lt;=0,0,$O28+(Cash_Flow!$F29+Cash_Flow!$G29))</f>
        <v/>
      </c>
      <c r="P29" s="17">
        <f>Income_Statement!$P29</f>
        <v/>
      </c>
      <c r="Q29" s="17">
        <f>$Q28+Income_Statement!$P29</f>
        <v/>
      </c>
      <c r="R29" s="17">
        <f>$R28+Income_Statement!$Q29</f>
        <v/>
      </c>
      <c r="S29" s="17">
        <f>Income_Statement!$R29</f>
        <v/>
      </c>
      <c r="T29" s="17">
        <f>Income_Statement!$Q29</f>
        <v/>
      </c>
      <c r="U29" s="17">
        <f>$U28+Cash_Flow!$I29</f>
        <v/>
      </c>
      <c r="V29" s="17">
        <f>Cash_Flow!$N29</f>
        <v/>
      </c>
      <c r="W29" s="17">
        <f>($W28+Cash_Flow!$J29)-(Cash_Flow!$B29+Cash_Flow!$C29)</f>
        <v/>
      </c>
    </row>
    <row r="30">
      <c r="A30" s="9" t="n">
        <v>3</v>
      </c>
      <c r="B30" s="9" t="n">
        <v>28</v>
      </c>
      <c r="C30" s="10" t="n">
        <v>250000</v>
      </c>
      <c r="D30" s="10" t="n">
        <v>0</v>
      </c>
      <c r="E30" s="10" t="n">
        <v>152549.24</v>
      </c>
      <c r="F30" s="8" t="n">
        <v>16</v>
      </c>
      <c r="G30" s="8" t="n">
        <v>42</v>
      </c>
      <c r="H30" s="10" t="n">
        <v>960000</v>
      </c>
      <c r="I30" s="10" t="n">
        <v>2520000</v>
      </c>
      <c r="J30" s="16" t="n">
        <v>96177.5</v>
      </c>
      <c r="K30" s="16" t="n">
        <v>240000</v>
      </c>
      <c r="L30" s="16" t="n">
        <v>10050000</v>
      </c>
      <c r="M30" s="17">
        <f>$M29+Cash_Flow!$E30</f>
        <v/>
      </c>
      <c r="N30" s="17">
        <f>$N29+Income_Statement!$M30</f>
        <v/>
      </c>
      <c r="O30" s="17">
        <f>IF(Cash_Flow!$F30&lt;=0,0,$O29+(Cash_Flow!$F30+Cash_Flow!$G30))</f>
        <v/>
      </c>
      <c r="P30" s="17">
        <f>Income_Statement!$P30</f>
        <v/>
      </c>
      <c r="Q30" s="17">
        <f>$Q29+Income_Statement!$P30</f>
        <v/>
      </c>
      <c r="R30" s="17">
        <f>$R29+Income_Statement!$Q30</f>
        <v/>
      </c>
      <c r="S30" s="17">
        <f>Income_Statement!$R30</f>
        <v/>
      </c>
      <c r="T30" s="17">
        <f>Income_Statement!$Q30</f>
        <v/>
      </c>
      <c r="U30" s="17">
        <f>$U29+Cash_Flow!$I30</f>
        <v/>
      </c>
      <c r="V30" s="17">
        <f>Cash_Flow!$N30</f>
        <v/>
      </c>
      <c r="W30" s="17">
        <f>($W29+Cash_Flow!$J30)-(Cash_Flow!$B30+Cash_Flow!$C30)</f>
        <v/>
      </c>
    </row>
    <row r="31">
      <c r="A31" s="9" t="n">
        <v>3</v>
      </c>
      <c r="B31" s="9" t="n">
        <v>29</v>
      </c>
      <c r="C31" s="10" t="n">
        <v>250000</v>
      </c>
      <c r="D31" s="10" t="n">
        <v>0</v>
      </c>
      <c r="E31" s="10" t="n">
        <v>148052.38</v>
      </c>
      <c r="F31" s="8" t="n">
        <v>21</v>
      </c>
      <c r="G31" s="8" t="n">
        <v>42</v>
      </c>
      <c r="H31" s="10" t="n">
        <v>1260000</v>
      </c>
      <c r="I31" s="10" t="n">
        <v>2520000</v>
      </c>
      <c r="J31" s="16" t="n">
        <v>128035.5</v>
      </c>
      <c r="K31" s="16" t="n">
        <v>0</v>
      </c>
      <c r="L31" s="16" t="n">
        <v>10680000</v>
      </c>
      <c r="M31" s="17">
        <f>$M30+Cash_Flow!$E31</f>
        <v/>
      </c>
      <c r="N31" s="17">
        <f>$N30+Income_Statement!$M31</f>
        <v/>
      </c>
      <c r="O31" s="17">
        <f>IF(Cash_Flow!$F31&lt;=0,0,$O30+(Cash_Flow!$F31+Cash_Flow!$G31))</f>
        <v/>
      </c>
      <c r="P31" s="17">
        <f>Income_Statement!$P31</f>
        <v/>
      </c>
      <c r="Q31" s="17">
        <f>$Q30+Income_Statement!$P31</f>
        <v/>
      </c>
      <c r="R31" s="17">
        <f>$R30+Income_Statement!$Q31</f>
        <v/>
      </c>
      <c r="S31" s="17">
        <f>Income_Statement!$R31</f>
        <v/>
      </c>
      <c r="T31" s="17">
        <f>Income_Statement!$Q31</f>
        <v/>
      </c>
      <c r="U31" s="17">
        <f>$U30+Cash_Flow!$I31</f>
        <v/>
      </c>
      <c r="V31" s="17">
        <f>Cash_Flow!$N31</f>
        <v/>
      </c>
      <c r="W31" s="17">
        <f>($W30+Cash_Flow!$J31)-(Cash_Flow!$B31+Cash_Flow!$C31)</f>
        <v/>
      </c>
    </row>
    <row r="32">
      <c r="A32" s="9" t="n">
        <v>3</v>
      </c>
      <c r="B32" s="9" t="n">
        <v>30</v>
      </c>
      <c r="C32" s="10" t="n">
        <v>250000</v>
      </c>
      <c r="D32" s="10" t="n">
        <v>0</v>
      </c>
      <c r="E32" s="10" t="n">
        <v>143518.05</v>
      </c>
      <c r="F32" s="8" t="n">
        <v>17</v>
      </c>
      <c r="G32" s="8" t="n">
        <v>46</v>
      </c>
      <c r="H32" s="10" t="n">
        <v>1020000</v>
      </c>
      <c r="I32" s="10" t="n">
        <v>2760000</v>
      </c>
      <c r="J32" s="16" t="n">
        <v>102549.1</v>
      </c>
      <c r="K32" s="16" t="n">
        <v>240000</v>
      </c>
      <c r="L32" s="16" t="n">
        <v>11190000</v>
      </c>
      <c r="M32" s="17">
        <f>$M31+Cash_Flow!$E32</f>
        <v/>
      </c>
      <c r="N32" s="17">
        <f>$N31+Income_Statement!$M32</f>
        <v/>
      </c>
      <c r="O32" s="17">
        <f>IF(Cash_Flow!$F32&lt;=0,0,$O31+(Cash_Flow!$F32+Cash_Flow!$G32))</f>
        <v/>
      </c>
      <c r="P32" s="17">
        <f>Income_Statement!$P32</f>
        <v/>
      </c>
      <c r="Q32" s="17">
        <f>$Q31+Income_Statement!$P32</f>
        <v/>
      </c>
      <c r="R32" s="17">
        <f>$R31+Income_Statement!$Q32</f>
        <v/>
      </c>
      <c r="S32" s="17">
        <f>Income_Statement!$R32</f>
        <v/>
      </c>
      <c r="T32" s="17">
        <f>Income_Statement!$Q32</f>
        <v/>
      </c>
      <c r="U32" s="17">
        <f>$U31+Cash_Flow!$I32</f>
        <v/>
      </c>
      <c r="V32" s="17">
        <f>Cash_Flow!$N32</f>
        <v/>
      </c>
      <c r="W32" s="17">
        <f>($W31+Cash_Flow!$J32)-(Cash_Flow!$B32+Cash_Flow!$C32)</f>
        <v/>
      </c>
    </row>
    <row r="33">
      <c r="A33" s="9" t="n">
        <v>3</v>
      </c>
      <c r="B33" s="9" t="n">
        <v>31</v>
      </c>
      <c r="C33" s="10" t="n">
        <v>250000</v>
      </c>
      <c r="D33" s="10" t="n">
        <v>0</v>
      </c>
      <c r="E33" s="10" t="n">
        <v>138945.93</v>
      </c>
      <c r="F33" s="8" t="n">
        <v>21</v>
      </c>
      <c r="G33" s="8" t="n">
        <v>46</v>
      </c>
      <c r="H33" s="10" t="n">
        <v>1260000</v>
      </c>
      <c r="I33" s="10" t="n">
        <v>2760000</v>
      </c>
      <c r="J33" s="16" t="n">
        <v>128035.5</v>
      </c>
      <c r="K33" s="16" t="n">
        <v>0</v>
      </c>
      <c r="L33" s="16" t="n">
        <v>11820000</v>
      </c>
      <c r="M33" s="17">
        <f>$M32+Cash_Flow!$E33</f>
        <v/>
      </c>
      <c r="N33" s="17">
        <f>$N32+Income_Statement!$M33</f>
        <v/>
      </c>
      <c r="O33" s="17">
        <f>IF(Cash_Flow!$F33&lt;=0,0,$O32+(Cash_Flow!$F33+Cash_Flow!$G33))</f>
        <v/>
      </c>
      <c r="P33" s="17">
        <f>Income_Statement!$P33</f>
        <v/>
      </c>
      <c r="Q33" s="17">
        <f>$Q32+Income_Statement!$P33</f>
        <v/>
      </c>
      <c r="R33" s="17">
        <f>$R32+Income_Statement!$Q33</f>
        <v/>
      </c>
      <c r="S33" s="17">
        <f>Income_Statement!$R33</f>
        <v/>
      </c>
      <c r="T33" s="17">
        <f>Income_Statement!$Q33</f>
        <v/>
      </c>
      <c r="U33" s="17">
        <f>$U32+Cash_Flow!$I33</f>
        <v/>
      </c>
      <c r="V33" s="17">
        <f>Cash_Flow!$N33</f>
        <v/>
      </c>
      <c r="W33" s="17">
        <f>($W32+Cash_Flow!$J33)-(Cash_Flow!$B33+Cash_Flow!$C33)</f>
        <v/>
      </c>
    </row>
    <row r="34">
      <c r="A34" s="9" t="n">
        <v>3</v>
      </c>
      <c r="B34" s="9" t="n">
        <v>32</v>
      </c>
      <c r="C34" s="10" t="n">
        <v>250000</v>
      </c>
      <c r="D34" s="10" t="n">
        <v>0</v>
      </c>
      <c r="E34" s="10" t="n">
        <v>134335.71</v>
      </c>
      <c r="F34" s="8" t="n">
        <v>17</v>
      </c>
      <c r="G34" s="8" t="n">
        <v>50</v>
      </c>
      <c r="H34" s="10" t="n">
        <v>1020000</v>
      </c>
      <c r="I34" s="10" t="n">
        <v>3000000</v>
      </c>
      <c r="J34" s="16" t="n">
        <v>102549.1</v>
      </c>
      <c r="K34" s="16" t="n">
        <v>240000</v>
      </c>
      <c r="L34" s="16" t="n">
        <v>12330000</v>
      </c>
      <c r="M34" s="17">
        <f>$M33+Cash_Flow!$E34</f>
        <v/>
      </c>
      <c r="N34" s="17">
        <f>$N33+Income_Statement!$M34</f>
        <v/>
      </c>
      <c r="O34" s="17">
        <f>IF(Cash_Flow!$F34&lt;=0,0,$O33+(Cash_Flow!$F34+Cash_Flow!$G34))</f>
        <v/>
      </c>
      <c r="P34" s="17">
        <f>Income_Statement!$P34</f>
        <v/>
      </c>
      <c r="Q34" s="17">
        <f>$Q33+Income_Statement!$P34</f>
        <v/>
      </c>
      <c r="R34" s="17">
        <f>$R33+Income_Statement!$Q34</f>
        <v/>
      </c>
      <c r="S34" s="17">
        <f>Income_Statement!$R34</f>
        <v/>
      </c>
      <c r="T34" s="17">
        <f>Income_Statement!$Q34</f>
        <v/>
      </c>
      <c r="U34" s="17">
        <f>$U33+Cash_Flow!$I34</f>
        <v/>
      </c>
      <c r="V34" s="17">
        <f>Cash_Flow!$N34</f>
        <v/>
      </c>
      <c r="W34" s="17">
        <f>($W33+Cash_Flow!$J34)-(Cash_Flow!$B34+Cash_Flow!$C34)</f>
        <v/>
      </c>
    </row>
    <row r="35">
      <c r="A35" s="9" t="n">
        <v>3</v>
      </c>
      <c r="B35" s="9" t="n">
        <v>33</v>
      </c>
      <c r="C35" s="10" t="n">
        <v>250000</v>
      </c>
      <c r="D35" s="10" t="n">
        <v>0</v>
      </c>
      <c r="E35" s="10" t="n">
        <v>129687.07</v>
      </c>
      <c r="F35" s="8" t="n">
        <v>21</v>
      </c>
      <c r="G35" s="8" t="n">
        <v>50</v>
      </c>
      <c r="H35" s="10" t="n">
        <v>1260000</v>
      </c>
      <c r="I35" s="10" t="n">
        <v>3000000</v>
      </c>
      <c r="J35" s="16" t="n">
        <v>128035.5</v>
      </c>
      <c r="K35" s="16" t="n">
        <v>0</v>
      </c>
      <c r="L35" s="16" t="n">
        <v>12960000</v>
      </c>
      <c r="M35" s="17">
        <f>$M34+Cash_Flow!$E35</f>
        <v/>
      </c>
      <c r="N35" s="17">
        <f>$N34+Income_Statement!$M35</f>
        <v/>
      </c>
      <c r="O35" s="17">
        <f>IF(Cash_Flow!$F35&lt;=0,0,$O34+(Cash_Flow!$F35+Cash_Flow!$G35))</f>
        <v/>
      </c>
      <c r="P35" s="17">
        <f>Income_Statement!$P35</f>
        <v/>
      </c>
      <c r="Q35" s="17">
        <f>$Q34+Income_Statement!$P35</f>
        <v/>
      </c>
      <c r="R35" s="17">
        <f>$R34+Income_Statement!$Q35</f>
        <v/>
      </c>
      <c r="S35" s="17">
        <f>Income_Statement!$R35</f>
        <v/>
      </c>
      <c r="T35" s="17">
        <f>Income_Statement!$Q35</f>
        <v/>
      </c>
      <c r="U35" s="17">
        <f>$U34+Cash_Flow!$I35</f>
        <v/>
      </c>
      <c r="V35" s="17">
        <f>Cash_Flow!$N35</f>
        <v/>
      </c>
      <c r="W35" s="17">
        <f>($W34+Cash_Flow!$J35)-(Cash_Flow!$B35+Cash_Flow!$C35)</f>
        <v/>
      </c>
    </row>
    <row r="36">
      <c r="A36" s="9" t="n">
        <v>3</v>
      </c>
      <c r="B36" s="9" t="n">
        <v>34</v>
      </c>
      <c r="C36" s="10" t="n">
        <v>250000</v>
      </c>
      <c r="D36" s="10" t="n">
        <v>0</v>
      </c>
      <c r="E36" s="10" t="n">
        <v>124999.7</v>
      </c>
      <c r="F36" s="8" t="n">
        <v>21</v>
      </c>
      <c r="G36" s="8" t="n">
        <v>54</v>
      </c>
      <c r="H36" s="10" t="n">
        <v>1260000</v>
      </c>
      <c r="I36" s="10" t="n">
        <v>3240000</v>
      </c>
      <c r="J36" s="16" t="n">
        <v>128035.49</v>
      </c>
      <c r="K36" s="16" t="n">
        <v>240000</v>
      </c>
      <c r="L36" s="16" t="n">
        <v>13590000</v>
      </c>
      <c r="M36" s="17">
        <f>$M35+Cash_Flow!$E36</f>
        <v/>
      </c>
      <c r="N36" s="17">
        <f>$N35+Income_Statement!$M36</f>
        <v/>
      </c>
      <c r="O36" s="17">
        <f>IF(Cash_Flow!$F36&lt;=0,0,$O35+(Cash_Flow!$F36+Cash_Flow!$G36))</f>
        <v/>
      </c>
      <c r="P36" s="17">
        <f>Income_Statement!$P36</f>
        <v/>
      </c>
      <c r="Q36" s="17">
        <f>$Q35+Income_Statement!$P36</f>
        <v/>
      </c>
      <c r="R36" s="17">
        <f>$R35+Income_Statement!$Q36</f>
        <v/>
      </c>
      <c r="S36" s="17">
        <f>Income_Statement!$R36</f>
        <v/>
      </c>
      <c r="T36" s="17">
        <f>Income_Statement!$Q36</f>
        <v/>
      </c>
      <c r="U36" s="17">
        <f>$U35+Cash_Flow!$I36</f>
        <v/>
      </c>
      <c r="V36" s="17">
        <f>Cash_Flow!$N36</f>
        <v/>
      </c>
      <c r="W36" s="17">
        <f>($W35+Cash_Flow!$J36)-(Cash_Flow!$B36+Cash_Flow!$C36)</f>
        <v/>
      </c>
    </row>
    <row r="37">
      <c r="A37" s="9" t="n">
        <v>3</v>
      </c>
      <c r="B37" s="9" t="n">
        <v>35</v>
      </c>
      <c r="C37" s="10" t="n">
        <v>250000</v>
      </c>
      <c r="D37" s="10" t="n">
        <v>0</v>
      </c>
      <c r="E37" s="10" t="n">
        <v>120273.26</v>
      </c>
      <c r="F37" s="8" t="n">
        <v>21</v>
      </c>
      <c r="G37" s="8" t="n">
        <v>54</v>
      </c>
      <c r="H37" s="10" t="n">
        <v>1260000</v>
      </c>
      <c r="I37" s="10" t="n">
        <v>3240000</v>
      </c>
      <c r="J37" s="16" t="n">
        <v>128035.5</v>
      </c>
      <c r="K37" s="16" t="n">
        <v>0</v>
      </c>
      <c r="L37" s="16" t="n">
        <v>14220000</v>
      </c>
      <c r="M37" s="17">
        <f>$M36+Cash_Flow!$E37</f>
        <v/>
      </c>
      <c r="N37" s="17">
        <f>$N36+Income_Statement!$M37</f>
        <v/>
      </c>
      <c r="O37" s="17">
        <f>IF(Cash_Flow!$F37&lt;=0,0,$O36+(Cash_Flow!$F37+Cash_Flow!$G37))</f>
        <v/>
      </c>
      <c r="P37" s="17">
        <f>Income_Statement!$P37</f>
        <v/>
      </c>
      <c r="Q37" s="17">
        <f>$Q36+Income_Statement!$P37</f>
        <v/>
      </c>
      <c r="R37" s="17">
        <f>$R36+Income_Statement!$Q37</f>
        <v/>
      </c>
      <c r="S37" s="17">
        <f>Income_Statement!$R37</f>
        <v/>
      </c>
      <c r="T37" s="17">
        <f>Income_Statement!$Q37</f>
        <v/>
      </c>
      <c r="U37" s="17">
        <f>$U36+Cash_Flow!$I37</f>
        <v/>
      </c>
      <c r="V37" s="17">
        <f>Cash_Flow!$N37</f>
        <v/>
      </c>
      <c r="W37" s="17">
        <f>($W36+Cash_Flow!$J37)-(Cash_Flow!$B37+Cash_Flow!$C37)</f>
        <v/>
      </c>
    </row>
    <row r="38">
      <c r="A38" s="9" t="n">
        <v>3</v>
      </c>
      <c r="B38" s="9" t="n">
        <v>36</v>
      </c>
      <c r="C38" s="10" t="n">
        <v>250000</v>
      </c>
      <c r="D38" s="10" t="n">
        <v>0</v>
      </c>
      <c r="E38" s="10" t="n">
        <v>115507.44</v>
      </c>
      <c r="F38" s="8" t="n">
        <v>21</v>
      </c>
      <c r="G38" s="8" t="n">
        <v>58</v>
      </c>
      <c r="H38" s="10" t="n">
        <v>1260000</v>
      </c>
      <c r="I38" s="10" t="n">
        <v>3480000</v>
      </c>
      <c r="J38" s="16" t="n">
        <v>128035.5</v>
      </c>
      <c r="K38" s="16" t="n">
        <v>240000</v>
      </c>
      <c r="L38" s="16" t="n">
        <v>14850000</v>
      </c>
      <c r="M38" s="17">
        <f>$M37+Cash_Flow!$E38</f>
        <v/>
      </c>
      <c r="N38" s="17">
        <f>$N37+Income_Statement!$M38</f>
        <v/>
      </c>
      <c r="O38" s="17">
        <f>IF(Cash_Flow!$F38&lt;=0,0,$O37+(Cash_Flow!$F38+Cash_Flow!$G38))</f>
        <v/>
      </c>
      <c r="P38" s="17">
        <f>Income_Statement!$P38</f>
        <v/>
      </c>
      <c r="Q38" s="17">
        <f>$Q37+Income_Statement!$P38</f>
        <v/>
      </c>
      <c r="R38" s="17">
        <f>$R37+Income_Statement!$Q38</f>
        <v/>
      </c>
      <c r="S38" s="17">
        <f>Income_Statement!$R38</f>
        <v/>
      </c>
      <c r="T38" s="17">
        <f>Income_Statement!$Q38</f>
        <v/>
      </c>
      <c r="U38" s="17">
        <f>$U37+Cash_Flow!$I38</f>
        <v/>
      </c>
      <c r="V38" s="17">
        <f>Cash_Flow!$N38</f>
        <v/>
      </c>
      <c r="W38" s="17">
        <f>($W37+Cash_Flow!$J38)-(Cash_Flow!$B38+Cash_Flow!$C38)</f>
        <v/>
      </c>
    </row>
    <row r="39">
      <c r="A39" s="9" t="n">
        <v>4</v>
      </c>
      <c r="B39" s="9" t="n">
        <v>37</v>
      </c>
      <c r="C39" s="10" t="n">
        <v>250000</v>
      </c>
      <c r="D39" s="10" t="n">
        <v>0</v>
      </c>
      <c r="E39" s="10" t="n">
        <v>110701.9</v>
      </c>
      <c r="F39" s="8" t="n">
        <v>21</v>
      </c>
      <c r="G39" s="8" t="n">
        <v>58</v>
      </c>
      <c r="H39" s="10" t="n">
        <v>1260000</v>
      </c>
      <c r="I39" s="10" t="n">
        <v>3480000</v>
      </c>
      <c r="J39" s="16" t="n">
        <v>128035.5</v>
      </c>
      <c r="K39" s="16" t="n">
        <v>0</v>
      </c>
      <c r="L39" s="16" t="n">
        <v>15480000</v>
      </c>
      <c r="M39" s="17">
        <f>$M38+Cash_Flow!$E39</f>
        <v/>
      </c>
      <c r="N39" s="17">
        <f>$N38+Income_Statement!$M39</f>
        <v/>
      </c>
      <c r="O39" s="17">
        <f>IF(Cash_Flow!$F39&lt;=0,0,$O38+(Cash_Flow!$F39+Cash_Flow!$G39))</f>
        <v/>
      </c>
      <c r="P39" s="17">
        <f>Income_Statement!$P39</f>
        <v/>
      </c>
      <c r="Q39" s="17">
        <f>$Q38+Income_Statement!$P39</f>
        <v/>
      </c>
      <c r="R39" s="17">
        <f>$R38+Income_Statement!$Q39</f>
        <v/>
      </c>
      <c r="S39" s="17">
        <f>Income_Statement!$R39</f>
        <v/>
      </c>
      <c r="T39" s="17">
        <f>Income_Statement!$Q39</f>
        <v/>
      </c>
      <c r="U39" s="17">
        <f>$U38+Cash_Flow!$I39</f>
        <v/>
      </c>
      <c r="V39" s="17">
        <f>Cash_Flow!$N39</f>
        <v/>
      </c>
      <c r="W39" s="17">
        <f>($W38+Cash_Flow!$J39)-(Cash_Flow!$B39+Cash_Flow!$C39)</f>
        <v/>
      </c>
    </row>
    <row r="40">
      <c r="A40" s="9" t="n">
        <v>4</v>
      </c>
      <c r="B40" s="9" t="n">
        <v>38</v>
      </c>
      <c r="C40" s="10" t="n">
        <v>250000</v>
      </c>
      <c r="D40" s="10" t="n">
        <v>0</v>
      </c>
      <c r="E40" s="10" t="n">
        <v>105856.31</v>
      </c>
      <c r="F40" s="8" t="n">
        <v>21</v>
      </c>
      <c r="G40" s="8" t="n">
        <v>62</v>
      </c>
      <c r="H40" s="10" t="n">
        <v>1260000</v>
      </c>
      <c r="I40" s="10" t="n">
        <v>3720000</v>
      </c>
      <c r="J40" s="16" t="n">
        <v>128035.49</v>
      </c>
      <c r="K40" s="16" t="n">
        <v>240000</v>
      </c>
      <c r="L40" s="16" t="n">
        <v>16110000</v>
      </c>
      <c r="M40" s="17">
        <f>$M39+Cash_Flow!$E40</f>
        <v/>
      </c>
      <c r="N40" s="17">
        <f>$N39+Income_Statement!$M40</f>
        <v/>
      </c>
      <c r="O40" s="17">
        <f>IF(Cash_Flow!$F40&lt;=0,0,$O39+(Cash_Flow!$F40+Cash_Flow!$G40))</f>
        <v/>
      </c>
      <c r="P40" s="17">
        <f>Income_Statement!$P40</f>
        <v/>
      </c>
      <c r="Q40" s="17">
        <f>$Q39+Income_Statement!$P40</f>
        <v/>
      </c>
      <c r="R40" s="17">
        <f>$R39+Income_Statement!$Q40</f>
        <v/>
      </c>
      <c r="S40" s="17">
        <f>Income_Statement!$R40</f>
        <v/>
      </c>
      <c r="T40" s="17">
        <f>Income_Statement!$Q40</f>
        <v/>
      </c>
      <c r="U40" s="17">
        <f>$U39+Cash_Flow!$I40</f>
        <v/>
      </c>
      <c r="V40" s="17">
        <f>Cash_Flow!$N40</f>
        <v/>
      </c>
      <c r="W40" s="17">
        <f>($W39+Cash_Flow!$J40)-(Cash_Flow!$B40+Cash_Flow!$C40)</f>
        <v/>
      </c>
    </row>
    <row r="41">
      <c r="A41" s="9" t="n">
        <v>4</v>
      </c>
      <c r="B41" s="9" t="n">
        <v>39</v>
      </c>
      <c r="C41" s="10" t="n">
        <v>250000</v>
      </c>
      <c r="D41" s="10" t="n">
        <v>0</v>
      </c>
      <c r="E41" s="10" t="n">
        <v>100970.34</v>
      </c>
      <c r="F41" s="8" t="n">
        <v>25</v>
      </c>
      <c r="G41" s="8" t="n">
        <v>62</v>
      </c>
      <c r="H41" s="10" t="n">
        <v>1500000</v>
      </c>
      <c r="I41" s="10" t="n">
        <v>3720000</v>
      </c>
      <c r="J41" s="16" t="n">
        <v>153521.89</v>
      </c>
      <c r="K41" s="16" t="n">
        <v>0</v>
      </c>
      <c r="L41" s="16" t="n">
        <v>16860000</v>
      </c>
      <c r="M41" s="17">
        <f>$M40+Cash_Flow!$E41</f>
        <v/>
      </c>
      <c r="N41" s="17">
        <f>$N40+Income_Statement!$M41</f>
        <v/>
      </c>
      <c r="O41" s="17">
        <f>IF(Cash_Flow!$F41&lt;=0,0,$O40+(Cash_Flow!$F41+Cash_Flow!$G41))</f>
        <v/>
      </c>
      <c r="P41" s="17">
        <f>Income_Statement!$P41</f>
        <v/>
      </c>
      <c r="Q41" s="17">
        <f>$Q40+Income_Statement!$P41</f>
        <v/>
      </c>
      <c r="R41" s="17">
        <f>$R40+Income_Statement!$Q41</f>
        <v/>
      </c>
      <c r="S41" s="17">
        <f>Income_Statement!$R41</f>
        <v/>
      </c>
      <c r="T41" s="17">
        <f>Income_Statement!$Q41</f>
        <v/>
      </c>
      <c r="U41" s="17">
        <f>$U40+Cash_Flow!$I41</f>
        <v/>
      </c>
      <c r="V41" s="17">
        <f>Cash_Flow!$N41</f>
        <v/>
      </c>
      <c r="W41" s="17">
        <f>($W40+Cash_Flow!$J41)-(Cash_Flow!$B41+Cash_Flow!$C41)</f>
        <v/>
      </c>
    </row>
    <row r="42">
      <c r="A42" s="9" t="n">
        <v>4</v>
      </c>
      <c r="B42" s="9" t="n">
        <v>40</v>
      </c>
      <c r="C42" s="10" t="n">
        <v>250000</v>
      </c>
      <c r="D42" s="10" t="n">
        <v>0</v>
      </c>
      <c r="E42" s="10" t="n">
        <v>96043.66</v>
      </c>
      <c r="F42" s="8" t="n">
        <v>20</v>
      </c>
      <c r="G42" s="8" t="n">
        <v>67</v>
      </c>
      <c r="H42" s="10" t="n">
        <v>1200000</v>
      </c>
      <c r="I42" s="10" t="n">
        <v>4020000</v>
      </c>
      <c r="J42" s="16" t="n">
        <v>121663.9</v>
      </c>
      <c r="K42" s="16" t="n">
        <v>300000</v>
      </c>
      <c r="L42" s="16" t="n">
        <v>17460000</v>
      </c>
      <c r="M42" s="17">
        <f>$M41+Cash_Flow!$E42</f>
        <v/>
      </c>
      <c r="N42" s="17">
        <f>$N41+Income_Statement!$M42</f>
        <v/>
      </c>
      <c r="O42" s="17">
        <f>IF(Cash_Flow!$F42&lt;=0,0,$O41+(Cash_Flow!$F42+Cash_Flow!$G42))</f>
        <v/>
      </c>
      <c r="P42" s="17">
        <f>Income_Statement!$P42</f>
        <v/>
      </c>
      <c r="Q42" s="17">
        <f>$Q41+Income_Statement!$P42</f>
        <v/>
      </c>
      <c r="R42" s="17">
        <f>$R41+Income_Statement!$Q42</f>
        <v/>
      </c>
      <c r="S42" s="17">
        <f>Income_Statement!$R42</f>
        <v/>
      </c>
      <c r="T42" s="17">
        <f>Income_Statement!$Q42</f>
        <v/>
      </c>
      <c r="U42" s="17">
        <f>$U41+Cash_Flow!$I42</f>
        <v/>
      </c>
      <c r="V42" s="17">
        <f>Cash_Flow!$N42</f>
        <v/>
      </c>
      <c r="W42" s="17">
        <f>($W41+Cash_Flow!$J42)-(Cash_Flow!$B42+Cash_Flow!$C42)</f>
        <v/>
      </c>
    </row>
    <row r="43">
      <c r="A43" s="9" t="n">
        <v>4</v>
      </c>
      <c r="B43" s="9" t="n">
        <v>41</v>
      </c>
      <c r="C43" s="10" t="n">
        <v>250000</v>
      </c>
      <c r="D43" s="10" t="n">
        <v>0</v>
      </c>
      <c r="E43" s="10" t="n">
        <v>91075.92</v>
      </c>
      <c r="F43" s="8" t="n">
        <v>24</v>
      </c>
      <c r="G43" s="8" t="n">
        <v>67</v>
      </c>
      <c r="H43" s="10" t="n">
        <v>1440000</v>
      </c>
      <c r="I43" s="10" t="n">
        <v>4020000</v>
      </c>
      <c r="J43" s="16" t="n">
        <v>147150.3</v>
      </c>
      <c r="K43" s="16" t="n">
        <v>0</v>
      </c>
      <c r="L43" s="16" t="n">
        <v>18180000</v>
      </c>
      <c r="M43" s="17">
        <f>$M42+Cash_Flow!$E43</f>
        <v/>
      </c>
      <c r="N43" s="17">
        <f>$N42+Income_Statement!$M43</f>
        <v/>
      </c>
      <c r="O43" s="17">
        <f>IF(Cash_Flow!$F43&lt;=0,0,$O42+(Cash_Flow!$F43+Cash_Flow!$G43))</f>
        <v/>
      </c>
      <c r="P43" s="17">
        <f>Income_Statement!$P43</f>
        <v/>
      </c>
      <c r="Q43" s="17">
        <f>$Q42+Income_Statement!$P43</f>
        <v/>
      </c>
      <c r="R43" s="17">
        <f>$R42+Income_Statement!$Q43</f>
        <v/>
      </c>
      <c r="S43" s="17">
        <f>Income_Statement!$R43</f>
        <v/>
      </c>
      <c r="T43" s="17">
        <f>Income_Statement!$Q43</f>
        <v/>
      </c>
      <c r="U43" s="17">
        <f>$U42+Cash_Flow!$I43</f>
        <v/>
      </c>
      <c r="V43" s="17">
        <f>Cash_Flow!$N43</f>
        <v/>
      </c>
      <c r="W43" s="17">
        <f>($W42+Cash_Flow!$J43)-(Cash_Flow!$B43+Cash_Flow!$C43)</f>
        <v/>
      </c>
    </row>
    <row r="44">
      <c r="A44" s="9" t="n">
        <v>4</v>
      </c>
      <c r="B44" s="9" t="n">
        <v>42</v>
      </c>
      <c r="C44" s="10" t="n">
        <v>250000</v>
      </c>
      <c r="D44" s="10" t="n">
        <v>0</v>
      </c>
      <c r="E44" s="10" t="n">
        <v>86066.78999999999</v>
      </c>
      <c r="F44" s="8" t="n">
        <v>20</v>
      </c>
      <c r="G44" s="8" t="n">
        <v>72</v>
      </c>
      <c r="H44" s="10" t="n">
        <v>1200000</v>
      </c>
      <c r="I44" s="10" t="n">
        <v>4320000</v>
      </c>
      <c r="J44" s="16" t="n">
        <v>121663.89</v>
      </c>
      <c r="K44" s="16" t="n">
        <v>300000</v>
      </c>
      <c r="L44" s="16" t="n">
        <v>18780000</v>
      </c>
      <c r="M44" s="17">
        <f>$M43+Cash_Flow!$E44</f>
        <v/>
      </c>
      <c r="N44" s="17">
        <f>$N43+Income_Statement!$M44</f>
        <v/>
      </c>
      <c r="O44" s="17">
        <f>IF(Cash_Flow!$F44&lt;=0,0,$O43+(Cash_Flow!$F44+Cash_Flow!$G44))</f>
        <v/>
      </c>
      <c r="P44" s="17">
        <f>Income_Statement!$P44</f>
        <v/>
      </c>
      <c r="Q44" s="17">
        <f>$Q43+Income_Statement!$P44</f>
        <v/>
      </c>
      <c r="R44" s="17">
        <f>$R43+Income_Statement!$Q44</f>
        <v/>
      </c>
      <c r="S44" s="17">
        <f>Income_Statement!$R44</f>
        <v/>
      </c>
      <c r="T44" s="17">
        <f>Income_Statement!$Q44</f>
        <v/>
      </c>
      <c r="U44" s="17">
        <f>$U43+Cash_Flow!$I44</f>
        <v/>
      </c>
      <c r="V44" s="17">
        <f>Cash_Flow!$N44</f>
        <v/>
      </c>
      <c r="W44" s="17">
        <f>($W43+Cash_Flow!$J44)-(Cash_Flow!$B44+Cash_Flow!$C44)</f>
        <v/>
      </c>
    </row>
    <row r="45">
      <c r="A45" s="9" t="n">
        <v>4</v>
      </c>
      <c r="B45" s="9" t="n">
        <v>43</v>
      </c>
      <c r="C45" s="10" t="n">
        <v>250000</v>
      </c>
      <c r="D45" s="10" t="n">
        <v>0</v>
      </c>
      <c r="E45" s="10" t="n">
        <v>81015.91</v>
      </c>
      <c r="F45" s="8" t="n">
        <v>25</v>
      </c>
      <c r="G45" s="8" t="n">
        <v>72</v>
      </c>
      <c r="H45" s="10" t="n">
        <v>1500000</v>
      </c>
      <c r="I45" s="10" t="n">
        <v>4320000</v>
      </c>
      <c r="J45" s="16" t="n">
        <v>153521.9</v>
      </c>
      <c r="K45" s="16" t="n">
        <v>0</v>
      </c>
      <c r="L45" s="16" t="n">
        <v>19530000</v>
      </c>
      <c r="M45" s="17">
        <f>$M44+Cash_Flow!$E45</f>
        <v/>
      </c>
      <c r="N45" s="17">
        <f>$N44+Income_Statement!$M45</f>
        <v/>
      </c>
      <c r="O45" s="17">
        <f>IF(Cash_Flow!$F45&lt;=0,0,$O44+(Cash_Flow!$F45+Cash_Flow!$G45))</f>
        <v/>
      </c>
      <c r="P45" s="17">
        <f>Income_Statement!$P45</f>
        <v/>
      </c>
      <c r="Q45" s="17">
        <f>$Q44+Income_Statement!$P45</f>
        <v/>
      </c>
      <c r="R45" s="17">
        <f>$R44+Income_Statement!$Q45</f>
        <v/>
      </c>
      <c r="S45" s="17">
        <f>Income_Statement!$R45</f>
        <v/>
      </c>
      <c r="T45" s="17">
        <f>Income_Statement!$Q45</f>
        <v/>
      </c>
      <c r="U45" s="17">
        <f>$U44+Cash_Flow!$I45</f>
        <v/>
      </c>
      <c r="V45" s="17">
        <f>Cash_Flow!$N45</f>
        <v/>
      </c>
      <c r="W45" s="17">
        <f>($W44+Cash_Flow!$J45)-(Cash_Flow!$B45+Cash_Flow!$C45)</f>
        <v/>
      </c>
    </row>
    <row r="46">
      <c r="A46" s="9" t="n">
        <v>4</v>
      </c>
      <c r="B46" s="9" t="n">
        <v>44</v>
      </c>
      <c r="C46" s="10" t="n">
        <v>250000</v>
      </c>
      <c r="D46" s="10" t="n">
        <v>0</v>
      </c>
      <c r="E46" s="10" t="n">
        <v>75922.94</v>
      </c>
      <c r="F46" s="8" t="n">
        <v>21</v>
      </c>
      <c r="G46" s="8" t="n">
        <v>77</v>
      </c>
      <c r="H46" s="10" t="n">
        <v>1260000</v>
      </c>
      <c r="I46" s="10" t="n">
        <v>4620000</v>
      </c>
      <c r="J46" s="16" t="n">
        <v>128035.5</v>
      </c>
      <c r="K46" s="16" t="n">
        <v>300000</v>
      </c>
      <c r="L46" s="16" t="n">
        <v>20160000</v>
      </c>
      <c r="M46" s="17">
        <f>$M45+Cash_Flow!$E46</f>
        <v/>
      </c>
      <c r="N46" s="17">
        <f>$N45+Income_Statement!$M46</f>
        <v/>
      </c>
      <c r="O46" s="17">
        <f>IF(Cash_Flow!$F46&lt;=0,0,$O45+(Cash_Flow!$F46+Cash_Flow!$G46))</f>
        <v/>
      </c>
      <c r="P46" s="17">
        <f>Income_Statement!$P46</f>
        <v/>
      </c>
      <c r="Q46" s="17">
        <f>$Q45+Income_Statement!$P46</f>
        <v/>
      </c>
      <c r="R46" s="17">
        <f>$R45+Income_Statement!$Q46</f>
        <v/>
      </c>
      <c r="S46" s="17">
        <f>Income_Statement!$R46</f>
        <v/>
      </c>
      <c r="T46" s="17">
        <f>Income_Statement!$Q46</f>
        <v/>
      </c>
      <c r="U46" s="17">
        <f>$U45+Cash_Flow!$I46</f>
        <v/>
      </c>
      <c r="V46" s="17">
        <f>Cash_Flow!$N46</f>
        <v/>
      </c>
      <c r="W46" s="17">
        <f>($W45+Cash_Flow!$J46)-(Cash_Flow!$B46+Cash_Flow!$C46)</f>
        <v/>
      </c>
    </row>
    <row r="47">
      <c r="A47" s="9" t="n">
        <v>4</v>
      </c>
      <c r="B47" s="9" t="n">
        <v>45</v>
      </c>
      <c r="C47" s="10" t="n">
        <v>250000</v>
      </c>
      <c r="D47" s="10" t="n">
        <v>0</v>
      </c>
      <c r="E47" s="10" t="n">
        <v>70787.53</v>
      </c>
      <c r="F47" s="8" t="n">
        <v>26</v>
      </c>
      <c r="G47" s="8" t="n">
        <v>77</v>
      </c>
      <c r="H47" s="10" t="n">
        <v>1560000</v>
      </c>
      <c r="I47" s="10" t="n">
        <v>4620000</v>
      </c>
      <c r="J47" s="16" t="n">
        <v>159893.5</v>
      </c>
      <c r="K47" s="16" t="n">
        <v>0</v>
      </c>
      <c r="L47" s="16" t="n">
        <v>20940000</v>
      </c>
      <c r="M47" s="17">
        <f>$M46+Cash_Flow!$E47</f>
        <v/>
      </c>
      <c r="N47" s="17">
        <f>$N46+Income_Statement!$M47</f>
        <v/>
      </c>
      <c r="O47" s="17">
        <f>IF(Cash_Flow!$F47&lt;=0,0,$O46+(Cash_Flow!$F47+Cash_Flow!$G47))</f>
        <v/>
      </c>
      <c r="P47" s="17">
        <f>Income_Statement!$P47</f>
        <v/>
      </c>
      <c r="Q47" s="17">
        <f>$Q46+Income_Statement!$P47</f>
        <v/>
      </c>
      <c r="R47" s="17">
        <f>$R46+Income_Statement!$Q47</f>
        <v/>
      </c>
      <c r="S47" s="17">
        <f>Income_Statement!$R47</f>
        <v/>
      </c>
      <c r="T47" s="17">
        <f>Income_Statement!$Q47</f>
        <v/>
      </c>
      <c r="U47" s="17">
        <f>$U46+Cash_Flow!$I47</f>
        <v/>
      </c>
      <c r="V47" s="17">
        <f>Cash_Flow!$N47</f>
        <v/>
      </c>
      <c r="W47" s="17">
        <f>($W46+Cash_Flow!$J47)-(Cash_Flow!$B47+Cash_Flow!$C47)</f>
        <v/>
      </c>
    </row>
    <row r="48">
      <c r="A48" s="9" t="n">
        <v>4</v>
      </c>
      <c r="B48" s="9" t="n">
        <v>46</v>
      </c>
      <c r="C48" s="10" t="n">
        <v>250000</v>
      </c>
      <c r="D48" s="10" t="n">
        <v>0</v>
      </c>
      <c r="E48" s="10" t="n">
        <v>65609.32000000001</v>
      </c>
      <c r="F48" s="8" t="n">
        <v>22</v>
      </c>
      <c r="G48" s="8" t="n">
        <v>81</v>
      </c>
      <c r="H48" s="10" t="n">
        <v>1320000</v>
      </c>
      <c r="I48" s="10" t="n">
        <v>4860000</v>
      </c>
      <c r="J48" s="16" t="n">
        <v>134407.09</v>
      </c>
      <c r="K48" s="16" t="n">
        <v>240000</v>
      </c>
      <c r="L48" s="16" t="n">
        <v>21600000</v>
      </c>
      <c r="M48" s="17">
        <f>$M47+Cash_Flow!$E48</f>
        <v/>
      </c>
      <c r="N48" s="17">
        <f>$N47+Income_Statement!$M48</f>
        <v/>
      </c>
      <c r="O48" s="17">
        <f>IF(Cash_Flow!$F48&lt;=0,0,$O47+(Cash_Flow!$F48+Cash_Flow!$G48))</f>
        <v/>
      </c>
      <c r="P48" s="17">
        <f>Income_Statement!$P48</f>
        <v/>
      </c>
      <c r="Q48" s="17">
        <f>$Q47+Income_Statement!$P48</f>
        <v/>
      </c>
      <c r="R48" s="17">
        <f>$R47+Income_Statement!$Q48</f>
        <v/>
      </c>
      <c r="S48" s="17">
        <f>Income_Statement!$R48</f>
        <v/>
      </c>
      <c r="T48" s="17">
        <f>Income_Statement!$Q48</f>
        <v/>
      </c>
      <c r="U48" s="17">
        <f>$U47+Cash_Flow!$I48</f>
        <v/>
      </c>
      <c r="V48" s="17">
        <f>Cash_Flow!$N48</f>
        <v/>
      </c>
      <c r="W48" s="17">
        <f>($W47+Cash_Flow!$J48)-(Cash_Flow!$B48+Cash_Flow!$C48)</f>
        <v/>
      </c>
    </row>
    <row r="49">
      <c r="A49" s="9" t="n">
        <v>4</v>
      </c>
      <c r="B49" s="9" t="n">
        <v>47</v>
      </c>
      <c r="C49" s="10" t="n">
        <v>250000</v>
      </c>
      <c r="D49" s="10" t="n">
        <v>0</v>
      </c>
      <c r="E49" s="10" t="n">
        <v>60387.97</v>
      </c>
      <c r="F49" s="8" t="n">
        <v>27</v>
      </c>
      <c r="G49" s="8" t="n">
        <v>81</v>
      </c>
      <c r="H49" s="10" t="n">
        <v>1620000</v>
      </c>
      <c r="I49" s="10" t="n">
        <v>4860000</v>
      </c>
      <c r="J49" s="16" t="n">
        <v>166265.1</v>
      </c>
      <c r="K49" s="16" t="n">
        <v>0</v>
      </c>
      <c r="L49" s="16" t="n">
        <v>22410000</v>
      </c>
      <c r="M49" s="17">
        <f>$M48+Cash_Flow!$E49</f>
        <v/>
      </c>
      <c r="N49" s="17">
        <f>$N48+Income_Statement!$M49</f>
        <v/>
      </c>
      <c r="O49" s="17">
        <f>IF(Cash_Flow!$F49&lt;=0,0,$O48+(Cash_Flow!$F49+Cash_Flow!$G49))</f>
        <v/>
      </c>
      <c r="P49" s="17">
        <f>Income_Statement!$P49</f>
        <v/>
      </c>
      <c r="Q49" s="17">
        <f>$Q48+Income_Statement!$P49</f>
        <v/>
      </c>
      <c r="R49" s="17">
        <f>$R48+Income_Statement!$Q49</f>
        <v/>
      </c>
      <c r="S49" s="17">
        <f>Income_Statement!$R49</f>
        <v/>
      </c>
      <c r="T49" s="17">
        <f>Income_Statement!$Q49</f>
        <v/>
      </c>
      <c r="U49" s="17">
        <f>$U48+Cash_Flow!$I49</f>
        <v/>
      </c>
      <c r="V49" s="17">
        <f>Cash_Flow!$N49</f>
        <v/>
      </c>
      <c r="W49" s="17">
        <f>($W48+Cash_Flow!$J49)-(Cash_Flow!$B49+Cash_Flow!$C49)</f>
        <v/>
      </c>
    </row>
    <row r="50">
      <c r="A50" s="9" t="n">
        <v>4</v>
      </c>
      <c r="B50" s="9" t="n">
        <v>48</v>
      </c>
      <c r="C50" s="10" t="n">
        <v>250000</v>
      </c>
      <c r="D50" s="10" t="n">
        <v>0</v>
      </c>
      <c r="E50" s="10" t="n">
        <v>55123.1</v>
      </c>
      <c r="F50" s="8" t="n">
        <v>23</v>
      </c>
      <c r="G50" s="8" t="n">
        <v>87</v>
      </c>
      <c r="H50" s="10" t="n">
        <v>1380000</v>
      </c>
      <c r="I50" s="10" t="n">
        <v>5220000</v>
      </c>
      <c r="J50" s="16" t="n">
        <v>140778.7</v>
      </c>
      <c r="K50" s="16" t="n">
        <v>360000</v>
      </c>
      <c r="L50" s="16" t="n">
        <v>23100000</v>
      </c>
      <c r="M50" s="17">
        <f>$M49+Cash_Flow!$E50</f>
        <v/>
      </c>
      <c r="N50" s="17">
        <f>$N49+Income_Statement!$M50</f>
        <v/>
      </c>
      <c r="O50" s="17">
        <f>IF(Cash_Flow!$F50&lt;=0,0,$O49+(Cash_Flow!$F50+Cash_Flow!$G50))</f>
        <v/>
      </c>
      <c r="P50" s="17">
        <f>Income_Statement!$P50</f>
        <v/>
      </c>
      <c r="Q50" s="17">
        <f>$Q49+Income_Statement!$P50</f>
        <v/>
      </c>
      <c r="R50" s="17">
        <f>$R49+Income_Statement!$Q50</f>
        <v/>
      </c>
      <c r="S50" s="17">
        <f>Income_Statement!$R50</f>
        <v/>
      </c>
      <c r="T50" s="17">
        <f>Income_Statement!$Q50</f>
        <v/>
      </c>
      <c r="U50" s="17">
        <f>$U49+Cash_Flow!$I50</f>
        <v/>
      </c>
      <c r="V50" s="17">
        <f>Cash_Flow!$N50</f>
        <v/>
      </c>
      <c r="W50" s="17">
        <f>($W49+Cash_Flow!$J50)-(Cash_Flow!$B50+Cash_Flow!$C50)</f>
        <v/>
      </c>
    </row>
    <row r="51">
      <c r="A51" s="9" t="n">
        <v>5</v>
      </c>
      <c r="B51" s="9" t="n">
        <v>49</v>
      </c>
      <c r="C51" s="10" t="n">
        <v>250000</v>
      </c>
      <c r="D51" s="10" t="n">
        <v>0</v>
      </c>
      <c r="E51" s="10" t="n">
        <v>49814.35</v>
      </c>
      <c r="F51" s="8" t="n">
        <v>27</v>
      </c>
      <c r="G51" s="8" t="n">
        <v>87</v>
      </c>
      <c r="H51" s="10" t="n">
        <v>1620000</v>
      </c>
      <c r="I51" s="10" t="n">
        <v>5220000</v>
      </c>
      <c r="J51" s="16" t="n">
        <v>166265.1</v>
      </c>
      <c r="K51" s="16" t="n">
        <v>0</v>
      </c>
      <c r="L51" s="16" t="n">
        <v>23910000</v>
      </c>
      <c r="M51" s="17">
        <f>$M50+Cash_Flow!$E51</f>
        <v/>
      </c>
      <c r="N51" s="17">
        <f>$N50+Income_Statement!$M51</f>
        <v/>
      </c>
      <c r="O51" s="17">
        <f>IF(Cash_Flow!$F51&lt;=0,0,$O50+(Cash_Flow!$F51+Cash_Flow!$G51))</f>
        <v/>
      </c>
      <c r="P51" s="17">
        <f>Income_Statement!$P51</f>
        <v/>
      </c>
      <c r="Q51" s="17">
        <f>$Q50+Income_Statement!$P51</f>
        <v/>
      </c>
      <c r="R51" s="17">
        <f>$R50+Income_Statement!$Q51</f>
        <v/>
      </c>
      <c r="S51" s="17">
        <f>Income_Statement!$R51</f>
        <v/>
      </c>
      <c r="T51" s="17">
        <f>Income_Statement!$Q51</f>
        <v/>
      </c>
      <c r="U51" s="17">
        <f>$U50+Cash_Flow!$I51</f>
        <v/>
      </c>
      <c r="V51" s="17">
        <f>Cash_Flow!$N51</f>
        <v/>
      </c>
      <c r="W51" s="17">
        <f>($W50+Cash_Flow!$J51)-(Cash_Flow!$B51+Cash_Flow!$C51)</f>
        <v/>
      </c>
    </row>
    <row r="52">
      <c r="A52" s="9" t="n">
        <v>5</v>
      </c>
      <c r="B52" s="9" t="n">
        <v>50</v>
      </c>
      <c r="C52" s="10" t="n">
        <v>250000</v>
      </c>
      <c r="D52" s="10" t="n">
        <v>0</v>
      </c>
      <c r="E52" s="10" t="n">
        <v>44461.37</v>
      </c>
      <c r="F52" s="8" t="n">
        <v>23</v>
      </c>
      <c r="G52" s="8" t="n">
        <v>92</v>
      </c>
      <c r="H52" s="10" t="n">
        <v>1380000</v>
      </c>
      <c r="I52" s="10" t="n">
        <v>5520000</v>
      </c>
      <c r="J52" s="16" t="n">
        <v>140778.7</v>
      </c>
      <c r="K52" s="16" t="n">
        <v>300000</v>
      </c>
      <c r="L52" s="16" t="n">
        <v>24600000</v>
      </c>
      <c r="M52" s="17">
        <f>$M51+Cash_Flow!$E52</f>
        <v/>
      </c>
      <c r="N52" s="17">
        <f>$N51+Income_Statement!$M52</f>
        <v/>
      </c>
      <c r="O52" s="17">
        <f>IF(Cash_Flow!$F52&lt;=0,0,$O51+(Cash_Flow!$F52+Cash_Flow!$G52))</f>
        <v/>
      </c>
      <c r="P52" s="17">
        <f>Income_Statement!$P52</f>
        <v/>
      </c>
      <c r="Q52" s="17">
        <f>$Q51+Income_Statement!$P52</f>
        <v/>
      </c>
      <c r="R52" s="17">
        <f>$R51+Income_Statement!$Q52</f>
        <v/>
      </c>
      <c r="S52" s="17">
        <f>Income_Statement!$R52</f>
        <v/>
      </c>
      <c r="T52" s="17">
        <f>Income_Statement!$Q52</f>
        <v/>
      </c>
      <c r="U52" s="17">
        <f>$U51+Cash_Flow!$I52</f>
        <v/>
      </c>
      <c r="V52" s="17">
        <f>Cash_Flow!$N52</f>
        <v/>
      </c>
      <c r="W52" s="17">
        <f>($W51+Cash_Flow!$J52)-(Cash_Flow!$B52+Cash_Flow!$C52)</f>
        <v/>
      </c>
    </row>
    <row r="53">
      <c r="A53" s="9" t="n">
        <v>5</v>
      </c>
      <c r="B53" s="9" t="n">
        <v>51</v>
      </c>
      <c r="C53" s="10" t="n">
        <v>250000</v>
      </c>
      <c r="D53" s="10" t="n">
        <v>0</v>
      </c>
      <c r="E53" s="10" t="n">
        <v>39063.78</v>
      </c>
      <c r="F53" s="8" t="n">
        <v>29</v>
      </c>
      <c r="G53" s="8" t="n">
        <v>92</v>
      </c>
      <c r="H53" s="10" t="n">
        <v>1740000</v>
      </c>
      <c r="I53" s="10" t="n">
        <v>5520000</v>
      </c>
      <c r="J53" s="16" t="n">
        <v>179008.3</v>
      </c>
      <c r="K53" s="16" t="n">
        <v>0</v>
      </c>
      <c r="L53" s="16" t="n">
        <v>25470000</v>
      </c>
      <c r="M53" s="17">
        <f>$M52+Cash_Flow!$E53</f>
        <v/>
      </c>
      <c r="N53" s="17">
        <f>$N52+Income_Statement!$M53</f>
        <v/>
      </c>
      <c r="O53" s="17">
        <f>IF(Cash_Flow!$F53&lt;=0,0,$O52+(Cash_Flow!$F53+Cash_Flow!$G53))</f>
        <v/>
      </c>
      <c r="P53" s="17">
        <f>Income_Statement!$P53</f>
        <v/>
      </c>
      <c r="Q53" s="17">
        <f>$Q52+Income_Statement!$P53</f>
        <v/>
      </c>
      <c r="R53" s="17">
        <f>$R52+Income_Statement!$Q53</f>
        <v/>
      </c>
      <c r="S53" s="17">
        <f>Income_Statement!$R53</f>
        <v/>
      </c>
      <c r="T53" s="17">
        <f>Income_Statement!$Q53</f>
        <v/>
      </c>
      <c r="U53" s="17">
        <f>$U52+Cash_Flow!$I53</f>
        <v/>
      </c>
      <c r="V53" s="17">
        <f>Cash_Flow!$N53</f>
        <v/>
      </c>
      <c r="W53" s="17">
        <f>($W52+Cash_Flow!$J53)-(Cash_Flow!$B53+Cash_Flow!$C53)</f>
        <v/>
      </c>
    </row>
    <row r="54">
      <c r="A54" s="9" t="n">
        <v>5</v>
      </c>
      <c r="B54" s="9" t="n">
        <v>52</v>
      </c>
      <c r="C54" s="10" t="n">
        <v>250000</v>
      </c>
      <c r="D54" s="10" t="n">
        <v>0</v>
      </c>
      <c r="E54" s="10" t="n">
        <v>33621.21</v>
      </c>
      <c r="F54" s="8" t="n">
        <v>25</v>
      </c>
      <c r="G54" s="8" t="n">
        <v>97</v>
      </c>
      <c r="H54" s="10" t="n">
        <v>1500000</v>
      </c>
      <c r="I54" s="10" t="n">
        <v>5820000</v>
      </c>
      <c r="J54" s="16" t="n">
        <v>153521.9</v>
      </c>
      <c r="K54" s="16" t="n">
        <v>300000</v>
      </c>
      <c r="L54" s="16" t="n">
        <v>26220000</v>
      </c>
      <c r="M54" s="17">
        <f>$M53+Cash_Flow!$E54</f>
        <v/>
      </c>
      <c r="N54" s="17">
        <f>$N53+Income_Statement!$M54</f>
        <v/>
      </c>
      <c r="O54" s="17">
        <f>IF(Cash_Flow!$F54&lt;=0,0,$O53+(Cash_Flow!$F54+Cash_Flow!$G54))</f>
        <v/>
      </c>
      <c r="P54" s="17">
        <f>Income_Statement!$P54</f>
        <v/>
      </c>
      <c r="Q54" s="17">
        <f>$Q53+Income_Statement!$P54</f>
        <v/>
      </c>
      <c r="R54" s="17">
        <f>$R53+Income_Statement!$Q54</f>
        <v/>
      </c>
      <c r="S54" s="17">
        <f>Income_Statement!$R54</f>
        <v/>
      </c>
      <c r="T54" s="17">
        <f>Income_Statement!$Q54</f>
        <v/>
      </c>
      <c r="U54" s="17">
        <f>$U53+Cash_Flow!$I54</f>
        <v/>
      </c>
      <c r="V54" s="17">
        <f>Cash_Flow!$N54</f>
        <v/>
      </c>
      <c r="W54" s="17">
        <f>($W53+Cash_Flow!$J54)-(Cash_Flow!$B54+Cash_Flow!$C54)</f>
        <v/>
      </c>
    </row>
    <row r="55">
      <c r="A55" s="9" t="n">
        <v>5</v>
      </c>
      <c r="B55" s="9" t="n">
        <v>53</v>
      </c>
      <c r="C55" s="10" t="n">
        <v>250000</v>
      </c>
      <c r="D55" s="10" t="n">
        <v>0</v>
      </c>
      <c r="E55" s="10" t="n">
        <v>28133.29</v>
      </c>
      <c r="F55" s="8" t="n">
        <v>30</v>
      </c>
      <c r="G55" s="8" t="n">
        <v>97</v>
      </c>
      <c r="H55" s="10" t="n">
        <v>1800000</v>
      </c>
      <c r="I55" s="10" t="n">
        <v>5820000</v>
      </c>
      <c r="J55" s="16" t="n">
        <v>185379.89</v>
      </c>
      <c r="K55" s="16" t="n">
        <v>0</v>
      </c>
      <c r="L55" s="16" t="n">
        <v>27120000</v>
      </c>
      <c r="M55" s="17">
        <f>$M54+Cash_Flow!$E55</f>
        <v/>
      </c>
      <c r="N55" s="17">
        <f>$N54+Income_Statement!$M55</f>
        <v/>
      </c>
      <c r="O55" s="17">
        <f>IF(Cash_Flow!$F55&lt;=0,0,$O54+(Cash_Flow!$F55+Cash_Flow!$G55))</f>
        <v/>
      </c>
      <c r="P55" s="17">
        <f>Income_Statement!$P55</f>
        <v/>
      </c>
      <c r="Q55" s="17">
        <f>$Q54+Income_Statement!$P55</f>
        <v/>
      </c>
      <c r="R55" s="17">
        <f>$R54+Income_Statement!$Q55</f>
        <v/>
      </c>
      <c r="S55" s="17">
        <f>Income_Statement!$R55</f>
        <v/>
      </c>
      <c r="T55" s="17">
        <f>Income_Statement!$Q55</f>
        <v/>
      </c>
      <c r="U55" s="17">
        <f>$U54+Cash_Flow!$I55</f>
        <v/>
      </c>
      <c r="V55" s="17">
        <f>Cash_Flow!$N55</f>
        <v/>
      </c>
      <c r="W55" s="17">
        <f>($W54+Cash_Flow!$J55)-(Cash_Flow!$B55+Cash_Flow!$C55)</f>
        <v/>
      </c>
    </row>
    <row r="56">
      <c r="A56" s="9" t="n">
        <v>5</v>
      </c>
      <c r="B56" s="9" t="n">
        <v>54</v>
      </c>
      <c r="C56" s="10" t="n">
        <v>250000</v>
      </c>
      <c r="D56" s="10" t="n">
        <v>0</v>
      </c>
      <c r="E56" s="10" t="n">
        <v>22599.63</v>
      </c>
      <c r="F56" s="8" t="n">
        <v>25</v>
      </c>
      <c r="G56" s="8" t="n">
        <v>103</v>
      </c>
      <c r="H56" s="10" t="n">
        <v>1500000</v>
      </c>
      <c r="I56" s="10" t="n">
        <v>6180000</v>
      </c>
      <c r="J56" s="16" t="n">
        <v>153521.9</v>
      </c>
      <c r="K56" s="16" t="n">
        <v>360000</v>
      </c>
      <c r="L56" s="16" t="n">
        <v>27870000</v>
      </c>
      <c r="M56" s="17">
        <f>$M55+Cash_Flow!$E56</f>
        <v/>
      </c>
      <c r="N56" s="17">
        <f>$N55+Income_Statement!$M56</f>
        <v/>
      </c>
      <c r="O56" s="17">
        <f>IF(Cash_Flow!$F56&lt;=0,0,$O55+(Cash_Flow!$F56+Cash_Flow!$G56))</f>
        <v/>
      </c>
      <c r="P56" s="17">
        <f>Income_Statement!$P56</f>
        <v/>
      </c>
      <c r="Q56" s="17">
        <f>$Q55+Income_Statement!$P56</f>
        <v/>
      </c>
      <c r="R56" s="17">
        <f>$R55+Income_Statement!$Q56</f>
        <v/>
      </c>
      <c r="S56" s="17">
        <f>Income_Statement!$R56</f>
        <v/>
      </c>
      <c r="T56" s="17">
        <f>Income_Statement!$Q56</f>
        <v/>
      </c>
      <c r="U56" s="17">
        <f>$U55+Cash_Flow!$I56</f>
        <v/>
      </c>
      <c r="V56" s="17">
        <f>Cash_Flow!$N56</f>
        <v/>
      </c>
      <c r="W56" s="17">
        <f>($W55+Cash_Flow!$J56)-(Cash_Flow!$B56+Cash_Flow!$C56)</f>
        <v/>
      </c>
    </row>
    <row r="57">
      <c r="A57" s="9" t="n">
        <v>5</v>
      </c>
      <c r="B57" s="9" t="n">
        <v>55</v>
      </c>
      <c r="C57" s="10" t="n">
        <v>250000</v>
      </c>
      <c r="D57" s="10" t="n">
        <v>0</v>
      </c>
      <c r="E57" s="10" t="n">
        <v>17019.86</v>
      </c>
      <c r="F57" s="8" t="n">
        <v>30</v>
      </c>
      <c r="G57" s="8" t="n">
        <v>103</v>
      </c>
      <c r="H57" s="10" t="n">
        <v>1800000</v>
      </c>
      <c r="I57" s="10" t="n">
        <v>6180000</v>
      </c>
      <c r="J57" s="16" t="n">
        <v>185379.9</v>
      </c>
      <c r="K57" s="16" t="n">
        <v>0</v>
      </c>
      <c r="L57" s="16" t="n">
        <v>28770000</v>
      </c>
      <c r="M57" s="17">
        <f>$M56+Cash_Flow!$E57</f>
        <v/>
      </c>
      <c r="N57" s="17">
        <f>$N56+Income_Statement!$M57</f>
        <v/>
      </c>
      <c r="O57" s="17">
        <f>IF(Cash_Flow!$F57&lt;=0,0,$O56+(Cash_Flow!$F57+Cash_Flow!$G57))</f>
        <v/>
      </c>
      <c r="P57" s="17">
        <f>Income_Statement!$P57</f>
        <v/>
      </c>
      <c r="Q57" s="17">
        <f>$Q56+Income_Statement!$P57</f>
        <v/>
      </c>
      <c r="R57" s="17">
        <f>$R56+Income_Statement!$Q57</f>
        <v/>
      </c>
      <c r="S57" s="17">
        <f>Income_Statement!$R57</f>
        <v/>
      </c>
      <c r="T57" s="17">
        <f>Income_Statement!$Q57</f>
        <v/>
      </c>
      <c r="U57" s="17">
        <f>$U56+Cash_Flow!$I57</f>
        <v/>
      </c>
      <c r="V57" s="17">
        <f>Cash_Flow!$N57</f>
        <v/>
      </c>
      <c r="W57" s="17">
        <f>($W56+Cash_Flow!$J57)-(Cash_Flow!$B57+Cash_Flow!$C57)</f>
        <v/>
      </c>
    </row>
    <row r="58">
      <c r="A58" s="9" t="n">
        <v>5</v>
      </c>
      <c r="B58" s="9" t="n">
        <v>56</v>
      </c>
      <c r="C58" s="10" t="n">
        <v>250000</v>
      </c>
      <c r="D58" s="10" t="n">
        <v>0</v>
      </c>
      <c r="E58" s="10" t="n">
        <v>11393.59</v>
      </c>
      <c r="F58" s="8" t="n">
        <v>25</v>
      </c>
      <c r="G58" s="8" t="n">
        <v>109</v>
      </c>
      <c r="H58" s="10" t="n">
        <v>1500000</v>
      </c>
      <c r="I58" s="10" t="n">
        <v>6540000</v>
      </c>
      <c r="J58" s="16" t="n">
        <v>153521.9</v>
      </c>
      <c r="K58" s="16" t="n">
        <v>360000</v>
      </c>
      <c r="L58" s="16" t="n">
        <v>29520000</v>
      </c>
      <c r="M58" s="17">
        <f>$M57+Cash_Flow!$E58</f>
        <v/>
      </c>
      <c r="N58" s="17">
        <f>$N57+Income_Statement!$M58</f>
        <v/>
      </c>
      <c r="O58" s="17">
        <f>IF(Cash_Flow!$F58&lt;=0,0,$O57+(Cash_Flow!$F58+Cash_Flow!$G58))</f>
        <v/>
      </c>
      <c r="P58" s="17">
        <f>Income_Statement!$P58</f>
        <v/>
      </c>
      <c r="Q58" s="17">
        <f>$Q57+Income_Statement!$P58</f>
        <v/>
      </c>
      <c r="R58" s="17">
        <f>$R57+Income_Statement!$Q58</f>
        <v/>
      </c>
      <c r="S58" s="17">
        <f>Income_Statement!$R58</f>
        <v/>
      </c>
      <c r="T58" s="17">
        <f>Income_Statement!$Q58</f>
        <v/>
      </c>
      <c r="U58" s="17">
        <f>$U57+Cash_Flow!$I58</f>
        <v/>
      </c>
      <c r="V58" s="17">
        <f>Cash_Flow!$N58</f>
        <v/>
      </c>
      <c r="W58" s="17">
        <f>($W57+Cash_Flow!$J58)-(Cash_Flow!$B58+Cash_Flow!$C58)</f>
        <v/>
      </c>
    </row>
    <row r="59">
      <c r="A59" s="9" t="n">
        <v>5</v>
      </c>
      <c r="B59" s="9" t="n">
        <v>57</v>
      </c>
      <c r="C59" s="10" t="n">
        <v>250000</v>
      </c>
      <c r="D59" s="10" t="n">
        <v>0</v>
      </c>
      <c r="E59" s="10" t="n">
        <v>5720.43</v>
      </c>
      <c r="F59" s="8" t="n">
        <v>31</v>
      </c>
      <c r="G59" s="8" t="n">
        <v>109</v>
      </c>
      <c r="H59" s="10" t="n">
        <v>1860000</v>
      </c>
      <c r="I59" s="10" t="n">
        <v>6540000</v>
      </c>
      <c r="J59" s="16" t="n">
        <v>191751.49</v>
      </c>
      <c r="K59" s="16" t="n">
        <v>0</v>
      </c>
      <c r="L59" s="16" t="n">
        <v>30450000</v>
      </c>
      <c r="M59" s="17">
        <f>$M58+Cash_Flow!$E59</f>
        <v/>
      </c>
      <c r="N59" s="17">
        <f>$N58+Income_Statement!$M59</f>
        <v/>
      </c>
      <c r="O59" s="17">
        <f>IF(Cash_Flow!$F59&lt;=0,0,$O58+(Cash_Flow!$F59+Cash_Flow!$G59))</f>
        <v/>
      </c>
      <c r="P59" s="17">
        <f>Income_Statement!$P59</f>
        <v/>
      </c>
      <c r="Q59" s="17">
        <f>$Q58+Income_Statement!$P59</f>
        <v/>
      </c>
      <c r="R59" s="17">
        <f>$R58+Income_Statement!$Q59</f>
        <v/>
      </c>
      <c r="S59" s="17">
        <f>Income_Statement!$R59</f>
        <v/>
      </c>
      <c r="T59" s="17">
        <f>Income_Statement!$Q59</f>
        <v/>
      </c>
      <c r="U59" s="17">
        <f>$U58+Cash_Flow!$I59</f>
        <v/>
      </c>
      <c r="V59" s="17">
        <f>Cash_Flow!$N59</f>
        <v/>
      </c>
      <c r="W59" s="17">
        <f>($W58+Cash_Flow!$J59)-(Cash_Flow!$B59+Cash_Flow!$C59)</f>
        <v/>
      </c>
    </row>
    <row r="60">
      <c r="A60" s="9" t="n">
        <v>5</v>
      </c>
      <c r="B60" s="9" t="n">
        <v>58</v>
      </c>
      <c r="C60" s="10" t="n">
        <v>250000</v>
      </c>
      <c r="D60" s="10" t="n">
        <v>0</v>
      </c>
      <c r="E60" s="10" t="n">
        <v>0</v>
      </c>
      <c r="F60" s="8" t="n">
        <v>26</v>
      </c>
      <c r="G60" s="8" t="n">
        <v>114</v>
      </c>
      <c r="H60" s="10" t="n">
        <v>1560000</v>
      </c>
      <c r="I60" s="10" t="n">
        <v>6840000</v>
      </c>
      <c r="J60" s="16" t="n">
        <v>159893.5</v>
      </c>
      <c r="K60" s="16" t="n">
        <v>300000</v>
      </c>
      <c r="L60" s="16" t="n">
        <v>31230000</v>
      </c>
      <c r="M60" s="17">
        <f>$M59+Cash_Flow!$E60</f>
        <v/>
      </c>
      <c r="N60" s="17">
        <f>$N59+Income_Statement!$M60</f>
        <v/>
      </c>
      <c r="O60" s="17">
        <f>IF(Cash_Flow!$F60&lt;=0,0,$O59+(Cash_Flow!$F60+Cash_Flow!$G60))</f>
        <v/>
      </c>
      <c r="P60" s="17">
        <f>Income_Statement!$P60</f>
        <v/>
      </c>
      <c r="Q60" s="17">
        <f>$Q59+Income_Statement!$P60</f>
        <v/>
      </c>
      <c r="R60" s="17">
        <f>$R59+Income_Statement!$Q60</f>
        <v/>
      </c>
      <c r="S60" s="17">
        <f>Income_Statement!$R60</f>
        <v/>
      </c>
      <c r="T60" s="17">
        <f>Income_Statement!$Q60</f>
        <v/>
      </c>
      <c r="U60" s="17">
        <f>$U59+Cash_Flow!$I60</f>
        <v/>
      </c>
      <c r="V60" s="17">
        <f>Cash_Flow!$N60</f>
        <v/>
      </c>
      <c r="W60" s="17">
        <f>($W59+Cash_Flow!$J60)-(Cash_Flow!$B60+Cash_Flow!$C60)</f>
        <v/>
      </c>
    </row>
    <row r="61">
      <c r="A61" s="9" t="n">
        <v>5</v>
      </c>
      <c r="B61" s="9" t="n">
        <v>59</v>
      </c>
      <c r="C61" s="10" t="n">
        <v>250000</v>
      </c>
      <c r="D61" s="10" t="n">
        <v>0</v>
      </c>
      <c r="E61" s="10" t="n">
        <v>0</v>
      </c>
      <c r="F61" s="8" t="n">
        <v>32</v>
      </c>
      <c r="G61" s="8" t="n">
        <v>114</v>
      </c>
      <c r="H61" s="10" t="n">
        <v>1920000</v>
      </c>
      <c r="I61" s="10" t="n">
        <v>6840000</v>
      </c>
      <c r="J61" s="16" t="n">
        <v>203891.2</v>
      </c>
      <c r="K61" s="16" t="n">
        <v>0</v>
      </c>
      <c r="L61" s="16" t="n">
        <v>32190000</v>
      </c>
      <c r="M61" s="17">
        <f>$M60+Cash_Flow!$E61</f>
        <v/>
      </c>
      <c r="N61" s="17">
        <f>$N60+Income_Statement!$M61</f>
        <v/>
      </c>
      <c r="O61" s="17">
        <f>IF(Cash_Flow!$F61&lt;=0,0,$O60+(Cash_Flow!$F61+Cash_Flow!$G61))</f>
        <v/>
      </c>
      <c r="P61" s="17">
        <f>Income_Statement!$P61</f>
        <v/>
      </c>
      <c r="Q61" s="17">
        <f>$Q60+Income_Statement!$P61</f>
        <v/>
      </c>
      <c r="R61" s="17">
        <f>$R60+Income_Statement!$Q61</f>
        <v/>
      </c>
      <c r="S61" s="17">
        <f>Income_Statement!$R61</f>
        <v/>
      </c>
      <c r="T61" s="17">
        <f>Income_Statement!$Q61</f>
        <v/>
      </c>
      <c r="U61" s="17">
        <f>$U60+Cash_Flow!$I61</f>
        <v/>
      </c>
      <c r="V61" s="17">
        <f>Cash_Flow!$N61</f>
        <v/>
      </c>
      <c r="W61" s="17">
        <f>($W60+Cash_Flow!$J61)-(Cash_Flow!$B61+Cash_Flow!$C61)</f>
        <v/>
      </c>
    </row>
    <row r="62">
      <c r="A62" s="9" t="n">
        <v>5</v>
      </c>
      <c r="B62" s="9" t="n">
        <v>60</v>
      </c>
      <c r="C62" s="10" t="n">
        <v>250000</v>
      </c>
      <c r="D62" s="10" t="n">
        <v>0</v>
      </c>
      <c r="E62" s="10" t="n">
        <v>0</v>
      </c>
      <c r="F62" s="8" t="n">
        <v>28</v>
      </c>
      <c r="G62" s="8" t="n">
        <v>120</v>
      </c>
      <c r="H62" s="10" t="n">
        <v>1680000</v>
      </c>
      <c r="I62" s="10" t="n">
        <v>7200000</v>
      </c>
      <c r="J62" s="16" t="n">
        <v>178404.8</v>
      </c>
      <c r="K62" s="16" t="n">
        <v>360000</v>
      </c>
      <c r="L62" s="16" t="n">
        <v>33030000</v>
      </c>
      <c r="M62" s="17">
        <f>$M61+Cash_Flow!$E62</f>
        <v/>
      </c>
      <c r="N62" s="17">
        <f>$N61+Income_Statement!$M62</f>
        <v/>
      </c>
      <c r="O62" s="17">
        <f>IF(Cash_Flow!$F62&lt;=0,0,$O61+(Cash_Flow!$F62+Cash_Flow!$G62))</f>
        <v/>
      </c>
      <c r="P62" s="17">
        <f>Income_Statement!$P62</f>
        <v/>
      </c>
      <c r="Q62" s="17">
        <f>$Q61+Income_Statement!$P62</f>
        <v/>
      </c>
      <c r="R62" s="17">
        <f>$R61+Income_Statement!$Q62</f>
        <v/>
      </c>
      <c r="S62" s="17">
        <f>Income_Statement!$R62</f>
        <v/>
      </c>
      <c r="T62" s="17">
        <f>Income_Statement!$Q62</f>
        <v/>
      </c>
      <c r="U62" s="17">
        <f>$U61+Cash_Flow!$I62</f>
        <v/>
      </c>
      <c r="V62" s="17">
        <f>Cash_Flow!$N62</f>
        <v/>
      </c>
      <c r="W62" s="17">
        <f>($W61+Cash_Flow!$J62)-(Cash_Flow!$B62+Cash_Flow!$C62)</f>
        <v/>
      </c>
    </row>
  </sheetData>
  <mergeCells count="1">
    <mergeCell ref="B1:H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8"/>
  <sheetViews>
    <sheetView zoomScale="160" zoomScaleNormal="160" workbookViewId="0">
      <pane ySplit="4" topLeftCell="A5" activePane="bottomLeft" state="frozen"/>
      <selection pane="bottomLeft" activeCell="D9" sqref="D9"/>
    </sheetView>
  </sheetViews>
  <sheetFormatPr baseColWidth="8" defaultColWidth="8.7109375" defaultRowHeight="15" customHeight="1"/>
  <cols>
    <col width="12" customWidth="1" min="1" max="1"/>
    <col width="18" customWidth="1" min="2" max="2"/>
    <col width="14" customWidth="1" min="3" max="5"/>
    <col width="18" customWidth="1" min="6" max="6"/>
  </cols>
  <sheetData>
    <row r="1" ht="18.75" customHeight="1">
      <c r="A1" s="20" t="inlineStr">
        <is>
          <t>Loan Amortisation - linked to Cash_Flow</t>
        </is>
      </c>
    </row>
    <row r="2" ht="28.35" customHeight="1">
      <c r="A2" s="22" t="inlineStr">
        <is>
          <t>Prime-linked amortising bank facility: N$250,000 at 10.00% p.a. over 54 months, with payments starting in operating month 5. Opening balance includes the draw in the first loan month.</t>
        </is>
      </c>
      <c r="B2" s="23" t="n"/>
      <c r="C2" s="23" t="n"/>
      <c r="D2" s="23" t="n"/>
      <c r="E2" s="23" t="n"/>
      <c r="F2" s="24" t="n"/>
    </row>
    <row r="4">
      <c r="A4" s="2" t="inlineStr">
        <is>
          <t>Loan month</t>
        </is>
      </c>
      <c r="B4" s="2" t="inlineStr">
        <is>
          <t>Opening balance</t>
        </is>
      </c>
      <c r="C4" s="2" t="inlineStr">
        <is>
          <t>Interest</t>
        </is>
      </c>
      <c r="D4" s="2" t="inlineStr">
        <is>
          <t>Principal</t>
        </is>
      </c>
      <c r="E4" s="2" t="inlineStr">
        <is>
          <t>Payment</t>
        </is>
      </c>
      <c r="F4" s="2" t="inlineStr">
        <is>
          <t>Closing balance</t>
        </is>
      </c>
    </row>
    <row r="5">
      <c r="A5" s="8" t="n">
        <v>1</v>
      </c>
      <c r="B5" s="10" t="n">
        <v>250000</v>
      </c>
      <c r="C5" s="10" t="n">
        <v>2083.33</v>
      </c>
      <c r="D5" s="10" t="n">
        <v>3684.77</v>
      </c>
      <c r="E5" s="10" t="n">
        <v>5768.1</v>
      </c>
      <c r="F5" s="10" t="n">
        <v>246315.23</v>
      </c>
    </row>
    <row r="6">
      <c r="A6" s="8" t="n">
        <v>2</v>
      </c>
      <c r="B6" s="10" t="n">
        <v>246315.23</v>
      </c>
      <c r="C6" s="10" t="n">
        <v>2052.63</v>
      </c>
      <c r="D6" s="10" t="n">
        <v>3715.47</v>
      </c>
      <c r="E6" s="10" t="n">
        <v>5768.1</v>
      </c>
      <c r="F6" s="10" t="n">
        <v>242599.76</v>
      </c>
    </row>
    <row r="7">
      <c r="A7" s="8" t="n">
        <v>3</v>
      </c>
      <c r="B7" s="10" t="n">
        <v>242599.76</v>
      </c>
      <c r="C7" s="10" t="n">
        <v>2021.66</v>
      </c>
      <c r="D7" s="10" t="n">
        <v>3746.44</v>
      </c>
      <c r="E7" s="10" t="n">
        <v>5768.1</v>
      </c>
      <c r="F7" s="10" t="n">
        <v>238853.32</v>
      </c>
    </row>
    <row r="8">
      <c r="A8" s="8" t="n">
        <v>4</v>
      </c>
      <c r="B8" s="10" t="n">
        <v>238853.32</v>
      </c>
      <c r="C8" s="10" t="n">
        <v>1990.44</v>
      </c>
      <c r="D8" s="10" t="n">
        <v>3777.66</v>
      </c>
      <c r="E8" s="10" t="n">
        <v>5768.1</v>
      </c>
      <c r="F8" s="10" t="n">
        <v>235075.66</v>
      </c>
    </row>
    <row r="9">
      <c r="A9" s="8" t="n">
        <v>5</v>
      </c>
      <c r="B9" s="10" t="n">
        <v>235075.66</v>
      </c>
      <c r="C9" s="10" t="n">
        <v>1958.96</v>
      </c>
      <c r="D9" s="10" t="n">
        <v>3809.14</v>
      </c>
      <c r="E9" s="10" t="n">
        <v>5768.1</v>
      </c>
      <c r="F9" s="10" t="n">
        <v>231266.52</v>
      </c>
    </row>
    <row r="10">
      <c r="A10" s="8" t="n">
        <v>6</v>
      </c>
      <c r="B10" s="10" t="n">
        <v>231266.52</v>
      </c>
      <c r="C10" s="10" t="n">
        <v>1927.22</v>
      </c>
      <c r="D10" s="10" t="n">
        <v>3840.88</v>
      </c>
      <c r="E10" s="10" t="n">
        <v>5768.1</v>
      </c>
      <c r="F10" s="10" t="n">
        <v>227425.64</v>
      </c>
    </row>
    <row r="11">
      <c r="A11" s="8" t="n">
        <v>7</v>
      </c>
      <c r="B11" s="10" t="n">
        <v>227425.64</v>
      </c>
      <c r="C11" s="10" t="n">
        <v>1895.21</v>
      </c>
      <c r="D11" s="10" t="n">
        <v>3872.89</v>
      </c>
      <c r="E11" s="10" t="n">
        <v>5768.1</v>
      </c>
      <c r="F11" s="10" t="n">
        <v>223552.75</v>
      </c>
    </row>
    <row r="12">
      <c r="A12" s="8" t="n">
        <v>8</v>
      </c>
      <c r="B12" s="10" t="n">
        <v>223552.75</v>
      </c>
      <c r="C12" s="10" t="n">
        <v>1862.94</v>
      </c>
      <c r="D12" s="10" t="n">
        <v>3905.16</v>
      </c>
      <c r="E12" s="10" t="n">
        <v>5768.1</v>
      </c>
      <c r="F12" s="10" t="n">
        <v>219647.59</v>
      </c>
    </row>
    <row r="13">
      <c r="A13" s="8" t="n">
        <v>9</v>
      </c>
      <c r="B13" s="10" t="n">
        <v>219647.59</v>
      </c>
      <c r="C13" s="10" t="n">
        <v>1830.4</v>
      </c>
      <c r="D13" s="10" t="n">
        <v>3937.71</v>
      </c>
      <c r="E13" s="10" t="n">
        <v>5768.1</v>
      </c>
      <c r="F13" s="10" t="n">
        <v>215709.89</v>
      </c>
    </row>
    <row r="14">
      <c r="A14" s="8" t="n">
        <v>10</v>
      </c>
      <c r="B14" s="10" t="n">
        <v>215709.89</v>
      </c>
      <c r="C14" s="10" t="n">
        <v>1797.58</v>
      </c>
      <c r="D14" s="10" t="n">
        <v>3970.52</v>
      </c>
      <c r="E14" s="10" t="n">
        <v>5768.1</v>
      </c>
      <c r="F14" s="10" t="n">
        <v>211739.37</v>
      </c>
    </row>
    <row r="15">
      <c r="A15" s="8" t="n">
        <v>11</v>
      </c>
      <c r="B15" s="10" t="n">
        <v>211739.37</v>
      </c>
      <c r="C15" s="10" t="n">
        <v>1764.49</v>
      </c>
      <c r="D15" s="10" t="n">
        <v>4003.61</v>
      </c>
      <c r="E15" s="10" t="n">
        <v>5768.1</v>
      </c>
      <c r="F15" s="10" t="n">
        <v>207735.76</v>
      </c>
    </row>
    <row r="16">
      <c r="A16" s="8" t="n">
        <v>12</v>
      </c>
      <c r="B16" s="10" t="n">
        <v>207735.76</v>
      </c>
      <c r="C16" s="10" t="n">
        <v>1731.13</v>
      </c>
      <c r="D16" s="10" t="n">
        <v>4036.97</v>
      </c>
      <c r="E16" s="10" t="n">
        <v>5768.1</v>
      </c>
      <c r="F16" s="10" t="n">
        <v>203698.79</v>
      </c>
    </row>
    <row r="17">
      <c r="A17" s="8" t="n">
        <v>13</v>
      </c>
      <c r="B17" s="10" t="n">
        <v>203698.79</v>
      </c>
      <c r="C17" s="10" t="n">
        <v>1697.49</v>
      </c>
      <c r="D17" s="10" t="n">
        <v>4070.61</v>
      </c>
      <c r="E17" s="10" t="n">
        <v>5768.1</v>
      </c>
      <c r="F17" s="10" t="n">
        <v>199628.18</v>
      </c>
    </row>
    <row r="18">
      <c r="A18" s="8" t="n">
        <v>14</v>
      </c>
      <c r="B18" s="10" t="n">
        <v>199628.18</v>
      </c>
      <c r="C18" s="10" t="n">
        <v>1663.57</v>
      </c>
      <c r="D18" s="10" t="n">
        <v>4104.53</v>
      </c>
      <c r="E18" s="10" t="n">
        <v>5768.1</v>
      </c>
      <c r="F18" s="10" t="n">
        <v>195523.64</v>
      </c>
    </row>
    <row r="19">
      <c r="A19" s="8" t="n">
        <v>15</v>
      </c>
      <c r="B19" s="10" t="n">
        <v>195523.64</v>
      </c>
      <c r="C19" s="10" t="n">
        <v>1629.36</v>
      </c>
      <c r="D19" s="10" t="n">
        <v>4138.74</v>
      </c>
      <c r="E19" s="10" t="n">
        <v>5768.1</v>
      </c>
      <c r="F19" s="10" t="n">
        <v>191384.91</v>
      </c>
    </row>
    <row r="20">
      <c r="A20" s="8" t="n">
        <v>16</v>
      </c>
      <c r="B20" s="10" t="n">
        <v>191384.91</v>
      </c>
      <c r="C20" s="10" t="n">
        <v>1594.87</v>
      </c>
      <c r="D20" s="10" t="n">
        <v>4173.23</v>
      </c>
      <c r="E20" s="10" t="n">
        <v>5768.1</v>
      </c>
      <c r="F20" s="10" t="n">
        <v>187211.68</v>
      </c>
    </row>
    <row r="21">
      <c r="A21" s="8" t="n">
        <v>17</v>
      </c>
      <c r="B21" s="10" t="n">
        <v>187211.68</v>
      </c>
      <c r="C21" s="10" t="n">
        <v>1560.1</v>
      </c>
      <c r="D21" s="10" t="n">
        <v>4208</v>
      </c>
      <c r="E21" s="10" t="n">
        <v>5768.1</v>
      </c>
      <c r="F21" s="10" t="n">
        <v>183003.67</v>
      </c>
    </row>
    <row r="22">
      <c r="A22" s="8" t="n">
        <v>18</v>
      </c>
      <c r="B22" s="10" t="n">
        <v>183003.67</v>
      </c>
      <c r="C22" s="10" t="n">
        <v>1525.03</v>
      </c>
      <c r="D22" s="10" t="n">
        <v>4243.07</v>
      </c>
      <c r="E22" s="10" t="n">
        <v>5768.1</v>
      </c>
      <c r="F22" s="10" t="n">
        <v>178760.6</v>
      </c>
    </row>
    <row r="23">
      <c r="A23" s="8" t="n">
        <v>19</v>
      </c>
      <c r="B23" s="10" t="n">
        <v>178760.6</v>
      </c>
      <c r="C23" s="10" t="n">
        <v>1489.67</v>
      </c>
      <c r="D23" s="10" t="n">
        <v>4278.43</v>
      </c>
      <c r="E23" s="10" t="n">
        <v>5768.1</v>
      </c>
      <c r="F23" s="10" t="n">
        <v>174482.17</v>
      </c>
    </row>
    <row r="24">
      <c r="A24" s="8" t="n">
        <v>20</v>
      </c>
      <c r="B24" s="10" t="n">
        <v>174482.17</v>
      </c>
      <c r="C24" s="10" t="n">
        <v>1454.02</v>
      </c>
      <c r="D24" s="10" t="n">
        <v>4314.08</v>
      </c>
      <c r="E24" s="10" t="n">
        <v>5768.1</v>
      </c>
      <c r="F24" s="10" t="n">
        <v>170168.09</v>
      </c>
    </row>
    <row r="25">
      <c r="A25" s="8" t="n">
        <v>21</v>
      </c>
      <c r="B25" s="10" t="n">
        <v>170168.09</v>
      </c>
      <c r="C25" s="10" t="n">
        <v>1418.07</v>
      </c>
      <c r="D25" s="10" t="n">
        <v>4350.03</v>
      </c>
      <c r="E25" s="10" t="n">
        <v>5768.1</v>
      </c>
      <c r="F25" s="10" t="n">
        <v>165818.05</v>
      </c>
    </row>
    <row r="26">
      <c r="A26" s="8" t="n">
        <v>22</v>
      </c>
      <c r="B26" s="10" t="n">
        <v>165818.05</v>
      </c>
      <c r="C26" s="10" t="n">
        <v>1381.82</v>
      </c>
      <c r="D26" s="10" t="n">
        <v>4386.28</v>
      </c>
      <c r="E26" s="10" t="n">
        <v>5768.1</v>
      </c>
      <c r="F26" s="10" t="n">
        <v>161431.77</v>
      </c>
    </row>
    <row r="27">
      <c r="A27" s="8" t="n">
        <v>23</v>
      </c>
      <c r="B27" s="10" t="n">
        <v>161431.77</v>
      </c>
      <c r="C27" s="10" t="n">
        <v>1345.26</v>
      </c>
      <c r="D27" s="10" t="n">
        <v>4422.84</v>
      </c>
      <c r="E27" s="10" t="n">
        <v>5768.1</v>
      </c>
      <c r="F27" s="10" t="n">
        <v>157008.93</v>
      </c>
    </row>
    <row r="28">
      <c r="A28" s="8" t="n">
        <v>24</v>
      </c>
      <c r="B28" s="10" t="n">
        <v>157008.93</v>
      </c>
      <c r="C28" s="10" t="n">
        <v>1308.41</v>
      </c>
      <c r="D28" s="10" t="n">
        <v>4459.69</v>
      </c>
      <c r="E28" s="10" t="n">
        <v>5768.1</v>
      </c>
      <c r="F28" s="10" t="n">
        <v>152549.24</v>
      </c>
    </row>
    <row r="29">
      <c r="A29" s="8" t="n">
        <v>25</v>
      </c>
      <c r="B29" s="10" t="n">
        <v>152549.24</v>
      </c>
      <c r="C29" s="10" t="n">
        <v>1271.24</v>
      </c>
      <c r="D29" s="10" t="n">
        <v>4496.86</v>
      </c>
      <c r="E29" s="10" t="n">
        <v>5768.1</v>
      </c>
      <c r="F29" s="10" t="n">
        <v>148052.38</v>
      </c>
    </row>
    <row r="30">
      <c r="A30" s="8" t="n">
        <v>26</v>
      </c>
      <c r="B30" s="10" t="n">
        <v>148052.38</v>
      </c>
      <c r="C30" s="10" t="n">
        <v>1233.77</v>
      </c>
      <c r="D30" s="10" t="n">
        <v>4534.33</v>
      </c>
      <c r="E30" s="10" t="n">
        <v>5768.1</v>
      </c>
      <c r="F30" s="10" t="n">
        <v>143518.05</v>
      </c>
    </row>
    <row r="31">
      <c r="A31" s="8" t="n">
        <v>27</v>
      </c>
      <c r="B31" s="10" t="n">
        <v>143518.05</v>
      </c>
      <c r="C31" s="10" t="n">
        <v>1195.98</v>
      </c>
      <c r="D31" s="10" t="n">
        <v>4572.12</v>
      </c>
      <c r="E31" s="10" t="n">
        <v>5768.1</v>
      </c>
      <c r="F31" s="10" t="n">
        <v>138945.93</v>
      </c>
    </row>
    <row r="32">
      <c r="A32" s="8" t="n">
        <v>28</v>
      </c>
      <c r="B32" s="10" t="n">
        <v>138945.93</v>
      </c>
      <c r="C32" s="10" t="n">
        <v>1157.88</v>
      </c>
      <c r="D32" s="10" t="n">
        <v>4610.22</v>
      </c>
      <c r="E32" s="10" t="n">
        <v>5768.1</v>
      </c>
      <c r="F32" s="10" t="n">
        <v>134335.71</v>
      </c>
    </row>
    <row r="33">
      <c r="A33" s="8" t="n">
        <v>29</v>
      </c>
      <c r="B33" s="10" t="n">
        <v>134335.71</v>
      </c>
      <c r="C33" s="10" t="n">
        <v>1119.46</v>
      </c>
      <c r="D33" s="10" t="n">
        <v>4648.64</v>
      </c>
      <c r="E33" s="10" t="n">
        <v>5768.1</v>
      </c>
      <c r="F33" s="10" t="n">
        <v>129687.07</v>
      </c>
    </row>
    <row r="34">
      <c r="A34" s="8" t="n">
        <v>30</v>
      </c>
      <c r="B34" s="10" t="n">
        <v>129687.07</v>
      </c>
      <c r="C34" s="10" t="n">
        <v>1080.73</v>
      </c>
      <c r="D34" s="10" t="n">
        <v>4687.38</v>
      </c>
      <c r="E34" s="10" t="n">
        <v>5768.1</v>
      </c>
      <c r="F34" s="10" t="n">
        <v>124999.7</v>
      </c>
    </row>
    <row r="35">
      <c r="A35" s="8" t="n">
        <v>31</v>
      </c>
      <c r="B35" s="10" t="n">
        <v>124999.7</v>
      </c>
      <c r="C35" s="10" t="n">
        <v>1041.66</v>
      </c>
      <c r="D35" s="10" t="n">
        <v>4726.44</v>
      </c>
      <c r="E35" s="10" t="n">
        <v>5768.1</v>
      </c>
      <c r="F35" s="10" t="n">
        <v>120273.26</v>
      </c>
    </row>
    <row r="36">
      <c r="A36" s="8" t="n">
        <v>32</v>
      </c>
      <c r="B36" s="10" t="n">
        <v>120273.26</v>
      </c>
      <c r="C36" s="10" t="n">
        <v>1002.28</v>
      </c>
      <c r="D36" s="10" t="n">
        <v>4765.82</v>
      </c>
      <c r="E36" s="10" t="n">
        <v>5768.1</v>
      </c>
      <c r="F36" s="10" t="n">
        <v>115507.44</v>
      </c>
    </row>
    <row r="37">
      <c r="A37" s="8" t="n">
        <v>33</v>
      </c>
      <c r="B37" s="10" t="n">
        <v>115507.44</v>
      </c>
      <c r="C37" s="10" t="n">
        <v>962.5599999999999</v>
      </c>
      <c r="D37" s="10" t="n">
        <v>4805.54</v>
      </c>
      <c r="E37" s="10" t="n">
        <v>5768.1</v>
      </c>
      <c r="F37" s="10" t="n">
        <v>110701.9</v>
      </c>
    </row>
    <row r="38">
      <c r="A38" s="8" t="n">
        <v>34</v>
      </c>
      <c r="B38" s="10" t="n">
        <v>110701.9</v>
      </c>
      <c r="C38" s="10" t="n">
        <v>922.52</v>
      </c>
      <c r="D38" s="10" t="n">
        <v>4845.59</v>
      </c>
      <c r="E38" s="10" t="n">
        <v>5768.1</v>
      </c>
      <c r="F38" s="10" t="n">
        <v>105856.31</v>
      </c>
    </row>
    <row r="39">
      <c r="A39" s="8" t="n">
        <v>35</v>
      </c>
      <c r="B39" s="10" t="n">
        <v>105856.31</v>
      </c>
      <c r="C39" s="10" t="n">
        <v>882.14</v>
      </c>
      <c r="D39" s="10" t="n">
        <v>4885.97</v>
      </c>
      <c r="E39" s="10" t="n">
        <v>5768.1</v>
      </c>
      <c r="F39" s="10" t="n">
        <v>100970.34</v>
      </c>
    </row>
    <row r="40">
      <c r="A40" s="8" t="n">
        <v>36</v>
      </c>
      <c r="B40" s="10" t="n">
        <v>100970.34</v>
      </c>
      <c r="C40" s="10" t="n">
        <v>841.42</v>
      </c>
      <c r="D40" s="10" t="n">
        <v>4926.68</v>
      </c>
      <c r="E40" s="10" t="n">
        <v>5768.1</v>
      </c>
      <c r="F40" s="10" t="n">
        <v>96043.66</v>
      </c>
    </row>
    <row r="41">
      <c r="A41" s="8" t="n">
        <v>37</v>
      </c>
      <c r="B41" s="10" t="n">
        <v>96043.66</v>
      </c>
      <c r="C41" s="10" t="n">
        <v>800.36</v>
      </c>
      <c r="D41" s="10" t="n">
        <v>4967.74</v>
      </c>
      <c r="E41" s="10" t="n">
        <v>5768.1</v>
      </c>
      <c r="F41" s="10" t="n">
        <v>91075.92</v>
      </c>
    </row>
    <row r="42">
      <c r="A42" s="8" t="n">
        <v>38</v>
      </c>
      <c r="B42" s="10" t="n">
        <v>91075.92</v>
      </c>
      <c r="C42" s="10" t="n">
        <v>758.97</v>
      </c>
      <c r="D42" s="10" t="n">
        <v>5009.14</v>
      </c>
      <c r="E42" s="10" t="n">
        <v>5768.1</v>
      </c>
      <c r="F42" s="10" t="n">
        <v>86066.78999999999</v>
      </c>
    </row>
    <row r="43">
      <c r="A43" s="8" t="n">
        <v>39</v>
      </c>
      <c r="B43" s="10" t="n">
        <v>86066.78999999999</v>
      </c>
      <c r="C43" s="10" t="n">
        <v>717.22</v>
      </c>
      <c r="D43" s="10" t="n">
        <v>5050.88</v>
      </c>
      <c r="E43" s="10" t="n">
        <v>5768.1</v>
      </c>
      <c r="F43" s="10" t="n">
        <v>81015.91</v>
      </c>
    </row>
    <row r="44">
      <c r="A44" s="8" t="n">
        <v>40</v>
      </c>
      <c r="B44" s="10" t="n">
        <v>81015.91</v>
      </c>
      <c r="C44" s="10" t="n">
        <v>675.13</v>
      </c>
      <c r="D44" s="10" t="n">
        <v>5092.97</v>
      </c>
      <c r="E44" s="10" t="n">
        <v>5768.1</v>
      </c>
      <c r="F44" s="10" t="n">
        <v>75922.94</v>
      </c>
    </row>
    <row r="45">
      <c r="A45" s="8" t="n">
        <v>41</v>
      </c>
      <c r="B45" s="10" t="n">
        <v>75922.94</v>
      </c>
      <c r="C45" s="10" t="n">
        <v>632.6900000000001</v>
      </c>
      <c r="D45" s="10" t="n">
        <v>5135.41</v>
      </c>
      <c r="E45" s="10" t="n">
        <v>5768.1</v>
      </c>
      <c r="F45" s="10" t="n">
        <v>70787.53</v>
      </c>
    </row>
    <row r="46">
      <c r="A46" s="8" t="n">
        <v>42</v>
      </c>
      <c r="B46" s="10" t="n">
        <v>70787.53</v>
      </c>
      <c r="C46" s="10" t="n">
        <v>589.9</v>
      </c>
      <c r="D46" s="10" t="n">
        <v>5178.21</v>
      </c>
      <c r="E46" s="10" t="n">
        <v>5768.1</v>
      </c>
      <c r="F46" s="10" t="n">
        <v>65609.32000000001</v>
      </c>
    </row>
    <row r="47">
      <c r="A47" s="8" t="n">
        <v>43</v>
      </c>
      <c r="B47" s="10" t="n">
        <v>65609.32000000001</v>
      </c>
      <c r="C47" s="10" t="n">
        <v>546.74</v>
      </c>
      <c r="D47" s="10" t="n">
        <v>5221.36</v>
      </c>
      <c r="E47" s="10" t="n">
        <v>5768.1</v>
      </c>
      <c r="F47" s="10" t="n">
        <v>60387.97</v>
      </c>
    </row>
    <row r="48">
      <c r="A48" s="8" t="n">
        <v>44</v>
      </c>
      <c r="B48" s="10" t="n">
        <v>60387.97</v>
      </c>
      <c r="C48" s="10" t="n">
        <v>503.23</v>
      </c>
      <c r="D48" s="10" t="n">
        <v>5264.87</v>
      </c>
      <c r="E48" s="10" t="n">
        <v>5768.1</v>
      </c>
      <c r="F48" s="10" t="n">
        <v>55123.1</v>
      </c>
    </row>
    <row r="49">
      <c r="A49" s="8" t="n">
        <v>45</v>
      </c>
      <c r="B49" s="10" t="n">
        <v>55123.1</v>
      </c>
      <c r="C49" s="10" t="n">
        <v>459.36</v>
      </c>
      <c r="D49" s="10" t="n">
        <v>5308.74</v>
      </c>
      <c r="E49" s="10" t="n">
        <v>5768.1</v>
      </c>
      <c r="F49" s="10" t="n">
        <v>49814.35</v>
      </c>
    </row>
    <row r="50">
      <c r="A50" s="8" t="n">
        <v>46</v>
      </c>
      <c r="B50" s="10" t="n">
        <v>49814.35</v>
      </c>
      <c r="C50" s="10" t="n">
        <v>415.12</v>
      </c>
      <c r="D50" s="10" t="n">
        <v>5352.98</v>
      </c>
      <c r="E50" s="10" t="n">
        <v>5768.1</v>
      </c>
      <c r="F50" s="10" t="n">
        <v>44461.37</v>
      </c>
    </row>
    <row r="51">
      <c r="A51" s="8" t="n">
        <v>47</v>
      </c>
      <c r="B51" s="10" t="n">
        <v>44461.37</v>
      </c>
      <c r="C51" s="10" t="n">
        <v>370.51</v>
      </c>
      <c r="D51" s="10" t="n">
        <v>5397.59</v>
      </c>
      <c r="E51" s="10" t="n">
        <v>5768.1</v>
      </c>
      <c r="F51" s="10" t="n">
        <v>39063.78</v>
      </c>
    </row>
    <row r="52">
      <c r="A52" s="8" t="n">
        <v>48</v>
      </c>
      <c r="B52" s="10" t="n">
        <v>39063.78</v>
      </c>
      <c r="C52" s="10" t="n">
        <v>325.53</v>
      </c>
      <c r="D52" s="10" t="n">
        <v>5442.57</v>
      </c>
      <c r="E52" s="10" t="n">
        <v>5768.1</v>
      </c>
      <c r="F52" s="10" t="n">
        <v>33621.21</v>
      </c>
    </row>
    <row r="53">
      <c r="A53" s="8" t="n">
        <v>49</v>
      </c>
      <c r="B53" s="10" t="n">
        <v>33621.21</v>
      </c>
      <c r="C53" s="10" t="n">
        <v>280.18</v>
      </c>
      <c r="D53" s="10" t="n">
        <v>5487.93</v>
      </c>
      <c r="E53" s="10" t="n">
        <v>5768.1</v>
      </c>
      <c r="F53" s="10" t="n">
        <v>28133.29</v>
      </c>
    </row>
    <row r="54">
      <c r="A54" s="8" t="n">
        <v>50</v>
      </c>
      <c r="B54" s="10" t="n">
        <v>28133.29</v>
      </c>
      <c r="C54" s="10" t="n">
        <v>234.44</v>
      </c>
      <c r="D54" s="10" t="n">
        <v>5533.66</v>
      </c>
      <c r="E54" s="10" t="n">
        <v>5768.1</v>
      </c>
      <c r="F54" s="10" t="n">
        <v>22599.63</v>
      </c>
    </row>
    <row r="55">
      <c r="A55" s="8" t="n">
        <v>51</v>
      </c>
      <c r="B55" s="10" t="n">
        <v>22599.63</v>
      </c>
      <c r="C55" s="10" t="n">
        <v>188.33</v>
      </c>
      <c r="D55" s="10" t="n">
        <v>5579.77</v>
      </c>
      <c r="E55" s="10" t="n">
        <v>5768.1</v>
      </c>
      <c r="F55" s="10" t="n">
        <v>17019.86</v>
      </c>
    </row>
    <row r="56">
      <c r="A56" s="8" t="n">
        <v>52</v>
      </c>
      <c r="B56" s="10" t="n">
        <v>17019.86</v>
      </c>
      <c r="C56" s="10" t="n">
        <v>141.83</v>
      </c>
      <c r="D56" s="10" t="n">
        <v>5626.27</v>
      </c>
      <c r="E56" s="10" t="n">
        <v>5768.1</v>
      </c>
      <c r="F56" s="10" t="n">
        <v>11393.59</v>
      </c>
    </row>
    <row r="57">
      <c r="A57" s="8" t="n">
        <v>53</v>
      </c>
      <c r="B57" s="10" t="n">
        <v>11393.59</v>
      </c>
      <c r="C57" s="10" t="n">
        <v>94.95</v>
      </c>
      <c r="D57" s="10" t="n">
        <v>5673.16</v>
      </c>
      <c r="E57" s="10" t="n">
        <v>5768.1</v>
      </c>
      <c r="F57" s="10" t="n">
        <v>5720.43</v>
      </c>
    </row>
    <row r="58">
      <c r="A58" s="8" t="n">
        <v>54</v>
      </c>
      <c r="B58" s="10" t="n">
        <v>5720.43</v>
      </c>
      <c r="C58" s="10" t="n">
        <v>47.67</v>
      </c>
      <c r="D58" s="10" t="n">
        <v>5720.43</v>
      </c>
      <c r="E58" s="10" t="n">
        <v>5768.1</v>
      </c>
      <c r="F58" s="10" t="n">
        <v>0</v>
      </c>
    </row>
  </sheetData>
  <mergeCells count="2">
    <mergeCell ref="A2:F2"/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2026-04-30T09:43:16Z</dcterms:created>
  <dcterms:modified xsi:type="dcterms:W3CDTF">2026-04-30T09:43:16Z</dcterms:modified>
  <cp:lastModifiedBy>Sebbi Kankondi</cp:lastModifiedBy>
</cp:coreProperties>
</file>