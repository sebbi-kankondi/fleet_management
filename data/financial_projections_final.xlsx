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ebbi Kankondi\fleet_management\data\"/>
    </mc:Choice>
  </mc:AlternateContent>
  <xr:revisionPtr revIDLastSave="0" documentId="13_ncr:1_{A967C68A-53ED-4E70-A9D0-9FC2B6E76BC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Assumptions" sheetId="1" r:id="rId1"/>
    <sheet name="Fleet_Schedule" sheetId="2" r:id="rId2"/>
    <sheet name="Cash_Flow" sheetId="3" r:id="rId3"/>
    <sheet name="Income_Statement" sheetId="4" r:id="rId4"/>
    <sheet name="Balance_Sheet" sheetId="5" r:id="rId5"/>
    <sheet name="Loan_Amortisati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2" i="5" l="1"/>
  <c r="S62" i="5"/>
  <c r="P62" i="5"/>
  <c r="O62" i="5"/>
  <c r="T61" i="5"/>
  <c r="S61" i="5"/>
  <c r="P61" i="5"/>
  <c r="O61" i="5"/>
  <c r="T60" i="5"/>
  <c r="S60" i="5"/>
  <c r="P60" i="5"/>
  <c r="T59" i="5"/>
  <c r="S59" i="5"/>
  <c r="P59" i="5"/>
  <c r="T58" i="5"/>
  <c r="S58" i="5"/>
  <c r="P58" i="5"/>
  <c r="T57" i="5"/>
  <c r="S57" i="5"/>
  <c r="P57" i="5"/>
  <c r="T56" i="5"/>
  <c r="S56" i="5"/>
  <c r="P56" i="5"/>
  <c r="T55" i="5"/>
  <c r="S55" i="5"/>
  <c r="P55" i="5"/>
  <c r="T54" i="5"/>
  <c r="S54" i="5"/>
  <c r="P54" i="5"/>
  <c r="T53" i="5"/>
  <c r="S53" i="5"/>
  <c r="P53" i="5"/>
  <c r="T52" i="5"/>
  <c r="S52" i="5"/>
  <c r="P52" i="5"/>
  <c r="T51" i="5"/>
  <c r="S51" i="5"/>
  <c r="P51" i="5"/>
  <c r="T50" i="5"/>
  <c r="S50" i="5"/>
  <c r="P50" i="5"/>
  <c r="T49" i="5"/>
  <c r="S49" i="5"/>
  <c r="P49" i="5"/>
  <c r="T48" i="5"/>
  <c r="S48" i="5"/>
  <c r="P48" i="5"/>
  <c r="T47" i="5"/>
  <c r="S47" i="5"/>
  <c r="P47" i="5"/>
  <c r="T46" i="5"/>
  <c r="S46" i="5"/>
  <c r="P46" i="5"/>
  <c r="T45" i="5"/>
  <c r="S45" i="5"/>
  <c r="P45" i="5"/>
  <c r="T44" i="5"/>
  <c r="S44" i="5"/>
  <c r="P44" i="5"/>
  <c r="T43" i="5"/>
  <c r="S43" i="5"/>
  <c r="P43" i="5"/>
  <c r="T42" i="5"/>
  <c r="S42" i="5"/>
  <c r="P42" i="5"/>
  <c r="T41" i="5"/>
  <c r="S41" i="5"/>
  <c r="P41" i="5"/>
  <c r="T40" i="5"/>
  <c r="S40" i="5"/>
  <c r="P40" i="5"/>
  <c r="T39" i="5"/>
  <c r="S39" i="5"/>
  <c r="P39" i="5"/>
  <c r="T38" i="5"/>
  <c r="S38" i="5"/>
  <c r="P38" i="5"/>
  <c r="T37" i="5"/>
  <c r="S37" i="5"/>
  <c r="P37" i="5"/>
  <c r="T36" i="5"/>
  <c r="S36" i="5"/>
  <c r="P36" i="5"/>
  <c r="T35" i="5"/>
  <c r="S35" i="5"/>
  <c r="P35" i="5"/>
  <c r="T34" i="5"/>
  <c r="S34" i="5"/>
  <c r="P34" i="5"/>
  <c r="T33" i="5"/>
  <c r="S33" i="5"/>
  <c r="P33" i="5"/>
  <c r="T32" i="5"/>
  <c r="S32" i="5"/>
  <c r="P32" i="5"/>
  <c r="T31" i="5"/>
  <c r="S31" i="5"/>
  <c r="P31" i="5"/>
  <c r="T30" i="5"/>
  <c r="S30" i="5"/>
  <c r="P30" i="5"/>
  <c r="T29" i="5"/>
  <c r="S29" i="5"/>
  <c r="P29" i="5"/>
  <c r="T28" i="5"/>
  <c r="S28" i="5"/>
  <c r="P28" i="5"/>
  <c r="T27" i="5"/>
  <c r="S27" i="5"/>
  <c r="P27" i="5"/>
  <c r="T26" i="5"/>
  <c r="S26" i="5"/>
  <c r="P26" i="5"/>
  <c r="T25" i="5"/>
  <c r="S25" i="5"/>
  <c r="P25" i="5"/>
  <c r="T24" i="5"/>
  <c r="S24" i="5"/>
  <c r="P24" i="5"/>
  <c r="T23" i="5"/>
  <c r="S23" i="5"/>
  <c r="P23" i="5"/>
  <c r="T22" i="5"/>
  <c r="S22" i="5"/>
  <c r="P22" i="5"/>
  <c r="T21" i="5"/>
  <c r="S21" i="5"/>
  <c r="P21" i="5"/>
  <c r="T20" i="5"/>
  <c r="S20" i="5"/>
  <c r="P20" i="5"/>
  <c r="T19" i="5"/>
  <c r="S19" i="5"/>
  <c r="P19" i="5"/>
  <c r="T18" i="5"/>
  <c r="S18" i="5"/>
  <c r="P18" i="5"/>
  <c r="T17" i="5"/>
  <c r="S17" i="5"/>
  <c r="P17" i="5"/>
  <c r="T16" i="5"/>
  <c r="S16" i="5"/>
  <c r="P16" i="5"/>
  <c r="T15" i="5"/>
  <c r="S15" i="5"/>
  <c r="P15" i="5"/>
  <c r="T14" i="5"/>
  <c r="S14" i="5"/>
  <c r="P14" i="5"/>
  <c r="T13" i="5"/>
  <c r="S13" i="5"/>
  <c r="P13" i="5"/>
  <c r="T12" i="5"/>
  <c r="S12" i="5"/>
  <c r="P12" i="5"/>
  <c r="T11" i="5"/>
  <c r="S11" i="5"/>
  <c r="P11" i="5"/>
  <c r="T10" i="5"/>
  <c r="S10" i="5"/>
  <c r="Q10" i="5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P10" i="5"/>
  <c r="O10" i="5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T9" i="5"/>
  <c r="S9" i="5"/>
  <c r="P9" i="5"/>
  <c r="U8" i="5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T8" i="5"/>
  <c r="S8" i="5"/>
  <c r="P8" i="5"/>
  <c r="O8" i="5"/>
  <c r="O9" i="5" s="1"/>
  <c r="T7" i="5"/>
  <c r="S7" i="5"/>
  <c r="R7" i="5"/>
  <c r="R8" i="5" s="1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P7" i="5"/>
  <c r="U6" i="5"/>
  <c r="U7" i="5" s="1"/>
  <c r="T6" i="5"/>
  <c r="S6" i="5"/>
  <c r="P6" i="5"/>
  <c r="O6" i="5"/>
  <c r="O7" i="5" s="1"/>
  <c r="T5" i="5"/>
  <c r="S5" i="5"/>
  <c r="P5" i="5"/>
  <c r="O5" i="5"/>
  <c r="U4" i="5"/>
  <c r="U5" i="5" s="1"/>
  <c r="T4" i="5"/>
  <c r="S4" i="5"/>
  <c r="Q4" i="5"/>
  <c r="Q5" i="5" s="1"/>
  <c r="Q6" i="5" s="1"/>
  <c r="Q7" i="5" s="1"/>
  <c r="Q8" i="5" s="1"/>
  <c r="Q9" i="5" s="1"/>
  <c r="P4" i="5"/>
  <c r="O4" i="5"/>
  <c r="M4" i="5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U3" i="5"/>
  <c r="T3" i="5"/>
  <c r="S3" i="5"/>
  <c r="R3" i="5"/>
  <c r="R4" i="5" s="1"/>
  <c r="R5" i="5" s="1"/>
  <c r="R6" i="5" s="1"/>
  <c r="Q3" i="5"/>
  <c r="P3" i="5"/>
  <c r="O3" i="5"/>
  <c r="N3" i="5"/>
  <c r="N4" i="5" s="1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M3" i="5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P4" i="3"/>
  <c r="O5" i="3" s="1"/>
  <c r="P5" i="3" s="1"/>
  <c r="O6" i="3" s="1"/>
  <c r="P6" i="3" s="1"/>
  <c r="O7" i="3" s="1"/>
  <c r="P7" i="3" s="1"/>
  <c r="O8" i="3" s="1"/>
  <c r="P8" i="3" s="1"/>
  <c r="O9" i="3" s="1"/>
  <c r="P9" i="3" s="1"/>
  <c r="O10" i="3" s="1"/>
  <c r="P10" i="3" s="1"/>
  <c r="O11" i="3" s="1"/>
  <c r="P11" i="3" s="1"/>
  <c r="O12" i="3" s="1"/>
  <c r="P12" i="3" s="1"/>
  <c r="O13" i="3" s="1"/>
  <c r="P13" i="3" s="1"/>
  <c r="O14" i="3" s="1"/>
  <c r="P14" i="3" s="1"/>
  <c r="O15" i="3" s="1"/>
  <c r="P15" i="3" s="1"/>
  <c r="O16" i="3" s="1"/>
  <c r="P16" i="3" s="1"/>
  <c r="O17" i="3" s="1"/>
  <c r="P17" i="3" s="1"/>
  <c r="O18" i="3" s="1"/>
  <c r="P18" i="3" s="1"/>
  <c r="O19" i="3" s="1"/>
  <c r="P19" i="3" s="1"/>
  <c r="O20" i="3" s="1"/>
  <c r="P20" i="3" s="1"/>
  <c r="O21" i="3" s="1"/>
  <c r="P21" i="3" s="1"/>
  <c r="O22" i="3" s="1"/>
  <c r="P22" i="3" s="1"/>
  <c r="O23" i="3" s="1"/>
  <c r="P23" i="3" s="1"/>
  <c r="O24" i="3" s="1"/>
  <c r="P24" i="3" s="1"/>
  <c r="O25" i="3" s="1"/>
  <c r="P25" i="3" s="1"/>
  <c r="O26" i="3" s="1"/>
  <c r="P26" i="3" s="1"/>
  <c r="O27" i="3" s="1"/>
  <c r="P27" i="3" s="1"/>
  <c r="O28" i="3" s="1"/>
  <c r="P28" i="3" s="1"/>
  <c r="O29" i="3" s="1"/>
  <c r="P29" i="3" s="1"/>
  <c r="O30" i="3" s="1"/>
  <c r="P30" i="3" s="1"/>
  <c r="O31" i="3" s="1"/>
  <c r="P31" i="3" s="1"/>
  <c r="O32" i="3" s="1"/>
  <c r="P32" i="3" s="1"/>
  <c r="O33" i="3" s="1"/>
  <c r="P33" i="3" s="1"/>
  <c r="O34" i="3" s="1"/>
  <c r="P34" i="3" s="1"/>
  <c r="O35" i="3" s="1"/>
  <c r="P35" i="3" s="1"/>
  <c r="O36" i="3" s="1"/>
  <c r="P36" i="3" s="1"/>
  <c r="O37" i="3" s="1"/>
  <c r="P37" i="3" s="1"/>
  <c r="O38" i="3" s="1"/>
  <c r="P38" i="3" s="1"/>
  <c r="O39" i="3" s="1"/>
  <c r="P39" i="3" s="1"/>
  <c r="O40" i="3" s="1"/>
  <c r="P40" i="3" s="1"/>
  <c r="O41" i="3" s="1"/>
  <c r="P41" i="3" s="1"/>
  <c r="O42" i="3" s="1"/>
  <c r="P42" i="3" s="1"/>
  <c r="O43" i="3" s="1"/>
  <c r="P43" i="3" s="1"/>
  <c r="O44" i="3" s="1"/>
  <c r="P44" i="3" s="1"/>
  <c r="O45" i="3" s="1"/>
  <c r="P45" i="3" s="1"/>
  <c r="O46" i="3" s="1"/>
  <c r="P46" i="3" s="1"/>
  <c r="O47" i="3" s="1"/>
  <c r="P47" i="3" s="1"/>
  <c r="O48" i="3" s="1"/>
  <c r="P48" i="3" s="1"/>
  <c r="O49" i="3" s="1"/>
  <c r="P49" i="3" s="1"/>
  <c r="O50" i="3" s="1"/>
  <c r="P50" i="3" s="1"/>
  <c r="O51" i="3" s="1"/>
  <c r="P51" i="3" s="1"/>
  <c r="O52" i="3" s="1"/>
  <c r="P52" i="3" s="1"/>
  <c r="O53" i="3" s="1"/>
  <c r="P53" i="3" s="1"/>
  <c r="O54" i="3" s="1"/>
  <c r="P54" i="3" s="1"/>
  <c r="O55" i="3" s="1"/>
  <c r="P55" i="3" s="1"/>
  <c r="O56" i="3" s="1"/>
  <c r="P56" i="3" s="1"/>
  <c r="O57" i="3" s="1"/>
  <c r="P57" i="3" s="1"/>
  <c r="O58" i="3" s="1"/>
  <c r="P58" i="3" s="1"/>
  <c r="O59" i="3" s="1"/>
  <c r="P59" i="3" s="1"/>
  <c r="O60" i="3" s="1"/>
  <c r="P60" i="3" s="1"/>
  <c r="O61" i="3" s="1"/>
  <c r="P61" i="3" s="1"/>
  <c r="O62" i="3" s="1"/>
  <c r="P62" i="3" s="1"/>
  <c r="P3" i="3"/>
  <c r="O4" i="3" s="1"/>
  <c r="N3" i="3"/>
  <c r="B33" i="1"/>
  <c r="B30" i="1"/>
  <c r="B27" i="1"/>
  <c r="B20" i="1"/>
  <c r="B14" i="1"/>
  <c r="B13" i="1"/>
  <c r="B31" i="1" s="1"/>
  <c r="J4" i="2"/>
  <c r="K4" i="2" s="1"/>
  <c r="A4" i="2"/>
  <c r="C4" i="2" s="1"/>
  <c r="K3" i="2"/>
  <c r="I3" i="2"/>
  <c r="G3" i="2"/>
  <c r="H3" i="2" s="1"/>
  <c r="E3" i="2"/>
  <c r="C3" i="2"/>
  <c r="B3" i="2"/>
  <c r="A5" i="2" l="1"/>
  <c r="D4" i="2"/>
  <c r="F4" i="2" s="1"/>
  <c r="B4" i="2"/>
  <c r="E4" i="2"/>
  <c r="G4" i="2" s="1"/>
  <c r="W3" i="5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M4" i="3"/>
  <c r="N4" i="3" s="1"/>
  <c r="V3" i="5"/>
  <c r="V4" i="5" l="1"/>
  <c r="M5" i="3"/>
  <c r="N5" i="3" s="1"/>
  <c r="D5" i="2"/>
  <c r="F5" i="2" s="1"/>
  <c r="C5" i="2"/>
  <c r="A6" i="2"/>
  <c r="E5" i="2"/>
  <c r="G5" i="2" s="1"/>
  <c r="B5" i="2"/>
  <c r="J5" i="2"/>
  <c r="K5" i="2" s="1"/>
  <c r="H4" i="2"/>
  <c r="I4" i="2"/>
  <c r="H5" i="2" l="1"/>
  <c r="J6" i="2"/>
  <c r="K6" i="2" s="1"/>
  <c r="E6" i="2"/>
  <c r="G6" i="2" s="1"/>
  <c r="B6" i="2"/>
  <c r="A7" i="2"/>
  <c r="C6" i="2"/>
  <c r="I5" i="2"/>
  <c r="M6" i="3"/>
  <c r="N6" i="3" s="1"/>
  <c r="V5" i="5"/>
  <c r="D6" i="2"/>
  <c r="F6" i="2" s="1"/>
  <c r="H6" i="2" l="1"/>
  <c r="J7" i="2"/>
  <c r="K7" i="2" s="1"/>
  <c r="E7" i="2"/>
  <c r="G7" i="2" s="1"/>
  <c r="C7" i="2"/>
  <c r="B7" i="2"/>
  <c r="A8" i="2"/>
  <c r="V6" i="5"/>
  <c r="M7" i="3"/>
  <c r="N7" i="3" s="1"/>
  <c r="D7" i="2"/>
  <c r="F7" i="2" s="1"/>
  <c r="I6" i="2"/>
  <c r="J8" i="2" l="1"/>
  <c r="K8" i="2" s="1"/>
  <c r="H7" i="2"/>
  <c r="I7" i="2"/>
  <c r="B8" i="2"/>
  <c r="C8" i="2"/>
  <c r="A9" i="2"/>
  <c r="E8" i="2"/>
  <c r="G8" i="2" s="1"/>
  <c r="V7" i="5"/>
  <c r="M8" i="3"/>
  <c r="N8" i="3" s="1"/>
  <c r="D8" i="2"/>
  <c r="F8" i="2" s="1"/>
  <c r="H8" i="2" l="1"/>
  <c r="J9" i="2"/>
  <c r="K9" i="2" s="1"/>
  <c r="E9" i="2"/>
  <c r="G9" i="2" s="1"/>
  <c r="A10" i="2"/>
  <c r="C9" i="2"/>
  <c r="B9" i="2"/>
  <c r="I8" i="2"/>
  <c r="V8" i="5"/>
  <c r="M9" i="3"/>
  <c r="N9" i="3" s="1"/>
  <c r="D9" i="2"/>
  <c r="F9" i="2" s="1"/>
  <c r="J10" i="2" l="1"/>
  <c r="K10" i="2" s="1"/>
  <c r="H9" i="2"/>
  <c r="V9" i="5"/>
  <c r="M10" i="3"/>
  <c r="N10" i="3" s="1"/>
  <c r="D10" i="2"/>
  <c r="F10" i="2" s="1"/>
  <c r="A11" i="2"/>
  <c r="B10" i="2"/>
  <c r="E10" i="2"/>
  <c r="G10" i="2" s="1"/>
  <c r="C10" i="2"/>
  <c r="I9" i="2"/>
  <c r="I10" i="2" s="1"/>
  <c r="J11" i="2" l="1"/>
  <c r="K11" i="2" s="1"/>
  <c r="H10" i="2"/>
  <c r="E11" i="2"/>
  <c r="G11" i="2" s="1"/>
  <c r="B11" i="2"/>
  <c r="A12" i="2"/>
  <c r="C11" i="2"/>
  <c r="V10" i="5"/>
  <c r="M11" i="3"/>
  <c r="N11" i="3" s="1"/>
  <c r="D11" i="2"/>
  <c r="F11" i="2" s="1"/>
  <c r="J12" i="2" l="1"/>
  <c r="K12" i="2" s="1"/>
  <c r="H11" i="2"/>
  <c r="A13" i="2"/>
  <c r="C12" i="2"/>
  <c r="B12" i="2"/>
  <c r="E12" i="2"/>
  <c r="G12" i="2" s="1"/>
  <c r="I11" i="2"/>
  <c r="M12" i="3"/>
  <c r="N12" i="3" s="1"/>
  <c r="D12" i="2"/>
  <c r="F12" i="2" s="1"/>
  <c r="V11" i="5"/>
  <c r="J13" i="2" l="1"/>
  <c r="K13" i="2" s="1"/>
  <c r="H12" i="2"/>
  <c r="I12" i="2"/>
  <c r="C13" i="2"/>
  <c r="E13" i="2"/>
  <c r="G13" i="2" s="1"/>
  <c r="A14" i="2"/>
  <c r="B13" i="2"/>
  <c r="V12" i="5"/>
  <c r="M13" i="3"/>
  <c r="N13" i="3" s="1"/>
  <c r="D13" i="2"/>
  <c r="F13" i="2" s="1"/>
  <c r="H13" i="2" l="1"/>
  <c r="J14" i="2"/>
  <c r="K14" i="2" s="1"/>
  <c r="E14" i="2"/>
  <c r="G14" i="2" s="1"/>
  <c r="C14" i="2"/>
  <c r="B14" i="2"/>
  <c r="A15" i="2"/>
  <c r="I13" i="2"/>
  <c r="M14" i="3"/>
  <c r="N14" i="3" s="1"/>
  <c r="V13" i="5"/>
  <c r="D14" i="2"/>
  <c r="F14" i="2" s="1"/>
  <c r="H14" i="2" l="1"/>
  <c r="J15" i="2"/>
  <c r="K15" i="2" s="1"/>
  <c r="E15" i="2"/>
  <c r="G15" i="2" s="1"/>
  <c r="C15" i="2"/>
  <c r="B15" i="2"/>
  <c r="A16" i="2"/>
  <c r="V14" i="5"/>
  <c r="M15" i="3"/>
  <c r="N15" i="3" s="1"/>
  <c r="D15" i="2"/>
  <c r="F15" i="2" s="1"/>
  <c r="I14" i="2"/>
  <c r="J16" i="2" l="1"/>
  <c r="K16" i="2" s="1"/>
  <c r="H15" i="2"/>
  <c r="I15" i="2"/>
  <c r="B16" i="2"/>
  <c r="E16" i="2"/>
  <c r="G16" i="2" s="1"/>
  <c r="C16" i="2"/>
  <c r="A17" i="2"/>
  <c r="V15" i="5"/>
  <c r="D16" i="2"/>
  <c r="F16" i="2" s="1"/>
  <c r="M16" i="3"/>
  <c r="N16" i="3" s="1"/>
  <c r="H16" i="2" l="1"/>
  <c r="J17" i="2"/>
  <c r="K17" i="2" s="1"/>
  <c r="I16" i="2"/>
  <c r="I17" i="2" s="1"/>
  <c r="V16" i="5"/>
  <c r="D17" i="2"/>
  <c r="F17" i="2" s="1"/>
  <c r="M17" i="3"/>
  <c r="N17" i="3" s="1"/>
  <c r="E17" i="2"/>
  <c r="G17" i="2" s="1"/>
  <c r="B17" i="2"/>
  <c r="C17" i="2"/>
  <c r="A18" i="2"/>
  <c r="G18" i="2" l="1"/>
  <c r="H17" i="2"/>
  <c r="J18" i="2"/>
  <c r="K18" i="2" s="1"/>
  <c r="V17" i="5"/>
  <c r="M18" i="3"/>
  <c r="N18" i="3" s="1"/>
  <c r="D18" i="2"/>
  <c r="F18" i="2" s="1"/>
  <c r="C18" i="2"/>
  <c r="A19" i="2"/>
  <c r="B18" i="2"/>
  <c r="E18" i="2"/>
  <c r="I18" i="2"/>
  <c r="H18" i="2" l="1"/>
  <c r="J19" i="2"/>
  <c r="K19" i="2" s="1"/>
  <c r="C19" i="2"/>
  <c r="E19" i="2"/>
  <c r="I19" i="2" s="1"/>
  <c r="B19" i="2"/>
  <c r="A20" i="2"/>
  <c r="V18" i="5"/>
  <c r="M19" i="3"/>
  <c r="N19" i="3" s="1"/>
  <c r="D19" i="2"/>
  <c r="F19" i="2" s="1"/>
  <c r="I20" i="2" l="1"/>
  <c r="V19" i="5"/>
  <c r="M20" i="3"/>
  <c r="N20" i="3" s="1"/>
  <c r="D20" i="2"/>
  <c r="F20" i="2" s="1"/>
  <c r="G19" i="2"/>
  <c r="B20" i="2"/>
  <c r="C20" i="2"/>
  <c r="E20" i="2"/>
  <c r="A21" i="2"/>
  <c r="J20" i="2" l="1"/>
  <c r="K20" i="2" s="1"/>
  <c r="H19" i="2"/>
  <c r="V20" i="5"/>
  <c r="M21" i="3"/>
  <c r="N21" i="3" s="1"/>
  <c r="D21" i="2"/>
  <c r="F21" i="2" s="1"/>
  <c r="E21" i="2"/>
  <c r="I21" i="2" s="1"/>
  <c r="C21" i="2"/>
  <c r="B21" i="2"/>
  <c r="A22" i="2"/>
  <c r="M22" i="3" l="1"/>
  <c r="N22" i="3" s="1"/>
  <c r="V21" i="5"/>
  <c r="D22" i="2"/>
  <c r="F22" i="2" s="1"/>
  <c r="B22" i="2"/>
  <c r="A23" i="2"/>
  <c r="E22" i="2"/>
  <c r="I22" i="2" s="1"/>
  <c r="C22" i="2"/>
  <c r="G20" i="2"/>
  <c r="A24" i="2" l="1"/>
  <c r="E23" i="2"/>
  <c r="I23" i="2" s="1"/>
  <c r="B23" i="2"/>
  <c r="C23" i="2"/>
  <c r="V22" i="5"/>
  <c r="D23" i="2"/>
  <c r="F23" i="2" s="1"/>
  <c r="M23" i="3"/>
  <c r="N23" i="3" s="1"/>
  <c r="H20" i="2"/>
  <c r="J21" i="2"/>
  <c r="K21" i="2" s="1"/>
  <c r="G21" i="2" l="1"/>
  <c r="A25" i="2"/>
  <c r="E24" i="2"/>
  <c r="I24" i="2" s="1"/>
  <c r="C24" i="2"/>
  <c r="B24" i="2"/>
  <c r="V23" i="5"/>
  <c r="D24" i="2"/>
  <c r="F24" i="2" s="1"/>
  <c r="M24" i="3"/>
  <c r="N24" i="3" s="1"/>
  <c r="V24" i="5" l="1"/>
  <c r="M25" i="3"/>
  <c r="N25" i="3" s="1"/>
  <c r="D25" i="2"/>
  <c r="F25" i="2" s="1"/>
  <c r="C25" i="2"/>
  <c r="A26" i="2"/>
  <c r="B25" i="2"/>
  <c r="E25" i="2"/>
  <c r="I25" i="2" s="1"/>
  <c r="J22" i="2"/>
  <c r="K22" i="2" s="1"/>
  <c r="H21" i="2"/>
  <c r="C26" i="2" l="1"/>
  <c r="B26" i="2"/>
  <c r="A27" i="2"/>
  <c r="E26" i="2"/>
  <c r="I26" i="2" s="1"/>
  <c r="V25" i="5"/>
  <c r="M26" i="3"/>
  <c r="N26" i="3" s="1"/>
  <c r="D26" i="2"/>
  <c r="F26" i="2" s="1"/>
  <c r="G22" i="2"/>
  <c r="V26" i="5" l="1"/>
  <c r="M27" i="3"/>
  <c r="N27" i="3" s="1"/>
  <c r="D27" i="2"/>
  <c r="F27" i="2" s="1"/>
  <c r="C27" i="2"/>
  <c r="E27" i="2"/>
  <c r="I27" i="2" s="1"/>
  <c r="B27" i="2"/>
  <c r="A28" i="2"/>
  <c r="J23" i="2"/>
  <c r="K23" i="2" s="1"/>
  <c r="H22" i="2"/>
  <c r="V27" i="5" l="1"/>
  <c r="D28" i="2"/>
  <c r="F28" i="2" s="1"/>
  <c r="M28" i="3"/>
  <c r="N28" i="3" s="1"/>
  <c r="G23" i="2"/>
  <c r="E28" i="2"/>
  <c r="I28" i="2" s="1"/>
  <c r="B28" i="2"/>
  <c r="C28" i="2"/>
  <c r="A29" i="2"/>
  <c r="J24" i="2" l="1"/>
  <c r="K24" i="2" s="1"/>
  <c r="H23" i="2"/>
  <c r="V28" i="5"/>
  <c r="M29" i="3"/>
  <c r="N29" i="3" s="1"/>
  <c r="D29" i="2"/>
  <c r="F29" i="2" s="1"/>
  <c r="E29" i="2"/>
  <c r="I29" i="2" s="1"/>
  <c r="B29" i="2"/>
  <c r="C29" i="2"/>
  <c r="A30" i="2"/>
  <c r="V29" i="5" l="1"/>
  <c r="M30" i="3"/>
  <c r="N30" i="3" s="1"/>
  <c r="D30" i="2"/>
  <c r="F30" i="2" s="1"/>
  <c r="G24" i="2"/>
  <c r="B30" i="2"/>
  <c r="A31" i="2"/>
  <c r="E30" i="2"/>
  <c r="I30" i="2" s="1"/>
  <c r="C30" i="2"/>
  <c r="A32" i="2" l="1"/>
  <c r="E31" i="2"/>
  <c r="I31" i="2" s="1"/>
  <c r="C31" i="2"/>
  <c r="B31" i="2"/>
  <c r="J25" i="2"/>
  <c r="K25" i="2" s="1"/>
  <c r="H24" i="2"/>
  <c r="V30" i="5"/>
  <c r="M31" i="3"/>
  <c r="N31" i="3" s="1"/>
  <c r="D31" i="2"/>
  <c r="F31" i="2" s="1"/>
  <c r="V31" i="5" l="1"/>
  <c r="D32" i="2"/>
  <c r="M32" i="3"/>
  <c r="N32" i="3" s="1"/>
  <c r="A33" i="2"/>
  <c r="E32" i="2"/>
  <c r="F32" i="2" s="1"/>
  <c r="B32" i="2"/>
  <c r="C32" i="2"/>
  <c r="G25" i="2"/>
  <c r="C33" i="2" l="1"/>
  <c r="B33" i="2"/>
  <c r="A34" i="2"/>
  <c r="E33" i="2"/>
  <c r="V32" i="5"/>
  <c r="M33" i="3"/>
  <c r="N33" i="3" s="1"/>
  <c r="D33" i="2"/>
  <c r="F33" i="2" s="1"/>
  <c r="J26" i="2"/>
  <c r="K26" i="2" s="1"/>
  <c r="H25" i="2"/>
  <c r="I32" i="2"/>
  <c r="V33" i="5" l="1"/>
  <c r="M34" i="3"/>
  <c r="N34" i="3" s="1"/>
  <c r="D34" i="2"/>
  <c r="I33" i="2"/>
  <c r="C34" i="2"/>
  <c r="B34" i="2"/>
  <c r="A35" i="2"/>
  <c r="E34" i="2"/>
  <c r="F34" i="2" s="1"/>
  <c r="G26" i="2"/>
  <c r="I34" i="2" l="1"/>
  <c r="V34" i="5"/>
  <c r="M35" i="3"/>
  <c r="N35" i="3" s="1"/>
  <c r="D35" i="2"/>
  <c r="F35" i="2" s="1"/>
  <c r="C35" i="2"/>
  <c r="E35" i="2"/>
  <c r="B35" i="2"/>
  <c r="A36" i="2"/>
  <c r="H26" i="2"/>
  <c r="J27" i="2"/>
  <c r="K27" i="2" s="1"/>
  <c r="V35" i="5" l="1"/>
  <c r="D36" i="2"/>
  <c r="M36" i="3"/>
  <c r="N36" i="3" s="1"/>
  <c r="G27" i="2"/>
  <c r="I35" i="2"/>
  <c r="E36" i="2"/>
  <c r="F36" i="2" s="1"/>
  <c r="B36" i="2"/>
  <c r="C36" i="2"/>
  <c r="A37" i="2"/>
  <c r="I36" i="2" l="1"/>
  <c r="H27" i="2"/>
  <c r="J28" i="2"/>
  <c r="K28" i="2" s="1"/>
  <c r="V36" i="5"/>
  <c r="M37" i="3"/>
  <c r="N37" i="3" s="1"/>
  <c r="D37" i="2"/>
  <c r="F37" i="2" s="1"/>
  <c r="E37" i="2"/>
  <c r="B37" i="2"/>
  <c r="A38" i="2"/>
  <c r="C37" i="2"/>
  <c r="V37" i="5" l="1"/>
  <c r="M38" i="3"/>
  <c r="N38" i="3" s="1"/>
  <c r="D38" i="2"/>
  <c r="F38" i="2" s="1"/>
  <c r="G28" i="2"/>
  <c r="B38" i="2"/>
  <c r="A39" i="2"/>
  <c r="E38" i="2"/>
  <c r="C38" i="2"/>
  <c r="I37" i="2"/>
  <c r="V38" i="5" l="1"/>
  <c r="M39" i="3"/>
  <c r="N39" i="3" s="1"/>
  <c r="D39" i="2"/>
  <c r="F39" i="2" s="1"/>
  <c r="H28" i="2"/>
  <c r="J29" i="2"/>
  <c r="K29" i="2" s="1"/>
  <c r="I38" i="2"/>
  <c r="I39" i="2" s="1"/>
  <c r="A40" i="2"/>
  <c r="E39" i="2"/>
  <c r="C39" i="2"/>
  <c r="B39" i="2"/>
  <c r="G29" i="2" l="1"/>
  <c r="I40" i="2"/>
  <c r="V39" i="5"/>
  <c r="D40" i="2"/>
  <c r="F40" i="2" s="1"/>
  <c r="M40" i="3"/>
  <c r="N40" i="3" s="1"/>
  <c r="A41" i="2"/>
  <c r="B40" i="2"/>
  <c r="E40" i="2"/>
  <c r="C40" i="2"/>
  <c r="V40" i="5" l="1"/>
  <c r="M41" i="3"/>
  <c r="N41" i="3" s="1"/>
  <c r="D41" i="2"/>
  <c r="F41" i="2" s="1"/>
  <c r="J30" i="2"/>
  <c r="K30" i="2" s="1"/>
  <c r="H29" i="2"/>
  <c r="C41" i="2"/>
  <c r="B41" i="2"/>
  <c r="A42" i="2"/>
  <c r="E41" i="2"/>
  <c r="I41" i="2" s="1"/>
  <c r="G30" i="2" l="1"/>
  <c r="C42" i="2"/>
  <c r="E42" i="2"/>
  <c r="I42" i="2" s="1"/>
  <c r="B42" i="2"/>
  <c r="A43" i="2"/>
  <c r="V41" i="5"/>
  <c r="M42" i="3"/>
  <c r="N42" i="3" s="1"/>
  <c r="D42" i="2"/>
  <c r="F42" i="2" s="1"/>
  <c r="C43" i="2" l="1"/>
  <c r="E43" i="2"/>
  <c r="I43" i="2" s="1"/>
  <c r="B43" i="2"/>
  <c r="A44" i="2"/>
  <c r="G31" i="2"/>
  <c r="H30" i="2"/>
  <c r="J31" i="2"/>
  <c r="K31" i="2" s="1"/>
  <c r="V42" i="5"/>
  <c r="M43" i="3"/>
  <c r="N43" i="3" s="1"/>
  <c r="D43" i="2"/>
  <c r="F43" i="2" s="1"/>
  <c r="E44" i="2" l="1"/>
  <c r="I44" i="2" s="1"/>
  <c r="B44" i="2"/>
  <c r="A45" i="2"/>
  <c r="C44" i="2"/>
  <c r="V43" i="5"/>
  <c r="D44" i="2"/>
  <c r="F44" i="2" s="1"/>
  <c r="M44" i="3"/>
  <c r="N44" i="3" s="1"/>
  <c r="J32" i="2"/>
  <c r="K32" i="2" s="1"/>
  <c r="H31" i="2"/>
  <c r="G32" i="2"/>
  <c r="J33" i="2" l="1"/>
  <c r="K33" i="2" s="1"/>
  <c r="H32" i="2"/>
  <c r="E45" i="2"/>
  <c r="I45" i="2" s="1"/>
  <c r="B45" i="2"/>
  <c r="C45" i="2"/>
  <c r="A46" i="2"/>
  <c r="V44" i="5"/>
  <c r="M45" i="3"/>
  <c r="N45" i="3" s="1"/>
  <c r="D45" i="2"/>
  <c r="F45" i="2" s="1"/>
  <c r="G33" i="2" l="1"/>
  <c r="V45" i="5"/>
  <c r="M46" i="3"/>
  <c r="N46" i="3" s="1"/>
  <c r="D46" i="2"/>
  <c r="F46" i="2" s="1"/>
  <c r="B46" i="2"/>
  <c r="A47" i="2"/>
  <c r="C46" i="2"/>
  <c r="E46" i="2"/>
  <c r="I46" i="2" s="1"/>
  <c r="A48" i="2" l="1"/>
  <c r="B47" i="2"/>
  <c r="C47" i="2"/>
  <c r="E47" i="2"/>
  <c r="I47" i="2" s="1"/>
  <c r="V46" i="5"/>
  <c r="M47" i="3"/>
  <c r="N47" i="3" s="1"/>
  <c r="D47" i="2"/>
  <c r="H33" i="2"/>
  <c r="J34" i="2"/>
  <c r="K34" i="2" s="1"/>
  <c r="V47" i="5" l="1"/>
  <c r="D48" i="2"/>
  <c r="M48" i="3"/>
  <c r="N48" i="3" s="1"/>
  <c r="G34" i="2"/>
  <c r="A49" i="2"/>
  <c r="C48" i="2"/>
  <c r="B48" i="2"/>
  <c r="E48" i="2"/>
  <c r="I48" i="2" s="1"/>
  <c r="F47" i="2"/>
  <c r="V48" i="5" l="1"/>
  <c r="M49" i="3"/>
  <c r="N49" i="3" s="1"/>
  <c r="D49" i="2"/>
  <c r="H34" i="2"/>
  <c r="J35" i="2"/>
  <c r="K35" i="2" s="1"/>
  <c r="C49" i="2"/>
  <c r="E49" i="2"/>
  <c r="I49" i="2" s="1"/>
  <c r="B49" i="2"/>
  <c r="A50" i="2"/>
  <c r="F48" i="2"/>
  <c r="F49" i="2" s="1"/>
  <c r="G35" i="2" l="1"/>
  <c r="V49" i="5"/>
  <c r="M50" i="3"/>
  <c r="N50" i="3" s="1"/>
  <c r="D50" i="2"/>
  <c r="F50" i="2" s="1"/>
  <c r="C50" i="2"/>
  <c r="E50" i="2"/>
  <c r="I50" i="2" s="1"/>
  <c r="B50" i="2"/>
  <c r="A51" i="2"/>
  <c r="V50" i="5" l="1"/>
  <c r="M51" i="3"/>
  <c r="N51" i="3" s="1"/>
  <c r="D51" i="2"/>
  <c r="F51" i="2" s="1"/>
  <c r="C51" i="2"/>
  <c r="E51" i="2"/>
  <c r="I51" i="2" s="1"/>
  <c r="A52" i="2"/>
  <c r="B51" i="2"/>
  <c r="H35" i="2"/>
  <c r="J36" i="2"/>
  <c r="K36" i="2" s="1"/>
  <c r="E52" i="2" l="1"/>
  <c r="I52" i="2" s="1"/>
  <c r="B52" i="2"/>
  <c r="C52" i="2"/>
  <c r="A53" i="2"/>
  <c r="G36" i="2"/>
  <c r="V51" i="5"/>
  <c r="M52" i="3"/>
  <c r="N52" i="3" s="1"/>
  <c r="D52" i="2"/>
  <c r="F52" i="2" s="1"/>
  <c r="H36" i="2" l="1"/>
  <c r="J37" i="2"/>
  <c r="K37" i="2" s="1"/>
  <c r="E53" i="2"/>
  <c r="I53" i="2" s="1"/>
  <c r="B53" i="2"/>
  <c r="A54" i="2"/>
  <c r="C53" i="2"/>
  <c r="V52" i="5"/>
  <c r="M53" i="3"/>
  <c r="N53" i="3" s="1"/>
  <c r="D53" i="2"/>
  <c r="F53" i="2" s="1"/>
  <c r="B54" i="2" l="1"/>
  <c r="A55" i="2"/>
  <c r="E54" i="2"/>
  <c r="I54" i="2" s="1"/>
  <c r="C54" i="2"/>
  <c r="V53" i="5"/>
  <c r="M54" i="3"/>
  <c r="N54" i="3" s="1"/>
  <c r="D54" i="2"/>
  <c r="G37" i="2"/>
  <c r="V54" i="5" l="1"/>
  <c r="M55" i="3"/>
  <c r="N55" i="3" s="1"/>
  <c r="D55" i="2"/>
  <c r="A56" i="2"/>
  <c r="C55" i="2"/>
  <c r="B55" i="2"/>
  <c r="E55" i="2"/>
  <c r="I55" i="2" s="1"/>
  <c r="J38" i="2"/>
  <c r="K38" i="2" s="1"/>
  <c r="G38" i="2"/>
  <c r="H37" i="2"/>
  <c r="F54" i="2"/>
  <c r="V55" i="5" l="1"/>
  <c r="D56" i="2"/>
  <c r="M56" i="3"/>
  <c r="N56" i="3" s="1"/>
  <c r="A57" i="2"/>
  <c r="E56" i="2"/>
  <c r="I56" i="2" s="1"/>
  <c r="C56" i="2"/>
  <c r="B56" i="2"/>
  <c r="F55" i="2"/>
  <c r="J39" i="2"/>
  <c r="K39" i="2" s="1"/>
  <c r="H38" i="2"/>
  <c r="V56" i="5" l="1"/>
  <c r="M57" i="3"/>
  <c r="N57" i="3" s="1"/>
  <c r="D57" i="2"/>
  <c r="G39" i="2"/>
  <c r="A58" i="2"/>
  <c r="C57" i="2"/>
  <c r="E57" i="2"/>
  <c r="I57" i="2" s="1"/>
  <c r="B57" i="2"/>
  <c r="F56" i="2"/>
  <c r="H39" i="2" l="1"/>
  <c r="J40" i="2"/>
  <c r="K40" i="2" s="1"/>
  <c r="F57" i="2"/>
  <c r="C58" i="2"/>
  <c r="B58" i="2"/>
  <c r="A59" i="2"/>
  <c r="E58" i="2"/>
  <c r="I58" i="2" s="1"/>
  <c r="V57" i="5"/>
  <c r="M58" i="3"/>
  <c r="N58" i="3" s="1"/>
  <c r="D58" i="2"/>
  <c r="C59" i="2" l="1"/>
  <c r="E59" i="2"/>
  <c r="I59" i="2" s="1"/>
  <c r="B59" i="2"/>
  <c r="A60" i="2"/>
  <c r="F58" i="2"/>
  <c r="V58" i="5"/>
  <c r="M59" i="3"/>
  <c r="N59" i="3" s="1"/>
  <c r="D59" i="2"/>
  <c r="G40" i="2"/>
  <c r="E60" i="2" l="1"/>
  <c r="I60" i="2" s="1"/>
  <c r="C60" i="2"/>
  <c r="B60" i="2"/>
  <c r="A61" i="2"/>
  <c r="V59" i="5"/>
  <c r="D60" i="2"/>
  <c r="M60" i="3"/>
  <c r="N60" i="3" s="1"/>
  <c r="F59" i="2"/>
  <c r="H40" i="2"/>
  <c r="J41" i="2"/>
  <c r="K41" i="2" s="1"/>
  <c r="V60" i="5" l="1"/>
  <c r="M61" i="3"/>
  <c r="N61" i="3" s="1"/>
  <c r="D61" i="2"/>
  <c r="E61" i="2"/>
  <c r="I61" i="2" s="1"/>
  <c r="A62" i="2"/>
  <c r="B61" i="2"/>
  <c r="C61" i="2"/>
  <c r="G41" i="2"/>
  <c r="F60" i="2"/>
  <c r="V61" i="5" l="1"/>
  <c r="M62" i="3"/>
  <c r="N62" i="3" s="1"/>
  <c r="V62" i="5" s="1"/>
  <c r="D62" i="2"/>
  <c r="B62" i="2"/>
  <c r="E62" i="2"/>
  <c r="I62" i="2" s="1"/>
  <c r="C62" i="2"/>
  <c r="F61" i="2"/>
  <c r="F62" i="2" s="1"/>
  <c r="H41" i="2"/>
  <c r="J42" i="2"/>
  <c r="K42" i="2" s="1"/>
  <c r="G42" i="2" l="1"/>
  <c r="H42" i="2" l="1"/>
  <c r="J43" i="2"/>
  <c r="K43" i="2" s="1"/>
  <c r="G43" i="2" l="1"/>
  <c r="H43" i="2" l="1"/>
  <c r="J44" i="2"/>
  <c r="K44" i="2" s="1"/>
  <c r="G44" i="2"/>
  <c r="H44" i="2" l="1"/>
  <c r="J45" i="2"/>
  <c r="K45" i="2" s="1"/>
  <c r="G45" i="2"/>
  <c r="J46" i="2" l="1"/>
  <c r="K46" i="2" s="1"/>
  <c r="G46" i="2"/>
  <c r="H45" i="2"/>
  <c r="H46" i="2" l="1"/>
  <c r="J47" i="2"/>
  <c r="K47" i="2" s="1"/>
  <c r="G47" i="2" l="1"/>
  <c r="H47" i="2" l="1"/>
  <c r="J48" i="2"/>
  <c r="K48" i="2" s="1"/>
  <c r="G48" i="2" l="1"/>
  <c r="J49" i="2" l="1"/>
  <c r="K49" i="2" s="1"/>
  <c r="G49" i="2"/>
  <c r="H48" i="2"/>
  <c r="H49" i="2" l="1"/>
  <c r="J50" i="2"/>
  <c r="K50" i="2" s="1"/>
  <c r="G50" i="2" l="1"/>
  <c r="H50" i="2" l="1"/>
  <c r="J51" i="2"/>
  <c r="K51" i="2" s="1"/>
  <c r="G51" i="2" l="1"/>
  <c r="H51" i="2" l="1"/>
  <c r="J52" i="2"/>
  <c r="K52" i="2" s="1"/>
  <c r="G52" i="2"/>
  <c r="H52" i="2" l="1"/>
  <c r="J53" i="2"/>
  <c r="K53" i="2" s="1"/>
  <c r="G53" i="2"/>
  <c r="J54" i="2" l="1"/>
  <c r="K54" i="2" s="1"/>
  <c r="G54" i="2"/>
  <c r="H53" i="2"/>
  <c r="J55" i="2" l="1"/>
  <c r="K55" i="2" s="1"/>
  <c r="H54" i="2"/>
  <c r="G55" i="2" l="1"/>
  <c r="J56" i="2" l="1"/>
  <c r="K56" i="2" s="1"/>
  <c r="H55" i="2"/>
  <c r="G56" i="2" l="1"/>
  <c r="H56" i="2" l="1"/>
  <c r="J57" i="2"/>
  <c r="K57" i="2" s="1"/>
  <c r="G57" i="2"/>
  <c r="H57" i="2" l="1"/>
  <c r="J58" i="2"/>
  <c r="K58" i="2" s="1"/>
  <c r="G58" i="2" l="1"/>
  <c r="J59" i="2" l="1"/>
  <c r="K59" i="2" s="1"/>
  <c r="H58" i="2"/>
  <c r="G59" i="2"/>
  <c r="H59" i="2" l="1"/>
  <c r="J60" i="2"/>
  <c r="K60" i="2" s="1"/>
  <c r="G60" i="2" l="1"/>
  <c r="H60" i="2" l="1"/>
  <c r="J61" i="2"/>
  <c r="K61" i="2" s="1"/>
  <c r="G61" i="2"/>
  <c r="J62" i="2" l="1"/>
  <c r="K62" i="2" s="1"/>
  <c r="G62" i="2"/>
  <c r="H62" i="2" s="1"/>
  <c r="H6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5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Source: user instruction in this chat. Monthly gross revenue per car set to N$30,000.</t>
        </r>
      </text>
    </comment>
    <comment ref="B6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Source: user instruction in this chat. Trigger vehicle disposal once monthly gross profit reaches N$180,000 or more.</t>
        </r>
      </text>
    </comment>
    <comment ref="B11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Source: user instruction in this chat. Maintenance expense set to zero.</t>
        </r>
      </text>
    </comment>
    <comment ref="B12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Source: user instruction in this chat. Salary set to N$3,000 per car per month.</t>
        </r>
      </text>
    </comment>
    <comment ref="B28" authorId="0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Source: uploaded PDF "loan_repayment_value_infor_source.pdf". Payment start month aligned to month 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Sebbi Kankondi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Sebbi Kankondi:
Cash flow includes prime-linked amortising bank debt, owner/investor repayments and profit distributions, and reinvestment purchases when available cash can fund at least the minimum batch size.</t>
        </r>
      </text>
    </comment>
    <comment ref="B3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Sebbi Kankondi:
Initial capital introduced prior to operational cash flow measurement - should not appear in the annual movement line as a normal financing inflow.</t>
        </r>
      </text>
    </comment>
  </commentList>
</comments>
</file>

<file path=xl/sharedStrings.xml><?xml version="1.0" encoding="utf-8"?>
<sst xmlns="http://schemas.openxmlformats.org/spreadsheetml/2006/main" count="186" uniqueCount="148">
  <si>
    <t>Fleet schedule (all cars combined) - monthly counts</t>
  </si>
  <si>
    <t>Month #</t>
  </si>
  <si>
    <t>Fiscal Year</t>
  </si>
  <si>
    <t>Month in FY</t>
  </si>
  <si>
    <t>Cars Purchased (orders placed)</t>
  </si>
  <si>
    <t>Cars Delivered (start operating)</t>
  </si>
  <si>
    <t>Cars In Pipeline (not yet operating)</t>
  </si>
  <si>
    <t>Cars in Rent-to-Own Operation</t>
  </si>
  <si>
    <t xml:space="preserve">Total Cars </t>
  </si>
  <si>
    <t>Total Cars In Operation (Cummulative)</t>
  </si>
  <si>
    <t>Cars Disposed (end of month)</t>
  </si>
  <si>
    <t xml:space="preserve"> Total Cars Disposed (Cummulative)</t>
  </si>
  <si>
    <t>Namibia Rent-to-Own Fleet Model - Key Assumptions (Editable)</t>
  </si>
  <si>
    <t>Assumption</t>
  </si>
  <si>
    <t>Value</t>
  </si>
  <si>
    <t>Units</t>
  </si>
  <si>
    <t>Notes / Source</t>
  </si>
  <si>
    <t>Car unit cost</t>
  </si>
  <si>
    <t>N$ per car</t>
  </si>
  <si>
    <t>N$250,000 / 4 cars</t>
  </si>
  <si>
    <t>Monthly Gross revenue per car</t>
  </si>
  <si>
    <t>N$ / car / month</t>
  </si>
  <si>
    <t>Vehicle disposal trigger - monthly gross profit</t>
  </si>
  <si>
    <t>N$ / month</t>
  </si>
  <si>
    <t>Monthly gross profit/car trigger for the disposal (with no disposal revenue) of all vehicles.</t>
  </si>
  <si>
    <t>Procurement lead time</t>
  </si>
  <si>
    <t>months</t>
  </si>
  <si>
    <t>Estimate time from vehicle order to start of operation</t>
  </si>
  <si>
    <t>Fuel expense per operating car (monthly)</t>
  </si>
  <si>
    <t>Over-estimated fuel expense based on Swakopmund operations ratio of N$18,000 made for every N$7,000 spent on fuel</t>
  </si>
  <si>
    <t>Airtime expense per operating car (monthly)</t>
  </si>
  <si>
    <t>Reduced requirement</t>
  </si>
  <si>
    <t>Carwash expense per operating car (monthly)</t>
  </si>
  <si>
    <t>Maintenance expense per active car (monthly)</t>
  </si>
  <si>
    <t>Updated requirement</t>
  </si>
  <si>
    <t>Salary expense per operating car (monthly)</t>
  </si>
  <si>
    <t>For General manager + Operations supervisor</t>
  </si>
  <si>
    <t>Total operating expenses per operating car (monthly)</t>
  </si>
  <si>
    <t>Calculated = fuel + airtime + carwash + maintenance + salary.</t>
  </si>
  <si>
    <t>Monthly Gross profit per car</t>
  </si>
  <si>
    <t>Calculated = gross revenue less direct running costs before salary.</t>
  </si>
  <si>
    <t>Min reinvest purchase batch size</t>
  </si>
  <si>
    <t>cars</t>
  </si>
  <si>
    <t>Orders are placed only when retained profits can fund the purchase of atleast 4 cars.</t>
  </si>
  <si>
    <t>Corporate income tax rate</t>
  </si>
  <si>
    <t>%</t>
  </si>
  <si>
    <t>NAMRA rate for CC's</t>
  </si>
  <si>
    <t>Initial owner/investor equity</t>
  </si>
  <si>
    <t>N$</t>
  </si>
  <si>
    <t xml:space="preserve">Initial funding from 1 company member for the first batch of 4 cars </t>
  </si>
  <si>
    <t>Bank loan draw (batch 2)</t>
  </si>
  <si>
    <t>Proposed bank loan amount to help fund the second batch of 8 cars</t>
  </si>
  <si>
    <t>Bank loan draw month (operating month index)</t>
  </si>
  <si>
    <t>month #</t>
  </si>
  <si>
    <t>Bank loan request to be made after the first 4 months of operation.</t>
  </si>
  <si>
    <t>Bank monthly instalment (principal + interest)</t>
  </si>
  <si>
    <t>Monthly instalment modelled as PMT (fixed periodic repayment) at 10.00% p.a. over 54 months on N$250,000.</t>
  </si>
  <si>
    <t>Bank nominal annual interest rate</t>
  </si>
  <si>
    <t xml:space="preserve">Model uses prime-linked nominal annual rate.
Prime rate anchor: Bank of Namibia (BoN) MPC statement (repo 6.50% -&gt; prime expected 10.00%): 
Bank Windhoek published prime lending rate (10.000% effective 29 Dec 2025): </t>
  </si>
  <si>
    <t>Owner/investor equity injection (batch 2)</t>
  </si>
  <si>
    <t>Additional N$250,000 from 1 company member to help fund the second batch of 8 cars</t>
  </si>
  <si>
    <t>Owner injection month (operating month index)</t>
  </si>
  <si>
    <t>Second phase of owner funding to be made after the first 4 months of operation</t>
  </si>
  <si>
    <t>Initial cars in operation (month 1)</t>
  </si>
  <si>
    <t>Initial batch of 4 cars.</t>
  </si>
  <si>
    <t>Model horizon</t>
  </si>
  <si>
    <t>5 years monthly.</t>
  </si>
  <si>
    <t>Bank loan term</t>
  </si>
  <si>
    <t>Uploaded PDF recommendation: 54-month amortising facility.</t>
  </si>
  <si>
    <t>Bank monthly interest rate</t>
  </si>
  <si>
    <t>% / month</t>
  </si>
  <si>
    <t>Calculated from the annual nominal rate.</t>
  </si>
  <si>
    <t>Bank payment start month</t>
  </si>
  <si>
    <t>Aligned to the draw month per the uploaded PDF.</t>
  </si>
  <si>
    <t>Investor payout per car per month</t>
  </si>
  <si>
    <t>Set aside N$3,000 per car per month for each N$250,000 owner/investor amount.</t>
  </si>
  <si>
    <t>Investor monthly payout per N$250,000 tranche</t>
  </si>
  <si>
    <t>Calculated as cars funded per tranche x N$3,000 per car.</t>
  </si>
  <si>
    <t>Monthly operating profit per car</t>
  </si>
  <si>
    <t>Calculated = gross revenue less total operating expenses.</t>
  </si>
  <si>
    <t>Batch 1 investor payout start month</t>
  </si>
  <si>
    <t>Payouts begin once the cars funded by the second owner/investor tranche start operating.</t>
  </si>
  <si>
    <t>Batch 2 investor payout start month</t>
  </si>
  <si>
    <t>Driver subsistence allocation per operating car (monthly)</t>
  </si>
  <si>
    <t>Cost of sales component</t>
  </si>
  <si>
    <t>Incidental repair reserve per operating car (monthly)</t>
  </si>
  <si>
    <t>Tracking device expense per operating car (monthly)</t>
  </si>
  <si>
    <t>Cost of sales per operating car (monthly)</t>
  </si>
  <si>
    <t>Calculated = Fuel + Airtime + Carwash + Maintenance + Driver Subsistence + Incidental Reserve + Tracking</t>
  </si>
  <si>
    <t>Monthly Cash Flow</t>
  </si>
  <si>
    <t>Owner/Investor Injection</t>
  </si>
  <si>
    <t>Bank Loan Draw</t>
  </si>
  <si>
    <t>Total Cash In</t>
  </si>
  <si>
    <t>Operating Expenses (cash)</t>
  </si>
  <si>
    <t>Interest</t>
  </si>
  <si>
    <t>Loan Principal</t>
  </si>
  <si>
    <t>Income Tax Paid</t>
  </si>
  <si>
    <t>Investor Payout/Profit Distribution</t>
  </si>
  <si>
    <t>Net Cash Before Capex</t>
  </si>
  <si>
    <t>Capex (car purchases)</t>
  </si>
  <si>
    <t>Net Cash Flow</t>
  </si>
  <si>
    <t xml:space="preserve">Retained Profits Opening </t>
  </si>
  <si>
    <t xml:space="preserve">Retained Profits Closing </t>
  </si>
  <si>
    <t>Loan Opening</t>
  </si>
  <si>
    <t>Loan Closing</t>
  </si>
  <si>
    <t>Monthly Income Statement</t>
  </si>
  <si>
    <t>Year #</t>
  </si>
  <si>
    <t>Cars in Operation</t>
  </si>
  <si>
    <t>Monthly Gross Revenue</t>
  </si>
  <si>
    <t>Fuel</t>
  </si>
  <si>
    <t>Airtime</t>
  </si>
  <si>
    <t>Carwash</t>
  </si>
  <si>
    <t>Maintenance</t>
  </si>
  <si>
    <t>Driver Subsistence Allocation</t>
  </si>
  <si>
    <t>Incidental Repair Reserve</t>
  </si>
  <si>
    <t>Tracking Device</t>
  </si>
  <si>
    <t>Cost of Sales</t>
  </si>
  <si>
    <t>Gross Profit</t>
  </si>
  <si>
    <t>Salary</t>
  </si>
  <si>
    <t>Total Operating Expenses</t>
  </si>
  <si>
    <t>EBIT</t>
  </si>
  <si>
    <t>Income Tax</t>
  </si>
  <si>
    <t>Net Profit</t>
  </si>
  <si>
    <t>Retained Profits</t>
  </si>
  <si>
    <t xml:space="preserve">Monthly Balance Sheet Snapshot </t>
  </si>
  <si>
    <t>Total Owner/Investor Capital Invested</t>
  </si>
  <si>
    <t>Net Owner/Investor Capital Outstanding</t>
  </si>
  <si>
    <t>Loan Closing Balance</t>
  </si>
  <si>
    <t>Cars in Operation (count)</t>
  </si>
  <si>
    <t>Total Cars Operation (Cummulative)</t>
  </si>
  <si>
    <t>Vehicles In Use - Cost</t>
  </si>
  <si>
    <t>Total Cars Cost (Cummulative)</t>
  </si>
  <si>
    <t>Gross Revenue (Cummulative)</t>
  </si>
  <si>
    <t>Operating Expenses (Cummulative)</t>
  </si>
  <si>
    <t>Operating Profit (Cummulative)</t>
  </si>
  <si>
    <t>Loan Repayment (Cummulative)</t>
  </si>
  <si>
    <t>Income Tax (Cummulative)</t>
  </si>
  <si>
    <t>Net Profit (Cummulative)</t>
  </si>
  <si>
    <t xml:space="preserve">Net Profit </t>
  </si>
  <si>
    <t>Investor Payout/Profit Distribution (Cummulative)</t>
  </si>
  <si>
    <t>Retained Profits (Cummulative)</t>
  </si>
  <si>
    <t>Loan Amortisation - linked to Cash_Flow</t>
  </si>
  <si>
    <t>Prime-linked amortising bank facility: N$250,000 at 10.00% p.a. over 54 months, with payments starting in operating month 5. Opening balance includes the draw in the first loan month.</t>
  </si>
  <si>
    <t>Loan month</t>
  </si>
  <si>
    <t>Opening balance</t>
  </si>
  <si>
    <t>Principal</t>
  </si>
  <si>
    <t>Payment</t>
  </si>
  <si>
    <t>Closing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</si>
</sst>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N$&quot;#,##0_);[Red]&quot;(N$&quot;#,##0\);\-_);_(@_)"/>
    <numFmt numFmtId="165" formatCode="#,##0_);[Red]\(#,##0\);\-_);_(@_)"/>
    <numFmt numFmtId="166" formatCode="0.0%"/>
  </numFmts>
  <fonts count="8" x14ac:knownFonts="1">
    <font>
      <sz val="11"/>
      <color theme="1"/>
      <name val="Calibri"/>
      <family val="2"/>
      <charset val="1"/>
    </font>
    <font>
      <b/>
      <sz val="14"/>
      <color rgb="FF1F4E79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horizontal="right" vertical="center" wrapText="1"/>
    </xf>
    <xf numFmtId="164" fontId="4" fillId="0" borderId="1" xfId="0" applyNumberFormat="1" applyFont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  <xf numFmtId="166" fontId="4" fillId="0" borderId="1" xfId="0" applyNumberFormat="1" applyFont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 wrapText="1"/>
    </xf>
    <xf numFmtId="164" fontId="5" fillId="0" borderId="1" xfId="0" applyNumberFormat="1" applyFont="1" applyBorder="1" applyAlignment="1">
      <alignment horizontal="right" vertical="center" wrapText="1"/>
    </xf>
    <xf numFmtId="166" fontId="5" fillId="0" borderId="1" xfId="0" applyNumberFormat="1" applyFont="1" applyBorder="1" applyAlignment="1">
      <alignment horizontal="right" vertical="center" wrapText="1"/>
    </xf>
    <xf numFmtId="0" fontId="1" fillId="0" borderId="0" xfId="0" applyFont="1"/>
    <xf numFmtId="164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 vertical="center" wrapText="1"/>
    </xf>
    <xf numFmtId="164" fontId="0" fillId="0" borderId="3" xfId="0" applyNumberFormat="1" applyBorder="1" applyAlignment="1">
      <alignment horizontal="righ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vertical="center"/>
    </xf>
    <xf numFmtId="0" fontId="1" fillId="0" borderId="0" xfId="0" applyFont="1"/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showGridLines="0" zoomScale="145" zoomScaleNormal="145" workbookViewId="0">
      <pane ySplit="3" topLeftCell="A24" activePane="bottomLeft" state="frozen"/>
      <selection pane="bottomLeft" activeCell="B37" sqref="B37"/>
    </sheetView>
  </sheetViews>
  <sheetFormatPr defaultColWidth="8.7109375" defaultRowHeight="15" customHeight="1" x14ac:dyDescent="0.25"/>
  <cols>
    <col min="1" max="1" width="41" customWidth="1"/>
    <col min="2" max="3" width="18" customWidth="1"/>
    <col min="4" max="4" width="80" customWidth="1"/>
  </cols>
  <sheetData>
    <row r="1" spans="1:4" ht="18.75" customHeight="1" x14ac:dyDescent="0.3">
      <c r="A1" s="20" t="s">
        <v>12</v>
      </c>
      <c r="B1" s="21"/>
      <c r="C1" s="21"/>
      <c r="D1" s="21"/>
    </row>
    <row r="2" spans="1:4" x14ac:dyDescent="0.25"/>
    <row r="3" spans="1:4" x14ac:dyDescent="0.25">
      <c r="A3" s="2" t="s">
        <v>13</v>
      </c>
      <c r="B3" s="2" t="s">
        <v>14</v>
      </c>
      <c r="C3" s="2" t="s">
        <v>15</v>
      </c>
      <c r="D3" s="2" t="s">
        <v>16</v>
      </c>
    </row>
    <row r="4" spans="1:4" x14ac:dyDescent="0.25">
      <c r="A4" s="1" t="s">
        <v>17</v>
      </c>
      <c r="B4" s="3">
        <v>60000</v>
      </c>
      <c r="C4" s="1" t="s">
        <v>18</v>
      </c>
      <c r="D4" s="1" t="s">
        <v>19</v>
      </c>
    </row>
    <row r="5" spans="1:4" x14ac:dyDescent="0.25">
      <c r="A5" s="1" t="s">
        <v>20</v>
      </c>
      <c r="B5" s="3">
        <v>30000</v>
      </c>
      <c r="C5" s="1" t="s">
        <v>21</v>
      </c>
      <c r="D5" s="1"/>
    </row>
    <row r="6" spans="1:4" ht="30" customHeight="1" x14ac:dyDescent="0.25">
      <c r="A6" s="1" t="s">
        <v>22</v>
      </c>
      <c r="B6" s="3">
        <v>180000</v>
      </c>
      <c r="C6" s="1" t="s">
        <v>23</v>
      </c>
      <c r="D6" s="1" t="s">
        <v>24</v>
      </c>
    </row>
    <row r="7" spans="1:4" x14ac:dyDescent="0.25">
      <c r="A7" s="1" t="s">
        <v>25</v>
      </c>
      <c r="B7" s="4">
        <v>3</v>
      </c>
      <c r="C7" s="1" t="s">
        <v>26</v>
      </c>
      <c r="D7" s="1" t="s">
        <v>27</v>
      </c>
    </row>
    <row r="8" spans="1:4" ht="30" customHeight="1" x14ac:dyDescent="0.25">
      <c r="A8" s="1" t="s">
        <v>28</v>
      </c>
      <c r="B8" s="3">
        <v>13000</v>
      </c>
      <c r="C8" s="1" t="s">
        <v>21</v>
      </c>
      <c r="D8" s="1" t="s">
        <v>29</v>
      </c>
    </row>
    <row r="9" spans="1:4" ht="30" customHeight="1" x14ac:dyDescent="0.25">
      <c r="A9" s="1" t="s">
        <v>30</v>
      </c>
      <c r="B9" s="3">
        <v>290</v>
      </c>
      <c r="C9" s="1" t="s">
        <v>21</v>
      </c>
      <c r="D9" s="1" t="s">
        <v>31</v>
      </c>
    </row>
    <row r="10" spans="1:4" ht="30" customHeight="1" x14ac:dyDescent="0.25">
      <c r="A10" s="1" t="s">
        <v>32</v>
      </c>
      <c r="B10" s="3">
        <v>240</v>
      </c>
      <c r="C10" s="1" t="s">
        <v>21</v>
      </c>
      <c r="D10" s="1"/>
    </row>
    <row r="11" spans="1:4" ht="30" customHeight="1" x14ac:dyDescent="0.25">
      <c r="A11" s="1" t="s">
        <v>33</v>
      </c>
      <c r="B11" s="3">
        <v>1250</v>
      </c>
      <c r="C11" s="1" t="s">
        <v>21</v>
      </c>
      <c r="D11" s="1" t="s">
        <v>34</v>
      </c>
    </row>
    <row r="12" spans="1:4" x14ac:dyDescent="0.25">
      <c r="A12" s="1" t="s">
        <v>35</v>
      </c>
      <c r="B12" s="3">
        <v>3000</v>
      </c>
      <c r="C12" s="1" t="s">
        <v>21</v>
      </c>
      <c r="D12" s="1" t="s">
        <v>36</v>
      </c>
    </row>
    <row r="13" spans="1:4" ht="30" customHeight="1" x14ac:dyDescent="0.25">
      <c r="A13" s="1" t="s">
        <v>37</v>
      </c>
      <c r="B13" s="5">
        <f>SUM(B8:B12)</f>
        <v>17780</v>
      </c>
      <c r="C13" s="1" t="s">
        <v>21</v>
      </c>
      <c r="D13" s="1" t="s">
        <v>38</v>
      </c>
    </row>
    <row r="14" spans="1:4" x14ac:dyDescent="0.25">
      <c r="A14" s="1" t="s">
        <v>39</v>
      </c>
      <c r="B14" s="5">
        <f>B5-SUM(B8:B11)</f>
        <v>15220</v>
      </c>
      <c r="C14" s="1" t="s">
        <v>21</v>
      </c>
      <c r="D14" s="1" t="s">
        <v>40</v>
      </c>
    </row>
    <row r="15" spans="1:4" ht="30" customHeight="1" x14ac:dyDescent="0.25">
      <c r="A15" s="1" t="s">
        <v>41</v>
      </c>
      <c r="B15" s="4">
        <v>4</v>
      </c>
      <c r="C15" s="1" t="s">
        <v>42</v>
      </c>
      <c r="D15" s="1" t="s">
        <v>43</v>
      </c>
    </row>
    <row r="16" spans="1:4" ht="30" customHeight="1" x14ac:dyDescent="0.25">
      <c r="A16" s="1" t="s">
        <v>44</v>
      </c>
      <c r="B16" s="6">
        <v>0.32</v>
      </c>
      <c r="C16" s="1" t="s">
        <v>45</v>
      </c>
      <c r="D16" s="1" t="s">
        <v>46</v>
      </c>
    </row>
    <row r="17" spans="1:4" ht="30" customHeight="1" x14ac:dyDescent="0.25">
      <c r="A17" s="1" t="s">
        <v>47</v>
      </c>
      <c r="B17" s="11">
        <v>250000</v>
      </c>
      <c r="C17" s="1" t="s">
        <v>48</v>
      </c>
      <c r="D17" s="1" t="s">
        <v>49</v>
      </c>
    </row>
    <row r="18" spans="1:4" x14ac:dyDescent="0.25">
      <c r="A18" s="1" t="s">
        <v>50</v>
      </c>
      <c r="B18" s="3">
        <v>250000</v>
      </c>
      <c r="C18" s="1" t="s">
        <v>48</v>
      </c>
      <c r="D18" s="1" t="s">
        <v>51</v>
      </c>
    </row>
    <row r="19" spans="1:4" ht="30" customHeight="1" x14ac:dyDescent="0.25">
      <c r="A19" s="1" t="s">
        <v>52</v>
      </c>
      <c r="B19" s="4">
        <v>5</v>
      </c>
      <c r="C19" s="1" t="s">
        <v>53</v>
      </c>
      <c r="D19" s="1" t="s">
        <v>54</v>
      </c>
    </row>
    <row r="20" spans="1:4" ht="30" customHeight="1" x14ac:dyDescent="0.25">
      <c r="A20" s="1" t="s">
        <v>55</v>
      </c>
      <c r="B20" s="11">
        <f>-PMT(B27,B26,B18)</f>
        <v>5768.1018465472143</v>
      </c>
      <c r="C20" s="1" t="s">
        <v>23</v>
      </c>
      <c r="D20" s="1" t="s">
        <v>56</v>
      </c>
    </row>
    <row r="21" spans="1:4" ht="63" customHeight="1" x14ac:dyDescent="0.25">
      <c r="A21" s="1" t="s">
        <v>57</v>
      </c>
      <c r="B21" s="12">
        <v>0.1</v>
      </c>
      <c r="C21" s="1" t="s">
        <v>45</v>
      </c>
      <c r="D21" s="1" t="s">
        <v>58</v>
      </c>
    </row>
    <row r="22" spans="1:4" x14ac:dyDescent="0.25">
      <c r="A22" s="1" t="s">
        <v>59</v>
      </c>
      <c r="B22" s="3">
        <v>250000</v>
      </c>
      <c r="C22" s="1" t="s">
        <v>48</v>
      </c>
      <c r="D22" s="1" t="s">
        <v>60</v>
      </c>
    </row>
    <row r="23" spans="1:4" ht="30" customHeight="1" x14ac:dyDescent="0.25">
      <c r="A23" s="1" t="s">
        <v>61</v>
      </c>
      <c r="B23" s="4">
        <v>5</v>
      </c>
      <c r="C23" s="1" t="s">
        <v>53</v>
      </c>
      <c r="D23" s="1" t="s">
        <v>62</v>
      </c>
    </row>
    <row r="24" spans="1:4" x14ac:dyDescent="0.25">
      <c r="A24" s="1" t="s">
        <v>63</v>
      </c>
      <c r="B24" s="4">
        <v>4</v>
      </c>
      <c r="C24" s="1" t="s">
        <v>42</v>
      </c>
      <c r="D24" s="1" t="s">
        <v>64</v>
      </c>
    </row>
    <row r="25" spans="1:4" x14ac:dyDescent="0.25">
      <c r="A25" s="1" t="s">
        <v>65</v>
      </c>
      <c r="B25" s="4">
        <v>60</v>
      </c>
      <c r="C25" s="1" t="s">
        <v>26</v>
      </c>
      <c r="D25" s="1" t="s">
        <v>66</v>
      </c>
    </row>
    <row r="26" spans="1:4" x14ac:dyDescent="0.25">
      <c r="A26" s="1" t="s">
        <v>67</v>
      </c>
      <c r="B26" s="4">
        <v>54</v>
      </c>
      <c r="C26" s="1" t="s">
        <v>26</v>
      </c>
      <c r="D26" s="1" t="s">
        <v>68</v>
      </c>
    </row>
    <row r="27" spans="1:4" x14ac:dyDescent="0.25">
      <c r="A27" s="1" t="s">
        <v>69</v>
      </c>
      <c r="B27" s="7">
        <f>B21/12</f>
        <v>8.3333333333333332E-3</v>
      </c>
      <c r="C27" s="1" t="s">
        <v>70</v>
      </c>
      <c r="D27" s="1" t="s">
        <v>71</v>
      </c>
    </row>
    <row r="28" spans="1:4" x14ac:dyDescent="0.25">
      <c r="A28" s="1" t="s">
        <v>72</v>
      </c>
      <c r="B28" s="4">
        <v>5</v>
      </c>
      <c r="C28" s="1" t="s">
        <v>53</v>
      </c>
      <c r="D28" s="1" t="s">
        <v>73</v>
      </c>
    </row>
    <row r="29" spans="1:4" x14ac:dyDescent="0.25">
      <c r="A29" s="1" t="s">
        <v>74</v>
      </c>
      <c r="B29" s="3">
        <v>3000</v>
      </c>
      <c r="C29" s="1" t="s">
        <v>21</v>
      </c>
      <c r="D29" s="1" t="s">
        <v>75</v>
      </c>
    </row>
    <row r="30" spans="1:4" ht="30" customHeight="1" x14ac:dyDescent="0.25">
      <c r="A30" s="1" t="s">
        <v>76</v>
      </c>
      <c r="B30" s="5">
        <f>ROUND(($B$17/$B$4)*$B$29,0)</f>
        <v>12500</v>
      </c>
      <c r="C30" s="1" t="s">
        <v>23</v>
      </c>
      <c r="D30" s="1" t="s">
        <v>77</v>
      </c>
    </row>
    <row r="31" spans="1:4" x14ac:dyDescent="0.25">
      <c r="A31" s="1" t="s">
        <v>78</v>
      </c>
      <c r="B31" s="5">
        <f>B5-B13</f>
        <v>12220</v>
      </c>
      <c r="C31" s="1" t="s">
        <v>21</v>
      </c>
      <c r="D31" s="1" t="s">
        <v>79</v>
      </c>
    </row>
    <row r="32" spans="1:4" ht="30" customHeight="1" x14ac:dyDescent="0.25">
      <c r="A32" s="1" t="s">
        <v>80</v>
      </c>
      <c r="B32" s="8">
        <v>1</v>
      </c>
      <c r="C32" s="1" t="s">
        <v>53</v>
      </c>
      <c r="D32" s="1" t="s">
        <v>81</v>
      </c>
    </row>
    <row r="33" spans="1:4" ht="30" customHeight="1" x14ac:dyDescent="0.25">
      <c r="A33" s="1" t="s">
        <v>82</v>
      </c>
      <c r="B33" s="8">
        <f>$B$23+$B$7</f>
        <v>8</v>
      </c>
      <c r="C33" s="1" t="s">
        <v>53</v>
      </c>
      <c r="D33" s="1" t="s">
        <v>81</v>
      </c>
    </row>
    <row r="34" spans="1:4" x14ac:dyDescent="0.25">
      <c r="A34" t="s">
        <v>83</v>
      </c>
      <c r="B34">
        <v>1400</v>
      </c>
      <c r="C34" t="s">
        <v>21</v>
      </c>
      <c r="D34" t="s">
        <v>84</v>
      </c>
    </row>
    <row r="35" spans="1:4" x14ac:dyDescent="0.25">
      <c r="A35" t="s">
        <v>85</v>
      </c>
      <c r="B35">
        <v>500</v>
      </c>
      <c r="C35" t="s">
        <v>21</v>
      </c>
      <c r="D35" t="s">
        <v>84</v>
      </c>
    </row>
    <row r="36" spans="1:4" x14ac:dyDescent="0.25">
      <c r="A36" t="s">
        <v>86</v>
      </c>
      <c r="B36">
        <v>950</v>
      </c>
      <c r="C36" t="s">
        <v>21</v>
      </c>
      <c r="D36" t="s">
        <v>84</v>
      </c>
    </row>
    <row r="37" spans="1:4" x14ac:dyDescent="0.25">
      <c r="A37" t="s">
        <v>87</v>
      </c>
      <c r="B37">
        <v>17630</v>
      </c>
      <c r="C37" t="s">
        <v>21</v>
      </c>
      <c r="D37" t="s">
        <v>88</v>
      </c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2"/>
  <sheetViews>
    <sheetView showGridLines="0" zoomScale="130" zoomScaleNormal="130" workbookViewId="0">
      <pane xSplit="1" ySplit="2" topLeftCell="E3" activePane="bottomRight" state="frozen"/>
      <selection pane="topRight" activeCell="B1" sqref="B1"/>
      <selection pane="bottomLeft" activeCell="A5" sqref="A5"/>
      <selection pane="bottomRight" activeCell="G19" sqref="G19"/>
    </sheetView>
  </sheetViews>
  <sheetFormatPr defaultColWidth="8.7109375" defaultRowHeight="15" customHeight="1" x14ac:dyDescent="0.25"/>
  <cols>
    <col min="1" max="3" width="10" customWidth="1"/>
    <col min="4" max="11" width="24" customWidth="1"/>
    <col min="12" max="12" width="18" customWidth="1"/>
  </cols>
  <sheetData>
    <row r="1" spans="1:12" ht="17.25" customHeight="1" x14ac:dyDescent="0.3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ht="31.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15" t="s">
        <v>8</v>
      </c>
      <c r="I2" s="2" t="s">
        <v>9</v>
      </c>
      <c r="J2" s="2" t="s">
        <v>10</v>
      </c>
      <c r="K2" s="15" t="s">
        <v>11</v>
      </c>
    </row>
    <row r="3" spans="1:12" x14ac:dyDescent="0.25">
      <c r="A3" s="9">
        <v>1</v>
      </c>
      <c r="B3" s="8">
        <f t="shared" ref="B3:B34" si="0">INT(($A3-1)/12)+1</f>
        <v>1</v>
      </c>
      <c r="C3" s="8">
        <f t="shared" ref="C3:C34" si="1">MOD($A3-1,12)+1</f>
        <v>1</v>
      </c>
      <c r="D3" s="8">
        <v>0</v>
      </c>
      <c r="E3" s="8">
        <f>Assumptions!$B$24</f>
        <v>4</v>
      </c>
      <c r="F3" s="8">
        <v>0</v>
      </c>
      <c r="G3" s="8">
        <f>Assumptions!$B$24</f>
        <v>4</v>
      </c>
      <c r="H3" s="8">
        <f t="shared" ref="H3:H34" si="2">$G3+$F3</f>
        <v>4</v>
      </c>
      <c r="I3" s="8">
        <f>$E3</f>
        <v>4</v>
      </c>
      <c r="J3" s="8">
        <v>0</v>
      </c>
      <c r="K3" s="8">
        <f>$J3</f>
        <v>0</v>
      </c>
    </row>
    <row r="4" spans="1:12" x14ac:dyDescent="0.25">
      <c r="A4" s="9">
        <f t="shared" ref="A4:A35" si="3">$A3+1</f>
        <v>2</v>
      </c>
      <c r="B4" s="8">
        <f t="shared" si="0"/>
        <v>1</v>
      </c>
      <c r="C4" s="8">
        <f t="shared" si="1"/>
        <v>2</v>
      </c>
      <c r="D4" s="8">
        <f>IF((Cash_Flow!$N3+IF($A4=Assumptions!$B$19,Assumptions!$B$18,0)+IF($A4=Assumptions!$B$23,Assumptions!$B$22,0))&gt;=Assumptions!$B$4*Assumptions!$B$15,INT((Cash_Flow!$N3+IF($A4=Assumptions!$B$19,Assumptions!$B$18,0)+IF($A4=Assumptions!$B$23,Assumptions!$B$22,0))/Assumptions!$B$4),0)</f>
        <v>4</v>
      </c>
      <c r="E4" s="8">
        <f>IF($A4&gt;Assumptions!$B$7,INDEX($D$3:$D$62,MATCH($A4-Assumptions!$B$7,$A$3:$A$62,0)),0)</f>
        <v>0</v>
      </c>
      <c r="F4" s="8">
        <f t="shared" ref="F4:F35" si="4">$F3+$D4-$E4</f>
        <v>4</v>
      </c>
      <c r="G4" s="8">
        <f t="shared" ref="G4:G35" si="5">$G3+$E4-$J4</f>
        <v>4</v>
      </c>
      <c r="H4" s="8">
        <f t="shared" si="2"/>
        <v>8</v>
      </c>
      <c r="I4" s="8">
        <f t="shared" ref="I4:I35" si="6">$I3+$E4</f>
        <v>4</v>
      </c>
      <c r="J4" s="8">
        <f>_xlfn.LET(
    _xlpm.PrevMonth,$A3,
    _xlpm.PrevCars,$G3,
    _xlpm.PrevGrossProfit,Income_Statement!$J3,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" s="8">
        <f t="shared" ref="K4:K35" si="7">$J4+$K3</f>
        <v>0</v>
      </c>
    </row>
    <row r="5" spans="1:12" x14ac:dyDescent="0.25">
      <c r="A5" s="9">
        <f t="shared" si="3"/>
        <v>3</v>
      </c>
      <c r="B5" s="8">
        <f t="shared" si="0"/>
        <v>1</v>
      </c>
      <c r="C5" s="8">
        <f t="shared" si="1"/>
        <v>3</v>
      </c>
      <c r="D5" s="8">
        <f>IF((Cash_Flow!$N4+IF($A5=Assumptions!$B$19,Assumptions!$B$18,0)+IF($A5=Assumptions!$B$23,Assumptions!$B$22,0))&gt;=Assumptions!$B$4*Assumptions!$B$15,INT((Cash_Flow!$N4+IF($A5=Assumptions!$B$19,Assumptions!$B$18,0)+IF($A5=Assumptions!$B$23,Assumptions!$B$22,0))/Assumptions!$B$4),0)</f>
        <v>5</v>
      </c>
      <c r="E5" s="8">
        <f>IF($A5&gt;Assumptions!$B$7,INDEX($D$3:$D$62,MATCH($A5-Assumptions!$B$7,$A$3:$A$62,0)),0)</f>
        <v>0</v>
      </c>
      <c r="F5" s="8">
        <f t="shared" si="4"/>
        <v>9</v>
      </c>
      <c r="G5" s="8">
        <f t="shared" si="5"/>
        <v>4</v>
      </c>
      <c r="H5" s="8">
        <f t="shared" si="2"/>
        <v>13</v>
      </c>
      <c r="I5" s="8">
        <f t="shared" si="6"/>
        <v>4</v>
      </c>
      <c r="J5" s="8">
        <f>_xlfn.LET(
    _xlpm.PrevMonth,$A4,
    _xlpm.PrevCars,$G4,
    _xlpm.PrevGrossProfit,Income_Statement!$J4,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" s="8">
        <f t="shared" si="7"/>
        <v>0</v>
      </c>
    </row>
    <row r="6" spans="1:12" x14ac:dyDescent="0.25">
      <c r="A6" s="9">
        <f t="shared" si="3"/>
        <v>4</v>
      </c>
      <c r="B6" s="8">
        <f t="shared" si="0"/>
        <v>1</v>
      </c>
      <c r="C6" s="8">
        <f t="shared" si="1"/>
        <v>4</v>
      </c>
      <c r="D6" s="8">
        <f>IF((Cash_Flow!$N5+IF($A6=Assumptions!$B$19,Assumptions!$B$18,0)+IF($A6=Assumptions!$B$23,Assumptions!$B$22,0))&gt;=Assumptions!$B$4*Assumptions!$B$15,INT((Cash_Flow!$N5+IF($A6=Assumptions!$B$19,Assumptions!$B$18,0)+IF($A6=Assumptions!$B$23,Assumptions!$B$22,0))/Assumptions!$B$4),0)</f>
        <v>5</v>
      </c>
      <c r="E6" s="8">
        <f>IF($A6&gt;Assumptions!$B$7,INDEX($D$3:$D$62,MATCH($A6-Assumptions!$B$7,$A$3:$A$62,0)),0)</f>
        <v>0</v>
      </c>
      <c r="F6" s="8">
        <f t="shared" si="4"/>
        <v>14</v>
      </c>
      <c r="G6" s="8">
        <f t="shared" si="5"/>
        <v>4</v>
      </c>
      <c r="H6" s="8">
        <f t="shared" si="2"/>
        <v>18</v>
      </c>
      <c r="I6" s="8">
        <f t="shared" si="6"/>
        <v>4</v>
      </c>
      <c r="J6" s="8">
        <f>_xlfn.LET(
    _xlpm.PrevMonth,$A5,
    _xlpm.PrevCars,$G5,
    _xlpm.PrevGrossProfit,Income_Statement!$J5,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" s="8">
        <f t="shared" si="7"/>
        <v>0</v>
      </c>
    </row>
    <row r="7" spans="1:12" x14ac:dyDescent="0.25">
      <c r="A7" s="9">
        <f t="shared" si="3"/>
        <v>5</v>
      </c>
      <c r="B7" s="8">
        <f t="shared" si="0"/>
        <v>1</v>
      </c>
      <c r="C7" s="8">
        <f t="shared" si="1"/>
        <v>5</v>
      </c>
      <c r="D7" s="8">
        <f>IF((Cash_Flow!$N6+IF($A7=Assumptions!$B$19,Assumptions!$B$18,0)+IF($A7=Assumptions!$B$23,Assumptions!$B$22,0))&gt;=Assumptions!$B$4*Assumptions!$B$15,INT((Cash_Flow!$N6+IF($A7=Assumptions!$B$19,Assumptions!$B$18,0)+IF($A7=Assumptions!$B$23,Assumptions!$B$22,0))/Assumptions!$B$4),0)</f>
        <v>14</v>
      </c>
      <c r="E7" s="8">
        <f>IF($A7&gt;Assumptions!$B$7,INDEX($D$3:$D$62,MATCH($A7-Assumptions!$B$7,$A$3:$A$62,0)),0)</f>
        <v>4</v>
      </c>
      <c r="F7" s="8">
        <f t="shared" si="4"/>
        <v>24</v>
      </c>
      <c r="G7" s="8">
        <f t="shared" si="5"/>
        <v>8</v>
      </c>
      <c r="H7" s="8">
        <f t="shared" si="2"/>
        <v>32</v>
      </c>
      <c r="I7" s="8">
        <f t="shared" si="6"/>
        <v>8</v>
      </c>
      <c r="J7" s="8">
        <f>_xlfn.LET(
    _xlpm.PrevMonth,$A6,
    _xlpm.PrevCars,$G6,
    _xlpm.PrevGrossProfit,Income_Statement!$J6,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7" s="8">
        <f t="shared" si="7"/>
        <v>0</v>
      </c>
    </row>
    <row r="8" spans="1:12" x14ac:dyDescent="0.25">
      <c r="A8" s="9">
        <f t="shared" si="3"/>
        <v>6</v>
      </c>
      <c r="B8" s="8">
        <f t="shared" si="0"/>
        <v>1</v>
      </c>
      <c r="C8" s="8">
        <f t="shared" si="1"/>
        <v>6</v>
      </c>
      <c r="D8" s="8">
        <f>IF((Cash_Flow!$N7+IF($A8=Assumptions!$B$19,Assumptions!$B$18,0)+IF($A8=Assumptions!$B$23,Assumptions!$B$22,0))&gt;=Assumptions!$B$4*Assumptions!$B$15,INT((Cash_Flow!$N7+IF($A8=Assumptions!$B$19,Assumptions!$B$18,0)+IF($A8=Assumptions!$B$23,Assumptions!$B$22,0))/Assumptions!$B$4),0)</f>
        <v>0</v>
      </c>
      <c r="E8" s="8">
        <f>IF($A8&gt;Assumptions!$B$7,INDEX($D$3:$D$62,MATCH($A8-Assumptions!$B$7,$A$3:$A$62,0)),0)</f>
        <v>5</v>
      </c>
      <c r="F8" s="8">
        <f t="shared" si="4"/>
        <v>19</v>
      </c>
      <c r="G8" s="8">
        <f t="shared" si="5"/>
        <v>13</v>
      </c>
      <c r="H8" s="8">
        <f t="shared" si="2"/>
        <v>32</v>
      </c>
      <c r="I8" s="8">
        <f t="shared" si="6"/>
        <v>13</v>
      </c>
      <c r="J8" s="8">
        <f>_xlfn.LET(
    _xlpm.PrevMonth,$A7,
    _xlpm.PrevCars,$G7,
    _xlpm.PrevGrossProfit,Income_Statement!$J7,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8" s="8">
        <f t="shared" si="7"/>
        <v>0</v>
      </c>
    </row>
    <row r="9" spans="1:12" x14ac:dyDescent="0.25">
      <c r="A9" s="9">
        <f t="shared" si="3"/>
        <v>7</v>
      </c>
      <c r="B9" s="8">
        <f t="shared" si="0"/>
        <v>1</v>
      </c>
      <c r="C9" s="8">
        <f t="shared" si="1"/>
        <v>7</v>
      </c>
      <c r="D9" s="8">
        <f>IF((Cash_Flow!$N8+IF($A9=Assumptions!$B$19,Assumptions!$B$18,0)+IF($A9=Assumptions!$B$23,Assumptions!$B$22,0))&gt;=Assumptions!$B$4*Assumptions!$B$15,INT((Cash_Flow!$N8+IF($A9=Assumptions!$B$19,Assumptions!$B$18,0)+IF($A9=Assumptions!$B$23,Assumptions!$B$22,0))/Assumptions!$B$4),0)</f>
        <v>0</v>
      </c>
      <c r="E9" s="8">
        <f>IF($A9&gt;Assumptions!$B$7,INDEX($D$3:$D$62,MATCH($A9-Assumptions!$B$7,$A$3:$A$62,0)),0)</f>
        <v>5</v>
      </c>
      <c r="F9" s="8">
        <f t="shared" si="4"/>
        <v>14</v>
      </c>
      <c r="G9" s="8">
        <f t="shared" si="5"/>
        <v>18</v>
      </c>
      <c r="H9" s="8">
        <f t="shared" si="2"/>
        <v>32</v>
      </c>
      <c r="I9" s="8">
        <f t="shared" si="6"/>
        <v>18</v>
      </c>
      <c r="J9" s="8">
        <f>_xlfn.LET(
    _xlpm.PrevMonth,$A8,
    _xlpm.PrevCars,$G8,
    _xlpm.PrevGrossProfit,Income_Statement!$J8,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9" s="8">
        <f t="shared" si="7"/>
        <v>0</v>
      </c>
    </row>
    <row r="10" spans="1:12" x14ac:dyDescent="0.25">
      <c r="A10" s="9">
        <f t="shared" si="3"/>
        <v>8</v>
      </c>
      <c r="B10" s="8">
        <f t="shared" si="0"/>
        <v>1</v>
      </c>
      <c r="C10" s="8">
        <f t="shared" si="1"/>
        <v>8</v>
      </c>
      <c r="D10" s="8">
        <f>IF((Cash_Flow!$N9+IF($A10=Assumptions!$B$19,Assumptions!$B$18,0)+IF($A10=Assumptions!$B$23,Assumptions!$B$22,0))&gt;=Assumptions!$B$4*Assumptions!$B$15,INT((Cash_Flow!$N9+IF($A10=Assumptions!$B$19,Assumptions!$B$18,0)+IF($A10=Assumptions!$B$23,Assumptions!$B$22,0))/Assumptions!$B$4),0)</f>
        <v>0</v>
      </c>
      <c r="E10" s="8">
        <f>IF($A10&gt;Assumptions!$B$7,INDEX($D$3:$D$62,MATCH($A10-Assumptions!$B$7,$A$3:$A$62,0)),0)</f>
        <v>14</v>
      </c>
      <c r="F10" s="8">
        <f t="shared" si="4"/>
        <v>0</v>
      </c>
      <c r="G10" s="8">
        <f t="shared" si="5"/>
        <v>32</v>
      </c>
      <c r="H10" s="8">
        <f t="shared" si="2"/>
        <v>32</v>
      </c>
      <c r="I10" s="8">
        <f t="shared" si="6"/>
        <v>32</v>
      </c>
      <c r="J10" s="8">
        <f>_xlfn.LET(
    _xlpm.PrevMonth,$A9,
    _xlpm.PrevCars,$G9,
    _xlpm.PrevGrossProfit,Income_Statement!$J9,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0" s="8">
        <f t="shared" si="7"/>
        <v>0</v>
      </c>
    </row>
    <row r="11" spans="1:12" x14ac:dyDescent="0.25">
      <c r="A11" s="9">
        <f t="shared" si="3"/>
        <v>9</v>
      </c>
      <c r="B11" s="8">
        <f t="shared" si="0"/>
        <v>1</v>
      </c>
      <c r="C11" s="8">
        <f t="shared" si="1"/>
        <v>9</v>
      </c>
      <c r="D11" s="8">
        <f>IF((Cash_Flow!$N10+IF($A11=Assumptions!$B$19,Assumptions!$B$18,0)+IF($A11=Assumptions!$B$23,Assumptions!$B$22,0))&gt;=Assumptions!$B$4*Assumptions!$B$15,INT((Cash_Flow!$N10+IF($A11=Assumptions!$B$19,Assumptions!$B$18,0)+IF($A11=Assumptions!$B$23,Assumptions!$B$22,0))/Assumptions!$B$4),0)</f>
        <v>0</v>
      </c>
      <c r="E11" s="8">
        <f>IF($A11&gt;Assumptions!$B$7,INDEX($D$3:$D$62,MATCH($A11-Assumptions!$B$7,$A$3:$A$62,0)),0)</f>
        <v>0</v>
      </c>
      <c r="F11" s="8">
        <f t="shared" si="4"/>
        <v>0</v>
      </c>
      <c r="G11" s="8">
        <f t="shared" si="5"/>
        <v>32</v>
      </c>
      <c r="H11" s="8">
        <f t="shared" si="2"/>
        <v>32</v>
      </c>
      <c r="I11" s="8">
        <f t="shared" si="6"/>
        <v>32</v>
      </c>
      <c r="J11" s="8">
        <f>_xlfn.LET(
    _xlpm.PrevMonth,$A10,
    _xlpm.PrevCars,$G10,
    _xlpm.PrevGrossProfit,Income_Statement!$J10,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1" s="8">
        <f t="shared" si="7"/>
        <v>0</v>
      </c>
    </row>
    <row r="12" spans="1:12" x14ac:dyDescent="0.25">
      <c r="A12" s="9">
        <f t="shared" si="3"/>
        <v>10</v>
      </c>
      <c r="B12" s="8">
        <f t="shared" si="0"/>
        <v>1</v>
      </c>
      <c r="C12" s="8">
        <f t="shared" si="1"/>
        <v>10</v>
      </c>
      <c r="D12" s="8">
        <f>IF((Cash_Flow!$N11+IF($A12=Assumptions!$B$19,Assumptions!$B$18,0)+IF($A12=Assumptions!$B$23,Assumptions!$B$22,0))&gt;=Assumptions!$B$4*Assumptions!$B$15,INT((Cash_Flow!$N11+IF($A12=Assumptions!$B$19,Assumptions!$B$18,0)+IF($A12=Assumptions!$B$23,Assumptions!$B$22,0))/Assumptions!$B$4),0)</f>
        <v>4</v>
      </c>
      <c r="E12" s="8">
        <f>IF($A12&gt;Assumptions!$B$7,INDEX($D$3:$D$62,MATCH($A12-Assumptions!$B$7,$A$3:$A$62,0)),0)</f>
        <v>0</v>
      </c>
      <c r="F12" s="8">
        <f t="shared" si="4"/>
        <v>4</v>
      </c>
      <c r="G12" s="8">
        <f t="shared" si="5"/>
        <v>32</v>
      </c>
      <c r="H12" s="8">
        <f t="shared" si="2"/>
        <v>36</v>
      </c>
      <c r="I12" s="8">
        <f t="shared" si="6"/>
        <v>32</v>
      </c>
      <c r="J12" s="8">
        <f>_xlfn.LET(
    _xlpm.PrevMonth,$A11,
    _xlpm.PrevCars,$G11,
    _xlpm.PrevGrossProfit,Income_Statement!$J11,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2" s="8">
        <f t="shared" si="7"/>
        <v>0</v>
      </c>
    </row>
    <row r="13" spans="1:12" x14ac:dyDescent="0.25">
      <c r="A13" s="9">
        <f t="shared" si="3"/>
        <v>11</v>
      </c>
      <c r="B13" s="8">
        <f t="shared" si="0"/>
        <v>1</v>
      </c>
      <c r="C13" s="8">
        <f t="shared" si="1"/>
        <v>11</v>
      </c>
      <c r="D13" s="8">
        <f>IF((Cash_Flow!$N12+IF($A13=Assumptions!$B$19,Assumptions!$B$18,0)+IF($A13=Assumptions!$B$23,Assumptions!$B$22,0))&gt;=Assumptions!$B$4*Assumptions!$B$15,INT((Cash_Flow!$N12+IF($A13=Assumptions!$B$19,Assumptions!$B$18,0)+IF($A13=Assumptions!$B$23,Assumptions!$B$22,0))/Assumptions!$B$4),0)</f>
        <v>0</v>
      </c>
      <c r="E13" s="8">
        <f>IF($A13&gt;Assumptions!$B$7,INDEX($D$3:$D$62,MATCH($A13-Assumptions!$B$7,$A$3:$A$62,0)),0)</f>
        <v>0</v>
      </c>
      <c r="F13" s="8">
        <f t="shared" si="4"/>
        <v>4</v>
      </c>
      <c r="G13" s="8">
        <f t="shared" si="5"/>
        <v>32</v>
      </c>
      <c r="H13" s="8">
        <f t="shared" si="2"/>
        <v>36</v>
      </c>
      <c r="I13" s="8">
        <f t="shared" si="6"/>
        <v>32</v>
      </c>
      <c r="J13" s="8">
        <f>_xlfn.LET(
    _xlpm.PrevMonth,$A12,
    _xlpm.PrevCars,$G12,
    _xlpm.PrevGrossProfit,Income_Statement!$J12,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3" s="8">
        <f t="shared" si="7"/>
        <v>0</v>
      </c>
    </row>
    <row r="14" spans="1:12" x14ac:dyDescent="0.25">
      <c r="A14" s="9">
        <f t="shared" si="3"/>
        <v>12</v>
      </c>
      <c r="B14" s="8">
        <f t="shared" si="0"/>
        <v>1</v>
      </c>
      <c r="C14" s="8">
        <f t="shared" si="1"/>
        <v>12</v>
      </c>
      <c r="D14" s="8">
        <f>IF((Cash_Flow!$N13+IF($A14=Assumptions!$B$19,Assumptions!$B$18,0)+IF($A14=Assumptions!$B$23,Assumptions!$B$22,0))&gt;=Assumptions!$B$4*Assumptions!$B$15,INT((Cash_Flow!$N13+IF($A14=Assumptions!$B$19,Assumptions!$B$18,0)+IF($A14=Assumptions!$B$23,Assumptions!$B$22,0))/Assumptions!$B$4),0)</f>
        <v>0</v>
      </c>
      <c r="E14" s="8">
        <f>IF($A14&gt;Assumptions!$B$7,INDEX($D$3:$D$62,MATCH($A14-Assumptions!$B$7,$A$3:$A$62,0)),0)</f>
        <v>0</v>
      </c>
      <c r="F14" s="8">
        <f t="shared" si="4"/>
        <v>4</v>
      </c>
      <c r="G14" s="8">
        <f t="shared" si="5"/>
        <v>32</v>
      </c>
      <c r="H14" s="8">
        <f t="shared" si="2"/>
        <v>36</v>
      </c>
      <c r="I14" s="8">
        <f t="shared" si="6"/>
        <v>32</v>
      </c>
      <c r="J14" s="8">
        <f>_xlfn.LET(
    _xlpm.PrevMonth,$A13,
    _xlpm.PrevCars,$G13,
    _xlpm.PrevGrossProfit,Income_Statement!$J13,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4" s="8">
        <f t="shared" si="7"/>
        <v>0</v>
      </c>
    </row>
    <row r="15" spans="1:12" x14ac:dyDescent="0.25">
      <c r="A15" s="9">
        <f t="shared" si="3"/>
        <v>13</v>
      </c>
      <c r="B15" s="8">
        <f t="shared" si="0"/>
        <v>2</v>
      </c>
      <c r="C15" s="8">
        <f t="shared" si="1"/>
        <v>1</v>
      </c>
      <c r="D15" s="8">
        <f>IF((Cash_Flow!$N14+IF($A15=Assumptions!$B$19,Assumptions!$B$18,0)+IF($A15=Assumptions!$B$23,Assumptions!$B$22,0))&gt;=Assumptions!$B$4*Assumptions!$B$15,INT((Cash_Flow!$N14+IF($A15=Assumptions!$B$19,Assumptions!$B$18,0)+IF($A15=Assumptions!$B$23,Assumptions!$B$22,0))/Assumptions!$B$4),0)</f>
        <v>4</v>
      </c>
      <c r="E15" s="8">
        <f>IF($A15&gt;Assumptions!$B$7,INDEX($D$3:$D$62,MATCH($A15-Assumptions!$B$7,$A$3:$A$62,0)),0)</f>
        <v>4</v>
      </c>
      <c r="F15" s="8">
        <f t="shared" si="4"/>
        <v>4</v>
      </c>
      <c r="G15" s="8">
        <f t="shared" si="5"/>
        <v>36</v>
      </c>
      <c r="H15" s="8">
        <f t="shared" si="2"/>
        <v>40</v>
      </c>
      <c r="I15" s="8">
        <f t="shared" si="6"/>
        <v>36</v>
      </c>
      <c r="J15" s="8">
        <f>_xlfn.LET(
    _xlpm.PrevMonth,$A14,
    _xlpm.PrevCars,$G14,
    _xlpm.PrevGrossProfit,Income_Statement!$J14,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5" s="8">
        <f t="shared" si="7"/>
        <v>0</v>
      </c>
    </row>
    <row r="16" spans="1:12" x14ac:dyDescent="0.25">
      <c r="A16" s="9">
        <f t="shared" si="3"/>
        <v>14</v>
      </c>
      <c r="B16" s="8">
        <f t="shared" si="0"/>
        <v>2</v>
      </c>
      <c r="C16" s="8">
        <f t="shared" si="1"/>
        <v>2</v>
      </c>
      <c r="D16" s="8">
        <f>IF((Cash_Flow!$N15+IF($A16=Assumptions!$B$19,Assumptions!$B$18,0)+IF($A16=Assumptions!$B$23,Assumptions!$B$22,0))&gt;=Assumptions!$B$4*Assumptions!$B$15,INT((Cash_Flow!$N15+IF($A16=Assumptions!$B$19,Assumptions!$B$18,0)+IF($A16=Assumptions!$B$23,Assumptions!$B$22,0))/Assumptions!$B$4),0)</f>
        <v>0</v>
      </c>
      <c r="E16" s="8">
        <f>IF($A16&gt;Assumptions!$B$7,INDEX($D$3:$D$62,MATCH($A16-Assumptions!$B$7,$A$3:$A$62,0)),0)</f>
        <v>0</v>
      </c>
      <c r="F16" s="8">
        <f t="shared" si="4"/>
        <v>4</v>
      </c>
      <c r="G16" s="8">
        <f t="shared" si="5"/>
        <v>36</v>
      </c>
      <c r="H16" s="8">
        <f t="shared" si="2"/>
        <v>40</v>
      </c>
      <c r="I16" s="8">
        <f t="shared" si="6"/>
        <v>36</v>
      </c>
      <c r="J16" s="8">
        <f>_xlfn.LET(
    _xlpm.PrevMonth,$A15,
    _xlpm.PrevCars,$G15,
    _xlpm.PrevGrossProfit,Income_Statement!$J15,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6" s="8">
        <f t="shared" si="7"/>
        <v>0</v>
      </c>
    </row>
    <row r="17" spans="1:11" x14ac:dyDescent="0.25">
      <c r="A17" s="9">
        <f t="shared" si="3"/>
        <v>15</v>
      </c>
      <c r="B17" s="8">
        <f t="shared" si="0"/>
        <v>2</v>
      </c>
      <c r="C17" s="8">
        <f t="shared" si="1"/>
        <v>3</v>
      </c>
      <c r="D17" s="8">
        <f>IF((Cash_Flow!$N16+IF($A17=Assumptions!$B$19,Assumptions!$B$18,0)+IF($A17=Assumptions!$B$23,Assumptions!$B$22,0))&gt;=Assumptions!$B$4*Assumptions!$B$15,INT((Cash_Flow!$N16+IF($A17=Assumptions!$B$19,Assumptions!$B$18,0)+IF($A17=Assumptions!$B$23,Assumptions!$B$22,0))/Assumptions!$B$4),0)</f>
        <v>0</v>
      </c>
      <c r="E17" s="8">
        <f>IF($A17&gt;Assumptions!$B$7,INDEX($D$3:$D$62,MATCH($A17-Assumptions!$B$7,$A$3:$A$62,0)),0)</f>
        <v>0</v>
      </c>
      <c r="F17" s="8">
        <f t="shared" si="4"/>
        <v>4</v>
      </c>
      <c r="G17" s="8">
        <f t="shared" si="5"/>
        <v>36</v>
      </c>
      <c r="H17" s="8">
        <f t="shared" si="2"/>
        <v>40</v>
      </c>
      <c r="I17" s="8">
        <f t="shared" si="6"/>
        <v>36</v>
      </c>
      <c r="J17" s="8">
        <f>_xlfn.LET(
    _xlpm.PrevMonth,$A16,
    _xlpm.PrevCars,$G16,
    _xlpm.PrevGrossProfit,Income_Statement!$J16,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7" s="8">
        <f t="shared" si="7"/>
        <v>0</v>
      </c>
    </row>
    <row r="18" spans="1:11" x14ac:dyDescent="0.25">
      <c r="A18" s="9">
        <f t="shared" si="3"/>
        <v>16</v>
      </c>
      <c r="B18" s="8">
        <f t="shared" si="0"/>
        <v>2</v>
      </c>
      <c r="C18" s="8">
        <f t="shared" si="1"/>
        <v>4</v>
      </c>
      <c r="D18" s="8">
        <f>IF((Cash_Flow!$N17+IF($A18=Assumptions!$B$19,Assumptions!$B$18,0)+IF($A18=Assumptions!$B$23,Assumptions!$B$22,0))&gt;=Assumptions!$B$4*Assumptions!$B$15,INT((Cash_Flow!$N17+IF($A18=Assumptions!$B$19,Assumptions!$B$18,0)+IF($A18=Assumptions!$B$23,Assumptions!$B$22,0))/Assumptions!$B$4),0)</f>
        <v>0</v>
      </c>
      <c r="E18" s="8">
        <f>IF($A18&gt;Assumptions!$B$7,INDEX($D$3:$D$62,MATCH($A18-Assumptions!$B$7,$A$3:$A$62,0)),0)</f>
        <v>4</v>
      </c>
      <c r="F18" s="8">
        <f t="shared" si="4"/>
        <v>0</v>
      </c>
      <c r="G18" s="8">
        <f t="shared" si="5"/>
        <v>40</v>
      </c>
      <c r="H18" s="8">
        <f t="shared" si="2"/>
        <v>40</v>
      </c>
      <c r="I18" s="8">
        <f t="shared" si="6"/>
        <v>40</v>
      </c>
      <c r="J18" s="8">
        <f>_xlfn.LET(
    _xlpm.PrevMonth,$A17,
    _xlpm.PrevCars,$G17,
    _xlpm.PrevGrossProfit,Income_Statement!$J17,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8" s="8">
        <f t="shared" si="7"/>
        <v>0</v>
      </c>
    </row>
    <row r="19" spans="1:11" x14ac:dyDescent="0.25">
      <c r="A19" s="9">
        <f t="shared" si="3"/>
        <v>17</v>
      </c>
      <c r="B19" s="8">
        <f t="shared" si="0"/>
        <v>2</v>
      </c>
      <c r="C19" s="8">
        <f t="shared" si="1"/>
        <v>5</v>
      </c>
      <c r="D19" s="8">
        <f>IF((Cash_Flow!$N18+IF($A19=Assumptions!$B$19,Assumptions!$B$18,0)+IF($A19=Assumptions!$B$23,Assumptions!$B$22,0))&gt;=Assumptions!$B$4*Assumptions!$B$15,INT((Cash_Flow!$N18+IF($A19=Assumptions!$B$19,Assumptions!$B$18,0)+IF($A19=Assumptions!$B$23,Assumptions!$B$22,0))/Assumptions!$B$4),0)</f>
        <v>0</v>
      </c>
      <c r="E19" s="8">
        <f>IF($A19&gt;Assumptions!$B$7,INDEX($D$3:$D$62,MATCH($A19-Assumptions!$B$7,$A$3:$A$62,0)),0)</f>
        <v>0</v>
      </c>
      <c r="F19" s="8">
        <f t="shared" si="4"/>
        <v>0</v>
      </c>
      <c r="G19" s="8">
        <f t="shared" si="5"/>
        <v>40</v>
      </c>
      <c r="H19" s="8">
        <f t="shared" si="2"/>
        <v>40</v>
      </c>
      <c r="I19" s="8">
        <f t="shared" si="6"/>
        <v>40</v>
      </c>
      <c r="J19" s="8">
        <f>_xlfn.LET(
    _xlpm.PrevMonth,$A18,
    _xlpm.PrevCars,$G18,
    _xlpm.PrevGrossProfit,Income_Statement!$J18,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9" s="8">
        <f t="shared" si="7"/>
        <v>0</v>
      </c>
    </row>
    <row r="20" spans="1:11" x14ac:dyDescent="0.25">
      <c r="A20" s="9">
        <f t="shared" si="3"/>
        <v>18</v>
      </c>
      <c r="B20" s="8">
        <f t="shared" si="0"/>
        <v>2</v>
      </c>
      <c r="C20" s="8">
        <f t="shared" si="1"/>
        <v>6</v>
      </c>
      <c r="D20" s="8">
        <f>IF((Cash_Flow!$N19+IF($A20=Assumptions!$B$19,Assumptions!$B$18,0)+IF($A20=Assumptions!$B$23,Assumptions!$B$22,0))&gt;=Assumptions!$B$4*Assumptions!$B$15,INT((Cash_Flow!$N19+IF($A20=Assumptions!$B$19,Assumptions!$B$18,0)+IF($A20=Assumptions!$B$23,Assumptions!$B$22,0))/Assumptions!$B$4),0)</f>
        <v>0</v>
      </c>
      <c r="E20" s="8">
        <f>IF($A20&gt;Assumptions!$B$7,INDEX($D$3:$D$62,MATCH($A20-Assumptions!$B$7,$A$3:$A$62,0)),0)</f>
        <v>0</v>
      </c>
      <c r="F20" s="8">
        <f t="shared" si="4"/>
        <v>0</v>
      </c>
      <c r="G20" s="8">
        <f t="shared" si="5"/>
        <v>40</v>
      </c>
      <c r="H20" s="8">
        <f t="shared" si="2"/>
        <v>40</v>
      </c>
      <c r="I20" s="8">
        <f t="shared" si="6"/>
        <v>40</v>
      </c>
      <c r="J20" s="8">
        <f>_xlfn.LET(
    _xlpm.PrevMonth,$A19,
    _xlpm.PrevCars,$G19,
    _xlpm.PrevGrossProfit,Income_Statement!$J19,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0" s="8">
        <f t="shared" si="7"/>
        <v>0</v>
      </c>
    </row>
    <row r="21" spans="1:11" x14ac:dyDescent="0.25">
      <c r="A21" s="9">
        <f t="shared" si="3"/>
        <v>19</v>
      </c>
      <c r="B21" s="8">
        <f t="shared" si="0"/>
        <v>2</v>
      </c>
      <c r="C21" s="8">
        <f t="shared" si="1"/>
        <v>7</v>
      </c>
      <c r="D21" s="8">
        <f>IF((Cash_Flow!$N20+IF($A21=Assumptions!$B$19,Assumptions!$B$18,0)+IF($A21=Assumptions!$B$23,Assumptions!$B$22,0))&gt;=Assumptions!$B$4*Assumptions!$B$15,INT((Cash_Flow!$N20+IF($A21=Assumptions!$B$19,Assumptions!$B$18,0)+IF($A21=Assumptions!$B$23,Assumptions!$B$22,0))/Assumptions!$B$4),0)</f>
        <v>0</v>
      </c>
      <c r="E21" s="8">
        <f>IF($A21&gt;Assumptions!$B$7,INDEX($D$3:$D$62,MATCH($A21-Assumptions!$B$7,$A$3:$A$62,0)),0)</f>
        <v>0</v>
      </c>
      <c r="F21" s="8">
        <f t="shared" si="4"/>
        <v>0</v>
      </c>
      <c r="G21" s="8">
        <f t="shared" si="5"/>
        <v>40</v>
      </c>
      <c r="H21" s="8">
        <f t="shared" si="2"/>
        <v>40</v>
      </c>
      <c r="I21" s="8">
        <f t="shared" si="6"/>
        <v>40</v>
      </c>
      <c r="J21" s="8">
        <f>_xlfn.LET(
    _xlpm.PrevMonth,$A20,
    _xlpm.PrevCars,$G20,
    _xlpm.PrevGrossProfit,Income_Statement!$J20,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1" s="8">
        <f t="shared" si="7"/>
        <v>0</v>
      </c>
    </row>
    <row r="22" spans="1:11" x14ac:dyDescent="0.25">
      <c r="A22" s="9">
        <f t="shared" si="3"/>
        <v>20</v>
      </c>
      <c r="B22" s="8">
        <f t="shared" si="0"/>
        <v>2</v>
      </c>
      <c r="C22" s="8">
        <f t="shared" si="1"/>
        <v>8</v>
      </c>
      <c r="D22" s="8">
        <f>IF((Cash_Flow!$N21+IF($A22=Assumptions!$B$19,Assumptions!$B$18,0)+IF($A22=Assumptions!$B$23,Assumptions!$B$22,0))&gt;=Assumptions!$B$4*Assumptions!$B$15,INT((Cash_Flow!$N21+IF($A22=Assumptions!$B$19,Assumptions!$B$18,0)+IF($A22=Assumptions!$B$23,Assumptions!$B$22,0))/Assumptions!$B$4),0)</f>
        <v>0</v>
      </c>
      <c r="E22" s="8">
        <f>IF($A22&gt;Assumptions!$B$7,INDEX($D$3:$D$62,MATCH($A22-Assumptions!$B$7,$A$3:$A$62,0)),0)</f>
        <v>0</v>
      </c>
      <c r="F22" s="8">
        <f t="shared" si="4"/>
        <v>0</v>
      </c>
      <c r="G22" s="8">
        <f t="shared" si="5"/>
        <v>40</v>
      </c>
      <c r="H22" s="8">
        <f t="shared" si="2"/>
        <v>40</v>
      </c>
      <c r="I22" s="8">
        <f t="shared" si="6"/>
        <v>40</v>
      </c>
      <c r="J22" s="8">
        <f>_xlfn.LET(
    _xlpm.PrevMonth,$A21,
    _xlpm.PrevCars,$G21,
    _xlpm.PrevGrossProfit,Income_Statement!$J21,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2" s="8">
        <f t="shared" si="7"/>
        <v>0</v>
      </c>
    </row>
    <row r="23" spans="1:11" x14ac:dyDescent="0.25">
      <c r="A23" s="9">
        <f t="shared" si="3"/>
        <v>21</v>
      </c>
      <c r="B23" s="8">
        <f t="shared" si="0"/>
        <v>2</v>
      </c>
      <c r="C23" s="8">
        <f t="shared" si="1"/>
        <v>9</v>
      </c>
      <c r="D23" s="8">
        <f>IF((Cash_Flow!$N22+IF($A23=Assumptions!$B$19,Assumptions!$B$18,0)+IF($A23=Assumptions!$B$23,Assumptions!$B$22,0))&gt;=Assumptions!$B$4*Assumptions!$B$15,INT((Cash_Flow!$N22+IF($A23=Assumptions!$B$19,Assumptions!$B$18,0)+IF($A23=Assumptions!$B$23,Assumptions!$B$22,0))/Assumptions!$B$4),0)</f>
        <v>0</v>
      </c>
      <c r="E23" s="8">
        <f>IF($A23&gt;Assumptions!$B$7,INDEX($D$3:$D$62,MATCH($A23-Assumptions!$B$7,$A$3:$A$62,0)),0)</f>
        <v>0</v>
      </c>
      <c r="F23" s="8">
        <f t="shared" si="4"/>
        <v>0</v>
      </c>
      <c r="G23" s="8">
        <f t="shared" si="5"/>
        <v>40</v>
      </c>
      <c r="H23" s="8">
        <f t="shared" si="2"/>
        <v>40</v>
      </c>
      <c r="I23" s="8">
        <f t="shared" si="6"/>
        <v>40</v>
      </c>
      <c r="J23" s="8">
        <f>_xlfn.LET(
    _xlpm.PrevMonth,$A22,
    _xlpm.PrevCars,$G22,
    _xlpm.PrevGrossProfit,Income_Statement!$J22,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3" s="8">
        <f t="shared" si="7"/>
        <v>0</v>
      </c>
    </row>
    <row r="24" spans="1:11" x14ac:dyDescent="0.25">
      <c r="A24" s="9">
        <f t="shared" si="3"/>
        <v>22</v>
      </c>
      <c r="B24" s="8">
        <f t="shared" si="0"/>
        <v>2</v>
      </c>
      <c r="C24" s="8">
        <f t="shared" si="1"/>
        <v>10</v>
      </c>
      <c r="D24" s="8">
        <f>IF((Cash_Flow!$N23+IF($A24=Assumptions!$B$19,Assumptions!$B$18,0)+IF($A24=Assumptions!$B$23,Assumptions!$B$22,0))&gt;=Assumptions!$B$4*Assumptions!$B$15,INT((Cash_Flow!$N23+IF($A24=Assumptions!$B$19,Assumptions!$B$18,0)+IF($A24=Assumptions!$B$23,Assumptions!$B$22,0))/Assumptions!$B$4),0)</f>
        <v>0</v>
      </c>
      <c r="E24" s="8">
        <f>IF($A24&gt;Assumptions!$B$7,INDEX($D$3:$D$62,MATCH($A24-Assumptions!$B$7,$A$3:$A$62,0)),0)</f>
        <v>0</v>
      </c>
      <c r="F24" s="8">
        <f t="shared" si="4"/>
        <v>0</v>
      </c>
      <c r="G24" s="8">
        <f t="shared" si="5"/>
        <v>40</v>
      </c>
      <c r="H24" s="8">
        <f t="shared" si="2"/>
        <v>40</v>
      </c>
      <c r="I24" s="8">
        <f t="shared" si="6"/>
        <v>40</v>
      </c>
      <c r="J24" s="8">
        <f>_xlfn.LET(
    _xlpm.PrevMonth,$A23,
    _xlpm.PrevCars,$G23,
    _xlpm.PrevGrossProfit,Income_Statement!$J23,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4" s="8">
        <f t="shared" si="7"/>
        <v>0</v>
      </c>
    </row>
    <row r="25" spans="1:11" x14ac:dyDescent="0.25">
      <c r="A25" s="9">
        <f t="shared" si="3"/>
        <v>23</v>
      </c>
      <c r="B25" s="8">
        <f t="shared" si="0"/>
        <v>2</v>
      </c>
      <c r="C25" s="8">
        <f t="shared" si="1"/>
        <v>11</v>
      </c>
      <c r="D25" s="8">
        <f>IF((Cash_Flow!$N24+IF($A25=Assumptions!$B$19,Assumptions!$B$18,0)+IF($A25=Assumptions!$B$23,Assumptions!$B$22,0))&gt;=Assumptions!$B$4*Assumptions!$B$15,INT((Cash_Flow!$N24+IF($A25=Assumptions!$B$19,Assumptions!$B$18,0)+IF($A25=Assumptions!$B$23,Assumptions!$B$22,0))/Assumptions!$B$4),0)</f>
        <v>0</v>
      </c>
      <c r="E25" s="8">
        <f>IF($A25&gt;Assumptions!$B$7,INDEX($D$3:$D$62,MATCH($A25-Assumptions!$B$7,$A$3:$A$62,0)),0)</f>
        <v>0</v>
      </c>
      <c r="F25" s="8">
        <f t="shared" si="4"/>
        <v>0</v>
      </c>
      <c r="G25" s="8">
        <f t="shared" si="5"/>
        <v>40</v>
      </c>
      <c r="H25" s="8">
        <f t="shared" si="2"/>
        <v>40</v>
      </c>
      <c r="I25" s="8">
        <f t="shared" si="6"/>
        <v>40</v>
      </c>
      <c r="J25" s="8">
        <f>_xlfn.LET(
    _xlpm.PrevMonth,$A24,
    _xlpm.PrevCars,$G24,
    _xlpm.PrevGrossProfit,Income_Statement!$J24,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5" s="8">
        <f t="shared" si="7"/>
        <v>0</v>
      </c>
    </row>
    <row r="26" spans="1:11" x14ac:dyDescent="0.25">
      <c r="A26" s="9">
        <f t="shared" si="3"/>
        <v>24</v>
      </c>
      <c r="B26" s="8">
        <f t="shared" si="0"/>
        <v>2</v>
      </c>
      <c r="C26" s="8">
        <f t="shared" si="1"/>
        <v>12</v>
      </c>
      <c r="D26" s="8">
        <f>IF((Cash_Flow!$N25+IF($A26=Assumptions!$B$19,Assumptions!$B$18,0)+IF($A26=Assumptions!$B$23,Assumptions!$B$22,0))&gt;=Assumptions!$B$4*Assumptions!$B$15,INT((Cash_Flow!$N25+IF($A26=Assumptions!$B$19,Assumptions!$B$18,0)+IF($A26=Assumptions!$B$23,Assumptions!$B$22,0))/Assumptions!$B$4),0)</f>
        <v>0</v>
      </c>
      <c r="E26" s="8">
        <f>IF($A26&gt;Assumptions!$B$7,INDEX($D$3:$D$62,MATCH($A26-Assumptions!$B$7,$A$3:$A$62,0)),0)</f>
        <v>0</v>
      </c>
      <c r="F26" s="8">
        <f t="shared" si="4"/>
        <v>0</v>
      </c>
      <c r="G26" s="8">
        <f t="shared" si="5"/>
        <v>40</v>
      </c>
      <c r="H26" s="8">
        <f t="shared" si="2"/>
        <v>40</v>
      </c>
      <c r="I26" s="8">
        <f t="shared" si="6"/>
        <v>40</v>
      </c>
      <c r="J26" s="8">
        <f>_xlfn.LET(
    _xlpm.PrevMonth,$A25,
    _xlpm.PrevCars,$G25,
    _xlpm.PrevGrossProfit,Income_Statement!$J25,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6" s="8">
        <f t="shared" si="7"/>
        <v>0</v>
      </c>
    </row>
    <row r="27" spans="1:11" x14ac:dyDescent="0.25">
      <c r="A27" s="9">
        <f t="shared" si="3"/>
        <v>25</v>
      </c>
      <c r="B27" s="8">
        <f t="shared" si="0"/>
        <v>3</v>
      </c>
      <c r="C27" s="8">
        <f t="shared" si="1"/>
        <v>1</v>
      </c>
      <c r="D27" s="8">
        <f>IF((Cash_Flow!$N26+IF($A27=Assumptions!$B$19,Assumptions!$B$18,0)+IF($A27=Assumptions!$B$23,Assumptions!$B$22,0))&gt;=Assumptions!$B$4*Assumptions!$B$15,INT((Cash_Flow!$N26+IF($A27=Assumptions!$B$19,Assumptions!$B$18,0)+IF($A27=Assumptions!$B$23,Assumptions!$B$22,0))/Assumptions!$B$4),0)</f>
        <v>0</v>
      </c>
      <c r="E27" s="8">
        <f>IF($A27&gt;Assumptions!$B$7,INDEX($D$3:$D$62,MATCH($A27-Assumptions!$B$7,$A$3:$A$62,0)),0)</f>
        <v>0</v>
      </c>
      <c r="F27" s="8">
        <f t="shared" si="4"/>
        <v>0</v>
      </c>
      <c r="G27" s="8">
        <f t="shared" si="5"/>
        <v>40</v>
      </c>
      <c r="H27" s="8">
        <f t="shared" si="2"/>
        <v>40</v>
      </c>
      <c r="I27" s="8">
        <f t="shared" si="6"/>
        <v>40</v>
      </c>
      <c r="J27" s="8">
        <f>_xlfn.LET(
    _xlpm.PrevMonth,$A26,
    _xlpm.PrevCars,$G26,
    _xlpm.PrevGrossProfit,Income_Statement!$J26,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7" s="8">
        <f t="shared" si="7"/>
        <v>0</v>
      </c>
    </row>
    <row r="28" spans="1:11" x14ac:dyDescent="0.25">
      <c r="A28" s="9">
        <f t="shared" si="3"/>
        <v>26</v>
      </c>
      <c r="B28" s="8">
        <f t="shared" si="0"/>
        <v>3</v>
      </c>
      <c r="C28" s="8">
        <f t="shared" si="1"/>
        <v>2</v>
      </c>
      <c r="D28" s="8">
        <f>IF((Cash_Flow!$N27+IF($A28=Assumptions!$B$19,Assumptions!$B$18,0)+IF($A28=Assumptions!$B$23,Assumptions!$B$22,0))&gt;=Assumptions!$B$4*Assumptions!$B$15,INT((Cash_Flow!$N27+IF($A28=Assumptions!$B$19,Assumptions!$B$18,0)+IF($A28=Assumptions!$B$23,Assumptions!$B$22,0))/Assumptions!$B$4),0)</f>
        <v>0</v>
      </c>
      <c r="E28" s="8">
        <f>IF($A28&gt;Assumptions!$B$7,INDEX($D$3:$D$62,MATCH($A28-Assumptions!$B$7,$A$3:$A$62,0)),0)</f>
        <v>0</v>
      </c>
      <c r="F28" s="8">
        <f t="shared" si="4"/>
        <v>0</v>
      </c>
      <c r="G28" s="8">
        <f t="shared" si="5"/>
        <v>40</v>
      </c>
      <c r="H28" s="8">
        <f t="shared" si="2"/>
        <v>40</v>
      </c>
      <c r="I28" s="8">
        <f t="shared" si="6"/>
        <v>40</v>
      </c>
      <c r="J28" s="8">
        <f>_xlfn.LET(
    _xlpm.PrevMonth,$A27,
    _xlpm.PrevCars,$G27,
    _xlpm.PrevGrossProfit,Income_Statement!$J27,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8" s="8">
        <f t="shared" si="7"/>
        <v>0</v>
      </c>
    </row>
    <row r="29" spans="1:11" x14ac:dyDescent="0.25">
      <c r="A29" s="9">
        <f t="shared" si="3"/>
        <v>27</v>
      </c>
      <c r="B29" s="8">
        <f t="shared" si="0"/>
        <v>3</v>
      </c>
      <c r="C29" s="8">
        <f t="shared" si="1"/>
        <v>3</v>
      </c>
      <c r="D29" s="8">
        <f>IF((Cash_Flow!$N28+IF($A29=Assumptions!$B$19,Assumptions!$B$18,0)+IF($A29=Assumptions!$B$23,Assumptions!$B$22,0))&gt;=Assumptions!$B$4*Assumptions!$B$15,INT((Cash_Flow!$N28+IF($A29=Assumptions!$B$19,Assumptions!$B$18,0)+IF($A29=Assumptions!$B$23,Assumptions!$B$22,0))/Assumptions!$B$4),0)</f>
        <v>0</v>
      </c>
      <c r="E29" s="8">
        <f>IF($A29&gt;Assumptions!$B$7,INDEX($D$3:$D$62,MATCH($A29-Assumptions!$B$7,$A$3:$A$62,0)),0)</f>
        <v>0</v>
      </c>
      <c r="F29" s="8">
        <f t="shared" si="4"/>
        <v>0</v>
      </c>
      <c r="G29" s="8">
        <f t="shared" si="5"/>
        <v>40</v>
      </c>
      <c r="H29" s="8">
        <f t="shared" si="2"/>
        <v>40</v>
      </c>
      <c r="I29" s="8">
        <f t="shared" si="6"/>
        <v>40</v>
      </c>
      <c r="J29" s="8">
        <f>_xlfn.LET(
    _xlpm.PrevMonth,$A28,
    _xlpm.PrevCars,$G28,
    _xlpm.PrevGrossProfit,Income_Statement!$J28,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9" s="8">
        <f t="shared" si="7"/>
        <v>0</v>
      </c>
    </row>
    <row r="30" spans="1:11" x14ac:dyDescent="0.25">
      <c r="A30" s="9">
        <f t="shared" si="3"/>
        <v>28</v>
      </c>
      <c r="B30" s="8">
        <f t="shared" si="0"/>
        <v>3</v>
      </c>
      <c r="C30" s="8">
        <f t="shared" si="1"/>
        <v>4</v>
      </c>
      <c r="D30" s="8">
        <f>IF((Cash_Flow!$N29+IF($A30=Assumptions!$B$19,Assumptions!$B$18,0)+IF($A30=Assumptions!$B$23,Assumptions!$B$22,0))&gt;=Assumptions!$B$4*Assumptions!$B$15,INT((Cash_Flow!$N29+IF($A30=Assumptions!$B$19,Assumptions!$B$18,0)+IF($A30=Assumptions!$B$23,Assumptions!$B$22,0))/Assumptions!$B$4),0)</f>
        <v>0</v>
      </c>
      <c r="E30" s="8">
        <f>IF($A30&gt;Assumptions!$B$7,INDEX($D$3:$D$62,MATCH($A30-Assumptions!$B$7,$A$3:$A$62,0)),0)</f>
        <v>0</v>
      </c>
      <c r="F30" s="8">
        <f t="shared" si="4"/>
        <v>0</v>
      </c>
      <c r="G30" s="8">
        <f t="shared" si="5"/>
        <v>40</v>
      </c>
      <c r="H30" s="8">
        <f t="shared" si="2"/>
        <v>40</v>
      </c>
      <c r="I30" s="8">
        <f t="shared" si="6"/>
        <v>40</v>
      </c>
      <c r="J30" s="8">
        <f>_xlfn.LET(
    _xlpm.PrevMonth,$A29,
    _xlpm.PrevCars,$G29,
    _xlpm.PrevGrossProfit,Income_Statement!$J29,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0" s="8">
        <f t="shared" si="7"/>
        <v>0</v>
      </c>
    </row>
    <row r="31" spans="1:11" x14ac:dyDescent="0.25">
      <c r="A31" s="9">
        <f t="shared" si="3"/>
        <v>29</v>
      </c>
      <c r="B31" s="8">
        <f t="shared" si="0"/>
        <v>3</v>
      </c>
      <c r="C31" s="8">
        <f t="shared" si="1"/>
        <v>5</v>
      </c>
      <c r="D31" s="8">
        <f>IF((Cash_Flow!$N30+IF($A31=Assumptions!$B$19,Assumptions!$B$18,0)+IF($A31=Assumptions!$B$23,Assumptions!$B$22,0))&gt;=Assumptions!$B$4*Assumptions!$B$15,INT((Cash_Flow!$N30+IF($A31=Assumptions!$B$19,Assumptions!$B$18,0)+IF($A31=Assumptions!$B$23,Assumptions!$B$22,0))/Assumptions!$B$4),0)</f>
        <v>0</v>
      </c>
      <c r="E31" s="8">
        <f>IF($A31&gt;Assumptions!$B$7,INDEX($D$3:$D$62,MATCH($A31-Assumptions!$B$7,$A$3:$A$62,0)),0)</f>
        <v>0</v>
      </c>
      <c r="F31" s="8">
        <f t="shared" si="4"/>
        <v>0</v>
      </c>
      <c r="G31" s="8">
        <f t="shared" si="5"/>
        <v>40</v>
      </c>
      <c r="H31" s="8">
        <f t="shared" si="2"/>
        <v>40</v>
      </c>
      <c r="I31" s="8">
        <f t="shared" si="6"/>
        <v>40</v>
      </c>
      <c r="J31" s="8">
        <f>_xlfn.LET(
    _xlpm.PrevMonth,$A30,
    _xlpm.PrevCars,$G30,
    _xlpm.PrevGrossProfit,Income_Statement!$J30,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1" s="8">
        <f t="shared" si="7"/>
        <v>0</v>
      </c>
    </row>
    <row r="32" spans="1:11" x14ac:dyDescent="0.25">
      <c r="A32" s="9">
        <f t="shared" si="3"/>
        <v>30</v>
      </c>
      <c r="B32" s="8">
        <f t="shared" si="0"/>
        <v>3</v>
      </c>
      <c r="C32" s="8">
        <f t="shared" si="1"/>
        <v>6</v>
      </c>
      <c r="D32" s="8">
        <f>IF((Cash_Flow!$N31+IF($A32=Assumptions!$B$19,Assumptions!$B$18,0)+IF($A32=Assumptions!$B$23,Assumptions!$B$22,0))&gt;=Assumptions!$B$4*Assumptions!$B$15,INT((Cash_Flow!$N31+IF($A32=Assumptions!$B$19,Assumptions!$B$18,0)+IF($A32=Assumptions!$B$23,Assumptions!$B$22,0))/Assumptions!$B$4),0)</f>
        <v>0</v>
      </c>
      <c r="E32" s="8">
        <f>IF($A32&gt;Assumptions!$B$7,INDEX($D$3:$D$62,MATCH($A32-Assumptions!$B$7,$A$3:$A$62,0)),0)</f>
        <v>0</v>
      </c>
      <c r="F32" s="8">
        <f t="shared" si="4"/>
        <v>0</v>
      </c>
      <c r="G32" s="8">
        <f t="shared" si="5"/>
        <v>40</v>
      </c>
      <c r="H32" s="8">
        <f t="shared" si="2"/>
        <v>40</v>
      </c>
      <c r="I32" s="8">
        <f t="shared" si="6"/>
        <v>40</v>
      </c>
      <c r="J32" s="8">
        <f>_xlfn.LET(
    _xlpm.PrevMonth,$A31,
    _xlpm.PrevCars,$G31,
    _xlpm.PrevGrossProfit,Income_Statement!$J31,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2" s="8">
        <f t="shared" si="7"/>
        <v>0</v>
      </c>
    </row>
    <row r="33" spans="1:11" x14ac:dyDescent="0.25">
      <c r="A33" s="9">
        <f t="shared" si="3"/>
        <v>31</v>
      </c>
      <c r="B33" s="8">
        <f t="shared" si="0"/>
        <v>3</v>
      </c>
      <c r="C33" s="8">
        <f t="shared" si="1"/>
        <v>7</v>
      </c>
      <c r="D33" s="8">
        <f>IF((Cash_Flow!$N32+IF($A33=Assumptions!$B$19,Assumptions!$B$18,0)+IF($A33=Assumptions!$B$23,Assumptions!$B$22,0))&gt;=Assumptions!$B$4*Assumptions!$B$15,INT((Cash_Flow!$N32+IF($A33=Assumptions!$B$19,Assumptions!$B$18,0)+IF($A33=Assumptions!$B$23,Assumptions!$B$22,0))/Assumptions!$B$4),0)</f>
        <v>0</v>
      </c>
      <c r="E33" s="8">
        <f>IF($A33&gt;Assumptions!$B$7,INDEX($D$3:$D$62,MATCH($A33-Assumptions!$B$7,$A$3:$A$62,0)),0)</f>
        <v>0</v>
      </c>
      <c r="F33" s="8">
        <f t="shared" si="4"/>
        <v>0</v>
      </c>
      <c r="G33" s="8">
        <f t="shared" si="5"/>
        <v>40</v>
      </c>
      <c r="H33" s="8">
        <f t="shared" si="2"/>
        <v>40</v>
      </c>
      <c r="I33" s="8">
        <f t="shared" si="6"/>
        <v>40</v>
      </c>
      <c r="J33" s="8">
        <f>_xlfn.LET(
    _xlpm.PrevMonth,$A32,
    _xlpm.PrevCars,$G32,
    _xlpm.PrevGrossProfit,Income_Statement!$J32,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3" s="8">
        <f t="shared" si="7"/>
        <v>0</v>
      </c>
    </row>
    <row r="34" spans="1:11" x14ac:dyDescent="0.25">
      <c r="A34" s="9">
        <f t="shared" si="3"/>
        <v>32</v>
      </c>
      <c r="B34" s="8">
        <f t="shared" si="0"/>
        <v>3</v>
      </c>
      <c r="C34" s="8">
        <f t="shared" si="1"/>
        <v>8</v>
      </c>
      <c r="D34" s="8">
        <f>IF((Cash_Flow!$N33+IF($A34=Assumptions!$B$19,Assumptions!$B$18,0)+IF($A34=Assumptions!$B$23,Assumptions!$B$22,0))&gt;=Assumptions!$B$4*Assumptions!$B$15,INT((Cash_Flow!$N33+IF($A34=Assumptions!$B$19,Assumptions!$B$18,0)+IF($A34=Assumptions!$B$23,Assumptions!$B$22,0))/Assumptions!$B$4),0)</f>
        <v>0</v>
      </c>
      <c r="E34" s="8">
        <f>IF($A34&gt;Assumptions!$B$7,INDEX($D$3:$D$62,MATCH($A34-Assumptions!$B$7,$A$3:$A$62,0)),0)</f>
        <v>0</v>
      </c>
      <c r="F34" s="8">
        <f t="shared" si="4"/>
        <v>0</v>
      </c>
      <c r="G34" s="8">
        <f t="shared" si="5"/>
        <v>40</v>
      </c>
      <c r="H34" s="8">
        <f t="shared" si="2"/>
        <v>40</v>
      </c>
      <c r="I34" s="8">
        <f t="shared" si="6"/>
        <v>40</v>
      </c>
      <c r="J34" s="8">
        <f>_xlfn.LET(
    _xlpm.PrevMonth,$A33,
    _xlpm.PrevCars,$G33,
    _xlpm.PrevGrossProfit,Income_Statement!$J33,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4" s="8">
        <f t="shared" si="7"/>
        <v>0</v>
      </c>
    </row>
    <row r="35" spans="1:11" x14ac:dyDescent="0.25">
      <c r="A35" s="9">
        <f t="shared" si="3"/>
        <v>33</v>
      </c>
      <c r="B35" s="8">
        <f t="shared" ref="B35:B62" si="8">INT(($A35-1)/12)+1</f>
        <v>3</v>
      </c>
      <c r="C35" s="8">
        <f t="shared" ref="C35:C62" si="9">MOD($A35-1,12)+1</f>
        <v>9</v>
      </c>
      <c r="D35" s="8">
        <f>IF((Cash_Flow!$N34+IF($A35=Assumptions!$B$19,Assumptions!$B$18,0)+IF($A35=Assumptions!$B$23,Assumptions!$B$22,0))&gt;=Assumptions!$B$4*Assumptions!$B$15,INT((Cash_Flow!$N34+IF($A35=Assumptions!$B$19,Assumptions!$B$18,0)+IF($A35=Assumptions!$B$23,Assumptions!$B$22,0))/Assumptions!$B$4),0)</f>
        <v>0</v>
      </c>
      <c r="E35" s="8">
        <f>IF($A35&gt;Assumptions!$B$7,INDEX($D$3:$D$62,MATCH($A35-Assumptions!$B$7,$A$3:$A$62,0)),0)</f>
        <v>0</v>
      </c>
      <c r="F35" s="8">
        <f t="shared" si="4"/>
        <v>0</v>
      </c>
      <c r="G35" s="8">
        <f t="shared" si="5"/>
        <v>40</v>
      </c>
      <c r="H35" s="8">
        <f t="shared" ref="H35:H62" si="10">$G35+$F35</f>
        <v>40</v>
      </c>
      <c r="I35" s="8">
        <f t="shared" si="6"/>
        <v>40</v>
      </c>
      <c r="J35" s="8">
        <f>_xlfn.LET(
    _xlpm.PrevMonth,$A34,
    _xlpm.PrevCars,$G34,
    _xlpm.PrevGrossProfit,Income_Statement!$J34,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5" s="8">
        <f t="shared" si="7"/>
        <v>0</v>
      </c>
    </row>
    <row r="36" spans="1:11" x14ac:dyDescent="0.25">
      <c r="A36" s="9">
        <f t="shared" ref="A36:A62" si="11">$A35+1</f>
        <v>34</v>
      </c>
      <c r="B36" s="8">
        <f t="shared" si="8"/>
        <v>3</v>
      </c>
      <c r="C36" s="8">
        <f t="shared" si="9"/>
        <v>10</v>
      </c>
      <c r="D36" s="8">
        <f>IF((Cash_Flow!$N35+IF($A36=Assumptions!$B$19,Assumptions!$B$18,0)+IF($A36=Assumptions!$B$23,Assumptions!$B$22,0))&gt;=Assumptions!$B$4*Assumptions!$B$15,INT((Cash_Flow!$N35+IF($A36=Assumptions!$B$19,Assumptions!$B$18,0)+IF($A36=Assumptions!$B$23,Assumptions!$B$22,0))/Assumptions!$B$4),0)</f>
        <v>0</v>
      </c>
      <c r="E36" s="8">
        <f>IF($A36&gt;Assumptions!$B$7,INDEX($D$3:$D$62,MATCH($A36-Assumptions!$B$7,$A$3:$A$62,0)),0)</f>
        <v>0</v>
      </c>
      <c r="F36" s="8">
        <f t="shared" ref="F36:F62" si="12">$F35+$D36-$E36</f>
        <v>0</v>
      </c>
      <c r="G36" s="8">
        <f t="shared" ref="G36:G62" si="13">$G35+$E36-$J36</f>
        <v>40</v>
      </c>
      <c r="H36" s="8">
        <f t="shared" si="10"/>
        <v>40</v>
      </c>
      <c r="I36" s="8">
        <f t="shared" ref="I36:I62" si="14">$I35+$E36</f>
        <v>40</v>
      </c>
      <c r="J36" s="8">
        <f>_xlfn.LET(
    _xlpm.PrevMonth,$A35,
    _xlpm.PrevCars,$G35,
    _xlpm.PrevGrossProfit,Income_Statement!$J35,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6" s="8">
        <f t="shared" ref="K36:K62" si="15">$J36+$K35</f>
        <v>0</v>
      </c>
    </row>
    <row r="37" spans="1:11" x14ac:dyDescent="0.25">
      <c r="A37" s="9">
        <f t="shared" si="11"/>
        <v>35</v>
      </c>
      <c r="B37" s="8">
        <f t="shared" si="8"/>
        <v>3</v>
      </c>
      <c r="C37" s="8">
        <f t="shared" si="9"/>
        <v>11</v>
      </c>
      <c r="D37" s="8">
        <f>IF((Cash_Flow!$N36+IF($A37=Assumptions!$B$19,Assumptions!$B$18,0)+IF($A37=Assumptions!$B$23,Assumptions!$B$22,0))&gt;=Assumptions!$B$4*Assumptions!$B$15,INT((Cash_Flow!$N36+IF($A37=Assumptions!$B$19,Assumptions!$B$18,0)+IF($A37=Assumptions!$B$23,Assumptions!$B$22,0))/Assumptions!$B$4),0)</f>
        <v>0</v>
      </c>
      <c r="E37" s="8">
        <f>IF($A37&gt;Assumptions!$B$7,INDEX($D$3:$D$62,MATCH($A37-Assumptions!$B$7,$A$3:$A$62,0)),0)</f>
        <v>0</v>
      </c>
      <c r="F37" s="8">
        <f t="shared" si="12"/>
        <v>0</v>
      </c>
      <c r="G37" s="8">
        <f t="shared" si="13"/>
        <v>40</v>
      </c>
      <c r="H37" s="8">
        <f t="shared" si="10"/>
        <v>40</v>
      </c>
      <c r="I37" s="8">
        <f t="shared" si="14"/>
        <v>40</v>
      </c>
      <c r="J37" s="8">
        <f>_xlfn.LET(
    _xlpm.PrevMonth,$A36,
    _xlpm.PrevCars,$G36,
    _xlpm.PrevGrossProfit,Income_Statement!$J36,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7" s="8">
        <f t="shared" si="15"/>
        <v>0</v>
      </c>
    </row>
    <row r="38" spans="1:11" x14ac:dyDescent="0.25">
      <c r="A38" s="9">
        <f t="shared" si="11"/>
        <v>36</v>
      </c>
      <c r="B38" s="8">
        <f t="shared" si="8"/>
        <v>3</v>
      </c>
      <c r="C38" s="8">
        <f t="shared" si="9"/>
        <v>12</v>
      </c>
      <c r="D38" s="8">
        <f>IF((Cash_Flow!$N37+IF($A38=Assumptions!$B$19,Assumptions!$B$18,0)+IF($A38=Assumptions!$B$23,Assumptions!$B$22,0))&gt;=Assumptions!$B$4*Assumptions!$B$15,INT((Cash_Flow!$N37+IF($A38=Assumptions!$B$19,Assumptions!$B$18,0)+IF($A38=Assumptions!$B$23,Assumptions!$B$22,0))/Assumptions!$B$4),0)</f>
        <v>0</v>
      </c>
      <c r="E38" s="8">
        <f>IF($A38&gt;Assumptions!$B$7,INDEX($D$3:$D$62,MATCH($A38-Assumptions!$B$7,$A$3:$A$62,0)),0)</f>
        <v>0</v>
      </c>
      <c r="F38" s="8">
        <f t="shared" si="12"/>
        <v>0</v>
      </c>
      <c r="G38" s="8">
        <f t="shared" si="13"/>
        <v>40</v>
      </c>
      <c r="H38" s="8">
        <f t="shared" si="10"/>
        <v>40</v>
      </c>
      <c r="I38" s="8">
        <f t="shared" si="14"/>
        <v>40</v>
      </c>
      <c r="J38" s="8">
        <f>_xlfn.LET(
    _xlpm.PrevMonth,$A37,
    _xlpm.PrevCars,$G37,
    _xlpm.PrevGrossProfit,Income_Statement!$J37,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8" s="8">
        <f t="shared" si="15"/>
        <v>0</v>
      </c>
    </row>
    <row r="39" spans="1:11" x14ac:dyDescent="0.25">
      <c r="A39" s="9">
        <f t="shared" si="11"/>
        <v>37</v>
      </c>
      <c r="B39" s="8">
        <f t="shared" si="8"/>
        <v>4</v>
      </c>
      <c r="C39" s="8">
        <f t="shared" si="9"/>
        <v>1</v>
      </c>
      <c r="D39" s="8">
        <f>IF((Cash_Flow!$N38+IF($A39=Assumptions!$B$19,Assumptions!$B$18,0)+IF($A39=Assumptions!$B$23,Assumptions!$B$22,0))&gt;=Assumptions!$B$4*Assumptions!$B$15,INT((Cash_Flow!$N38+IF($A39=Assumptions!$B$19,Assumptions!$B$18,0)+IF($A39=Assumptions!$B$23,Assumptions!$B$22,0))/Assumptions!$B$4),0)</f>
        <v>0</v>
      </c>
      <c r="E39" s="8">
        <f>IF($A39&gt;Assumptions!$B$7,INDEX($D$3:$D$62,MATCH($A39-Assumptions!$B$7,$A$3:$A$62,0)),0)</f>
        <v>0</v>
      </c>
      <c r="F39" s="8">
        <f t="shared" si="12"/>
        <v>0</v>
      </c>
      <c r="G39" s="8">
        <f t="shared" si="13"/>
        <v>40</v>
      </c>
      <c r="H39" s="8">
        <f t="shared" si="10"/>
        <v>40</v>
      </c>
      <c r="I39" s="8">
        <f t="shared" si="14"/>
        <v>40</v>
      </c>
      <c r="J39" s="8">
        <f>_xlfn.LET(
    _xlpm.PrevMonth,$A38,
    _xlpm.PrevCars,$G38,
    _xlpm.PrevGrossProfit,Income_Statement!$J38,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9" s="8">
        <f t="shared" si="15"/>
        <v>0</v>
      </c>
    </row>
    <row r="40" spans="1:11" x14ac:dyDescent="0.25">
      <c r="A40" s="9">
        <f t="shared" si="11"/>
        <v>38</v>
      </c>
      <c r="B40" s="8">
        <f t="shared" si="8"/>
        <v>4</v>
      </c>
      <c r="C40" s="8">
        <f t="shared" si="9"/>
        <v>2</v>
      </c>
      <c r="D40" s="8">
        <f>IF((Cash_Flow!$N39+IF($A40=Assumptions!$B$19,Assumptions!$B$18,0)+IF($A40=Assumptions!$B$23,Assumptions!$B$22,0))&gt;=Assumptions!$B$4*Assumptions!$B$15,INT((Cash_Flow!$N39+IF($A40=Assumptions!$B$19,Assumptions!$B$18,0)+IF($A40=Assumptions!$B$23,Assumptions!$B$22,0))/Assumptions!$B$4),0)</f>
        <v>0</v>
      </c>
      <c r="E40" s="8">
        <f>IF($A40&gt;Assumptions!$B$7,INDEX($D$3:$D$62,MATCH($A40-Assumptions!$B$7,$A$3:$A$62,0)),0)</f>
        <v>0</v>
      </c>
      <c r="F40" s="8">
        <f t="shared" si="12"/>
        <v>0</v>
      </c>
      <c r="G40" s="8">
        <f t="shared" si="13"/>
        <v>40</v>
      </c>
      <c r="H40" s="8">
        <f t="shared" si="10"/>
        <v>40</v>
      </c>
      <c r="I40" s="8">
        <f t="shared" si="14"/>
        <v>40</v>
      </c>
      <c r="J40" s="8">
        <f>_xlfn.LET(
    _xlpm.PrevMonth,$A39,
    _xlpm.PrevCars,$G39,
    _xlpm.PrevGrossProfit,Income_Statement!$J39,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0" s="8">
        <f t="shared" si="15"/>
        <v>0</v>
      </c>
    </row>
    <row r="41" spans="1:11" x14ac:dyDescent="0.25">
      <c r="A41" s="9">
        <f t="shared" si="11"/>
        <v>39</v>
      </c>
      <c r="B41" s="8">
        <f t="shared" si="8"/>
        <v>4</v>
      </c>
      <c r="C41" s="8">
        <f t="shared" si="9"/>
        <v>3</v>
      </c>
      <c r="D41" s="8">
        <f>IF((Cash_Flow!$N40+IF($A41=Assumptions!$B$19,Assumptions!$B$18,0)+IF($A41=Assumptions!$B$23,Assumptions!$B$22,0))&gt;=Assumptions!$B$4*Assumptions!$B$15,INT((Cash_Flow!$N40+IF($A41=Assumptions!$B$19,Assumptions!$B$18,0)+IF($A41=Assumptions!$B$23,Assumptions!$B$22,0))/Assumptions!$B$4),0)</f>
        <v>0</v>
      </c>
      <c r="E41" s="8">
        <f>IF($A41&gt;Assumptions!$B$7,INDEX($D$3:$D$62,MATCH($A41-Assumptions!$B$7,$A$3:$A$62,0)),0)</f>
        <v>0</v>
      </c>
      <c r="F41" s="8">
        <f t="shared" si="12"/>
        <v>0</v>
      </c>
      <c r="G41" s="8">
        <f t="shared" si="13"/>
        <v>40</v>
      </c>
      <c r="H41" s="8">
        <f t="shared" si="10"/>
        <v>40</v>
      </c>
      <c r="I41" s="8">
        <f t="shared" si="14"/>
        <v>40</v>
      </c>
      <c r="J41" s="8">
        <f>_xlfn.LET(
    _xlpm.PrevMonth,$A40,
    _xlpm.PrevCars,$G40,
    _xlpm.PrevGrossProfit,Income_Statement!$J40,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1" s="8">
        <f t="shared" si="15"/>
        <v>0</v>
      </c>
    </row>
    <row r="42" spans="1:11" x14ac:dyDescent="0.25">
      <c r="A42" s="9">
        <f t="shared" si="11"/>
        <v>40</v>
      </c>
      <c r="B42" s="8">
        <f t="shared" si="8"/>
        <v>4</v>
      </c>
      <c r="C42" s="8">
        <f t="shared" si="9"/>
        <v>4</v>
      </c>
      <c r="D42" s="8">
        <f>IF((Cash_Flow!$N41+IF($A42=Assumptions!$B$19,Assumptions!$B$18,0)+IF($A42=Assumptions!$B$23,Assumptions!$B$22,0))&gt;=Assumptions!$B$4*Assumptions!$B$15,INT((Cash_Flow!$N41+IF($A42=Assumptions!$B$19,Assumptions!$B$18,0)+IF($A42=Assumptions!$B$23,Assumptions!$B$22,0))/Assumptions!$B$4),0)</f>
        <v>0</v>
      </c>
      <c r="E42" s="8">
        <f>IF($A42&gt;Assumptions!$B$7,INDEX($D$3:$D$62,MATCH($A42-Assumptions!$B$7,$A$3:$A$62,0)),0)</f>
        <v>0</v>
      </c>
      <c r="F42" s="8">
        <f t="shared" si="12"/>
        <v>0</v>
      </c>
      <c r="G42" s="8">
        <f t="shared" si="13"/>
        <v>40</v>
      </c>
      <c r="H42" s="8">
        <f t="shared" si="10"/>
        <v>40</v>
      </c>
      <c r="I42" s="8">
        <f t="shared" si="14"/>
        <v>40</v>
      </c>
      <c r="J42" s="8">
        <f>_xlfn.LET(
    _xlpm.PrevMonth,$A41,
    _xlpm.PrevCars,$G41,
    _xlpm.PrevGrossProfit,Income_Statement!$J41,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2" s="8">
        <f t="shared" si="15"/>
        <v>0</v>
      </c>
    </row>
    <row r="43" spans="1:11" x14ac:dyDescent="0.25">
      <c r="A43" s="9">
        <f t="shared" si="11"/>
        <v>41</v>
      </c>
      <c r="B43" s="8">
        <f t="shared" si="8"/>
        <v>4</v>
      </c>
      <c r="C43" s="8">
        <f t="shared" si="9"/>
        <v>5</v>
      </c>
      <c r="D43" s="8">
        <f>IF((Cash_Flow!$N42+IF($A43=Assumptions!$B$19,Assumptions!$B$18,0)+IF($A43=Assumptions!$B$23,Assumptions!$B$22,0))&gt;=Assumptions!$B$4*Assumptions!$B$15,INT((Cash_Flow!$N42+IF($A43=Assumptions!$B$19,Assumptions!$B$18,0)+IF($A43=Assumptions!$B$23,Assumptions!$B$22,0))/Assumptions!$B$4),0)</f>
        <v>0</v>
      </c>
      <c r="E43" s="8">
        <f>IF($A43&gt;Assumptions!$B$7,INDEX($D$3:$D$62,MATCH($A43-Assumptions!$B$7,$A$3:$A$62,0)),0)</f>
        <v>0</v>
      </c>
      <c r="F43" s="8">
        <f t="shared" si="12"/>
        <v>0</v>
      </c>
      <c r="G43" s="8">
        <f t="shared" si="13"/>
        <v>40</v>
      </c>
      <c r="H43" s="8">
        <f t="shared" si="10"/>
        <v>40</v>
      </c>
      <c r="I43" s="8">
        <f t="shared" si="14"/>
        <v>40</v>
      </c>
      <c r="J43" s="8">
        <f>_xlfn.LET(
    _xlpm.PrevMonth,$A42,
    _xlpm.PrevCars,$G42,
    _xlpm.PrevGrossProfit,Income_Statement!$J42,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3" s="8">
        <f t="shared" si="15"/>
        <v>0</v>
      </c>
    </row>
    <row r="44" spans="1:11" x14ac:dyDescent="0.25">
      <c r="A44" s="9">
        <f t="shared" si="11"/>
        <v>42</v>
      </c>
      <c r="B44" s="8">
        <f t="shared" si="8"/>
        <v>4</v>
      </c>
      <c r="C44" s="8">
        <f t="shared" si="9"/>
        <v>6</v>
      </c>
      <c r="D44" s="8">
        <f>IF((Cash_Flow!$N43+IF($A44=Assumptions!$B$19,Assumptions!$B$18,0)+IF($A44=Assumptions!$B$23,Assumptions!$B$22,0))&gt;=Assumptions!$B$4*Assumptions!$B$15,INT((Cash_Flow!$N43+IF($A44=Assumptions!$B$19,Assumptions!$B$18,0)+IF($A44=Assumptions!$B$23,Assumptions!$B$22,0))/Assumptions!$B$4),0)</f>
        <v>0</v>
      </c>
      <c r="E44" s="8">
        <f>IF($A44&gt;Assumptions!$B$7,INDEX($D$3:$D$62,MATCH($A44-Assumptions!$B$7,$A$3:$A$62,0)),0)</f>
        <v>0</v>
      </c>
      <c r="F44" s="8">
        <f t="shared" si="12"/>
        <v>0</v>
      </c>
      <c r="G44" s="8">
        <f t="shared" si="13"/>
        <v>40</v>
      </c>
      <c r="H44" s="8">
        <f t="shared" si="10"/>
        <v>40</v>
      </c>
      <c r="I44" s="8">
        <f t="shared" si="14"/>
        <v>40</v>
      </c>
      <c r="J44" s="8">
        <f>_xlfn.LET(
    _xlpm.PrevMonth,$A43,
    _xlpm.PrevCars,$G43,
    _xlpm.PrevGrossProfit,Income_Statement!$J43,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4" s="8">
        <f t="shared" si="15"/>
        <v>0</v>
      </c>
    </row>
    <row r="45" spans="1:11" x14ac:dyDescent="0.25">
      <c r="A45" s="9">
        <f t="shared" si="11"/>
        <v>43</v>
      </c>
      <c r="B45" s="8">
        <f t="shared" si="8"/>
        <v>4</v>
      </c>
      <c r="C45" s="8">
        <f t="shared" si="9"/>
        <v>7</v>
      </c>
      <c r="D45" s="8">
        <f>IF((Cash_Flow!$N44+IF($A45=Assumptions!$B$19,Assumptions!$B$18,0)+IF($A45=Assumptions!$B$23,Assumptions!$B$22,0))&gt;=Assumptions!$B$4*Assumptions!$B$15,INT((Cash_Flow!$N44+IF($A45=Assumptions!$B$19,Assumptions!$B$18,0)+IF($A45=Assumptions!$B$23,Assumptions!$B$22,0))/Assumptions!$B$4),0)</f>
        <v>0</v>
      </c>
      <c r="E45" s="8">
        <f>IF($A45&gt;Assumptions!$B$7,INDEX($D$3:$D$62,MATCH($A45-Assumptions!$B$7,$A$3:$A$62,0)),0)</f>
        <v>0</v>
      </c>
      <c r="F45" s="8">
        <f t="shared" si="12"/>
        <v>0</v>
      </c>
      <c r="G45" s="8">
        <f t="shared" si="13"/>
        <v>40</v>
      </c>
      <c r="H45" s="8">
        <f t="shared" si="10"/>
        <v>40</v>
      </c>
      <c r="I45" s="8">
        <f t="shared" si="14"/>
        <v>40</v>
      </c>
      <c r="J45" s="8">
        <f>_xlfn.LET(
    _xlpm.PrevMonth,$A44,
    _xlpm.PrevCars,$G44,
    _xlpm.PrevGrossProfit,Income_Statement!$J44,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5" s="8">
        <f t="shared" si="15"/>
        <v>0</v>
      </c>
    </row>
    <row r="46" spans="1:11" x14ac:dyDescent="0.25">
      <c r="A46" s="9">
        <f t="shared" si="11"/>
        <v>44</v>
      </c>
      <c r="B46" s="8">
        <f t="shared" si="8"/>
        <v>4</v>
      </c>
      <c r="C46" s="8">
        <f t="shared" si="9"/>
        <v>8</v>
      </c>
      <c r="D46" s="8">
        <f>IF((Cash_Flow!$N45+IF($A46=Assumptions!$B$19,Assumptions!$B$18,0)+IF($A46=Assumptions!$B$23,Assumptions!$B$22,0))&gt;=Assumptions!$B$4*Assumptions!$B$15,INT((Cash_Flow!$N45+IF($A46=Assumptions!$B$19,Assumptions!$B$18,0)+IF($A46=Assumptions!$B$23,Assumptions!$B$22,0))/Assumptions!$B$4),0)</f>
        <v>0</v>
      </c>
      <c r="E46" s="8">
        <f>IF($A46&gt;Assumptions!$B$7,INDEX($D$3:$D$62,MATCH($A46-Assumptions!$B$7,$A$3:$A$62,0)),0)</f>
        <v>0</v>
      </c>
      <c r="F46" s="8">
        <f t="shared" si="12"/>
        <v>0</v>
      </c>
      <c r="G46" s="8">
        <f t="shared" si="13"/>
        <v>40</v>
      </c>
      <c r="H46" s="8">
        <f t="shared" si="10"/>
        <v>40</v>
      </c>
      <c r="I46" s="8">
        <f t="shared" si="14"/>
        <v>40</v>
      </c>
      <c r="J46" s="8">
        <f>_xlfn.LET(
    _xlpm.PrevMonth,$A45,
    _xlpm.PrevCars,$G45,
    _xlpm.PrevGrossProfit,Income_Statement!$J45,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6" s="8">
        <f t="shared" si="15"/>
        <v>0</v>
      </c>
    </row>
    <row r="47" spans="1:11" x14ac:dyDescent="0.25">
      <c r="A47" s="9">
        <f t="shared" si="11"/>
        <v>45</v>
      </c>
      <c r="B47" s="8">
        <f t="shared" si="8"/>
        <v>4</v>
      </c>
      <c r="C47" s="8">
        <f t="shared" si="9"/>
        <v>9</v>
      </c>
      <c r="D47" s="8">
        <f>IF((Cash_Flow!$N46+IF($A47=Assumptions!$B$19,Assumptions!$B$18,0)+IF($A47=Assumptions!$B$23,Assumptions!$B$22,0))&gt;=Assumptions!$B$4*Assumptions!$B$15,INT((Cash_Flow!$N46+IF($A47=Assumptions!$B$19,Assumptions!$B$18,0)+IF($A47=Assumptions!$B$23,Assumptions!$B$22,0))/Assumptions!$B$4),0)</f>
        <v>0</v>
      </c>
      <c r="E47" s="8">
        <f>IF($A47&gt;Assumptions!$B$7,INDEX($D$3:$D$62,MATCH($A47-Assumptions!$B$7,$A$3:$A$62,0)),0)</f>
        <v>0</v>
      </c>
      <c r="F47" s="8">
        <f t="shared" si="12"/>
        <v>0</v>
      </c>
      <c r="G47" s="8">
        <f t="shared" si="13"/>
        <v>40</v>
      </c>
      <c r="H47" s="8">
        <f t="shared" si="10"/>
        <v>40</v>
      </c>
      <c r="I47" s="8">
        <f t="shared" si="14"/>
        <v>40</v>
      </c>
      <c r="J47" s="8">
        <f>_xlfn.LET(
    _xlpm.PrevMonth,$A46,
    _xlpm.PrevCars,$G46,
    _xlpm.PrevGrossProfit,Income_Statement!$J46,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7" s="8">
        <f t="shared" si="15"/>
        <v>0</v>
      </c>
    </row>
    <row r="48" spans="1:11" x14ac:dyDescent="0.25">
      <c r="A48" s="9">
        <f t="shared" si="11"/>
        <v>46</v>
      </c>
      <c r="B48" s="8">
        <f t="shared" si="8"/>
        <v>4</v>
      </c>
      <c r="C48" s="8">
        <f t="shared" si="9"/>
        <v>10</v>
      </c>
      <c r="D48" s="8">
        <f>IF((Cash_Flow!$N47+IF($A48=Assumptions!$B$19,Assumptions!$B$18,0)+IF($A48=Assumptions!$B$23,Assumptions!$B$22,0))&gt;=Assumptions!$B$4*Assumptions!$B$15,INT((Cash_Flow!$N47+IF($A48=Assumptions!$B$19,Assumptions!$B$18,0)+IF($A48=Assumptions!$B$23,Assumptions!$B$22,0))/Assumptions!$B$4),0)</f>
        <v>0</v>
      </c>
      <c r="E48" s="8">
        <f>IF($A48&gt;Assumptions!$B$7,INDEX($D$3:$D$62,MATCH($A48-Assumptions!$B$7,$A$3:$A$62,0)),0)</f>
        <v>0</v>
      </c>
      <c r="F48" s="8">
        <f t="shared" si="12"/>
        <v>0</v>
      </c>
      <c r="G48" s="8">
        <f t="shared" si="13"/>
        <v>40</v>
      </c>
      <c r="H48" s="8">
        <f t="shared" si="10"/>
        <v>40</v>
      </c>
      <c r="I48" s="8">
        <f t="shared" si="14"/>
        <v>40</v>
      </c>
      <c r="J48" s="8">
        <f>_xlfn.LET(
    _xlpm.PrevMonth,$A47,
    _xlpm.PrevCars,$G47,
    _xlpm.PrevGrossProfit,Income_Statement!$J47,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8" s="8">
        <f t="shared" si="15"/>
        <v>0</v>
      </c>
    </row>
    <row r="49" spans="1:11" x14ac:dyDescent="0.25">
      <c r="A49" s="9">
        <f t="shared" si="11"/>
        <v>47</v>
      </c>
      <c r="B49" s="8">
        <f t="shared" si="8"/>
        <v>4</v>
      </c>
      <c r="C49" s="8">
        <f t="shared" si="9"/>
        <v>11</v>
      </c>
      <c r="D49" s="8">
        <f>IF((Cash_Flow!$N48+IF($A49=Assumptions!$B$19,Assumptions!$B$18,0)+IF($A49=Assumptions!$B$23,Assumptions!$B$22,0))&gt;=Assumptions!$B$4*Assumptions!$B$15,INT((Cash_Flow!$N48+IF($A49=Assumptions!$B$19,Assumptions!$B$18,0)+IF($A49=Assumptions!$B$23,Assumptions!$B$22,0))/Assumptions!$B$4),0)</f>
        <v>0</v>
      </c>
      <c r="E49" s="8">
        <f>IF($A49&gt;Assumptions!$B$7,INDEX($D$3:$D$62,MATCH($A49-Assumptions!$B$7,$A$3:$A$62,0)),0)</f>
        <v>0</v>
      </c>
      <c r="F49" s="8">
        <f t="shared" si="12"/>
        <v>0</v>
      </c>
      <c r="G49" s="8">
        <f t="shared" si="13"/>
        <v>40</v>
      </c>
      <c r="H49" s="8">
        <f t="shared" si="10"/>
        <v>40</v>
      </c>
      <c r="I49" s="8">
        <f t="shared" si="14"/>
        <v>40</v>
      </c>
      <c r="J49" s="8">
        <f>_xlfn.LET(
    _xlpm.PrevMonth,$A48,
    _xlpm.PrevCars,$G48,
    _xlpm.PrevGrossProfit,Income_Statement!$J48,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9" s="8">
        <f t="shared" si="15"/>
        <v>0</v>
      </c>
    </row>
    <row r="50" spans="1:11" x14ac:dyDescent="0.25">
      <c r="A50" s="9">
        <f t="shared" si="11"/>
        <v>48</v>
      </c>
      <c r="B50" s="8">
        <f t="shared" si="8"/>
        <v>4</v>
      </c>
      <c r="C50" s="8">
        <f t="shared" si="9"/>
        <v>12</v>
      </c>
      <c r="D50" s="8">
        <f>IF((Cash_Flow!$N49+IF($A50=Assumptions!$B$19,Assumptions!$B$18,0)+IF($A50=Assumptions!$B$23,Assumptions!$B$22,0))&gt;=Assumptions!$B$4*Assumptions!$B$15,INT((Cash_Flow!$N49+IF($A50=Assumptions!$B$19,Assumptions!$B$18,0)+IF($A50=Assumptions!$B$23,Assumptions!$B$22,0))/Assumptions!$B$4),0)</f>
        <v>0</v>
      </c>
      <c r="E50" s="8">
        <f>IF($A50&gt;Assumptions!$B$7,INDEX($D$3:$D$62,MATCH($A50-Assumptions!$B$7,$A$3:$A$62,0)),0)</f>
        <v>0</v>
      </c>
      <c r="F50" s="8">
        <f t="shared" si="12"/>
        <v>0</v>
      </c>
      <c r="G50" s="8">
        <f t="shared" si="13"/>
        <v>40</v>
      </c>
      <c r="H50" s="8">
        <f t="shared" si="10"/>
        <v>40</v>
      </c>
      <c r="I50" s="8">
        <f t="shared" si="14"/>
        <v>40</v>
      </c>
      <c r="J50" s="8">
        <f>_xlfn.LET(
    _xlpm.PrevMonth,$A49,
    _xlpm.PrevCars,$G49,
    _xlpm.PrevGrossProfit,Income_Statement!$J49,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0" s="8">
        <f t="shared" si="15"/>
        <v>0</v>
      </c>
    </row>
    <row r="51" spans="1:11" x14ac:dyDescent="0.25">
      <c r="A51" s="9">
        <f t="shared" si="11"/>
        <v>49</v>
      </c>
      <c r="B51" s="8">
        <f t="shared" si="8"/>
        <v>5</v>
      </c>
      <c r="C51" s="8">
        <f t="shared" si="9"/>
        <v>1</v>
      </c>
      <c r="D51" s="8">
        <f>IF((Cash_Flow!$N50+IF($A51=Assumptions!$B$19,Assumptions!$B$18,0)+IF($A51=Assumptions!$B$23,Assumptions!$B$22,0))&gt;=Assumptions!$B$4*Assumptions!$B$15,INT((Cash_Flow!$N50+IF($A51=Assumptions!$B$19,Assumptions!$B$18,0)+IF($A51=Assumptions!$B$23,Assumptions!$B$22,0))/Assumptions!$B$4),0)</f>
        <v>0</v>
      </c>
      <c r="E51" s="8">
        <f>IF($A51&gt;Assumptions!$B$7,INDEX($D$3:$D$62,MATCH($A51-Assumptions!$B$7,$A$3:$A$62,0)),0)</f>
        <v>0</v>
      </c>
      <c r="F51" s="8">
        <f t="shared" si="12"/>
        <v>0</v>
      </c>
      <c r="G51" s="8">
        <f t="shared" si="13"/>
        <v>40</v>
      </c>
      <c r="H51" s="8">
        <f t="shared" si="10"/>
        <v>40</v>
      </c>
      <c r="I51" s="8">
        <f t="shared" si="14"/>
        <v>40</v>
      </c>
      <c r="J51" s="8">
        <f>_xlfn.LET(
    _xlpm.PrevMonth,$A50,
    _xlpm.PrevCars,$G50,
    _xlpm.PrevGrossProfit,Income_Statement!$J50,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1" s="8">
        <f t="shared" si="15"/>
        <v>0</v>
      </c>
    </row>
    <row r="52" spans="1:11" x14ac:dyDescent="0.25">
      <c r="A52" s="9">
        <f t="shared" si="11"/>
        <v>50</v>
      </c>
      <c r="B52" s="8">
        <f t="shared" si="8"/>
        <v>5</v>
      </c>
      <c r="C52" s="8">
        <f t="shared" si="9"/>
        <v>2</v>
      </c>
      <c r="D52" s="8">
        <f>IF((Cash_Flow!$N51+IF($A52=Assumptions!$B$19,Assumptions!$B$18,0)+IF($A52=Assumptions!$B$23,Assumptions!$B$22,0))&gt;=Assumptions!$B$4*Assumptions!$B$15,INT((Cash_Flow!$N51+IF($A52=Assumptions!$B$19,Assumptions!$B$18,0)+IF($A52=Assumptions!$B$23,Assumptions!$B$22,0))/Assumptions!$B$4),0)</f>
        <v>0</v>
      </c>
      <c r="E52" s="8">
        <f>IF($A52&gt;Assumptions!$B$7,INDEX($D$3:$D$62,MATCH($A52-Assumptions!$B$7,$A$3:$A$62,0)),0)</f>
        <v>0</v>
      </c>
      <c r="F52" s="8">
        <f t="shared" si="12"/>
        <v>0</v>
      </c>
      <c r="G52" s="8">
        <f t="shared" si="13"/>
        <v>40</v>
      </c>
      <c r="H52" s="8">
        <f t="shared" si="10"/>
        <v>40</v>
      </c>
      <c r="I52" s="8">
        <f t="shared" si="14"/>
        <v>40</v>
      </c>
      <c r="J52" s="8">
        <f>_xlfn.LET(
    _xlpm.PrevMonth,$A51,
    _xlpm.PrevCars,$G51,
    _xlpm.PrevGrossProfit,Income_Statement!$J51,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2" s="8">
        <f t="shared" si="15"/>
        <v>0</v>
      </c>
    </row>
    <row r="53" spans="1:11" x14ac:dyDescent="0.25">
      <c r="A53" s="9">
        <f t="shared" si="11"/>
        <v>51</v>
      </c>
      <c r="B53" s="8">
        <f t="shared" si="8"/>
        <v>5</v>
      </c>
      <c r="C53" s="8">
        <f t="shared" si="9"/>
        <v>3</v>
      </c>
      <c r="D53" s="8">
        <f>IF((Cash_Flow!$N52+IF($A53=Assumptions!$B$19,Assumptions!$B$18,0)+IF($A53=Assumptions!$B$23,Assumptions!$B$22,0))&gt;=Assumptions!$B$4*Assumptions!$B$15,INT((Cash_Flow!$N52+IF($A53=Assumptions!$B$19,Assumptions!$B$18,0)+IF($A53=Assumptions!$B$23,Assumptions!$B$22,0))/Assumptions!$B$4),0)</f>
        <v>0</v>
      </c>
      <c r="E53" s="8">
        <f>IF($A53&gt;Assumptions!$B$7,INDEX($D$3:$D$62,MATCH($A53-Assumptions!$B$7,$A$3:$A$62,0)),0)</f>
        <v>0</v>
      </c>
      <c r="F53" s="8">
        <f t="shared" si="12"/>
        <v>0</v>
      </c>
      <c r="G53" s="8">
        <f t="shared" si="13"/>
        <v>40</v>
      </c>
      <c r="H53" s="8">
        <f t="shared" si="10"/>
        <v>40</v>
      </c>
      <c r="I53" s="8">
        <f t="shared" si="14"/>
        <v>40</v>
      </c>
      <c r="J53" s="8">
        <f>_xlfn.LET(
    _xlpm.PrevMonth,$A52,
    _xlpm.PrevCars,$G52,
    _xlpm.PrevGrossProfit,Income_Statement!$J52,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3" s="8">
        <f t="shared" si="15"/>
        <v>0</v>
      </c>
    </row>
    <row r="54" spans="1:11" x14ac:dyDescent="0.25">
      <c r="A54" s="9">
        <f t="shared" si="11"/>
        <v>52</v>
      </c>
      <c r="B54" s="8">
        <f t="shared" si="8"/>
        <v>5</v>
      </c>
      <c r="C54" s="8">
        <f t="shared" si="9"/>
        <v>4</v>
      </c>
      <c r="D54" s="8">
        <f>IF((Cash_Flow!$N53+IF($A54=Assumptions!$B$19,Assumptions!$B$18,0)+IF($A54=Assumptions!$B$23,Assumptions!$B$22,0))&gt;=Assumptions!$B$4*Assumptions!$B$15,INT((Cash_Flow!$N53+IF($A54=Assumptions!$B$19,Assumptions!$B$18,0)+IF($A54=Assumptions!$B$23,Assumptions!$B$22,0))/Assumptions!$B$4),0)</f>
        <v>0</v>
      </c>
      <c r="E54" s="8">
        <f>IF($A54&gt;Assumptions!$B$7,INDEX($D$3:$D$62,MATCH($A54-Assumptions!$B$7,$A$3:$A$62,0)),0)</f>
        <v>0</v>
      </c>
      <c r="F54" s="8">
        <f t="shared" si="12"/>
        <v>0</v>
      </c>
      <c r="G54" s="8">
        <f t="shared" si="13"/>
        <v>40</v>
      </c>
      <c r="H54" s="8">
        <f t="shared" si="10"/>
        <v>40</v>
      </c>
      <c r="I54" s="8">
        <f t="shared" si="14"/>
        <v>40</v>
      </c>
      <c r="J54" s="8">
        <f>_xlfn.LET(
    _xlpm.PrevMonth,$A53,
    _xlpm.PrevCars,$G53,
    _xlpm.PrevGrossProfit,Income_Statement!$J53,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4" s="8">
        <f t="shared" si="15"/>
        <v>0</v>
      </c>
    </row>
    <row r="55" spans="1:11" x14ac:dyDescent="0.25">
      <c r="A55" s="9">
        <f t="shared" si="11"/>
        <v>53</v>
      </c>
      <c r="B55" s="8">
        <f t="shared" si="8"/>
        <v>5</v>
      </c>
      <c r="C55" s="8">
        <f t="shared" si="9"/>
        <v>5</v>
      </c>
      <c r="D55" s="8">
        <f>IF((Cash_Flow!$N54+IF($A55=Assumptions!$B$19,Assumptions!$B$18,0)+IF($A55=Assumptions!$B$23,Assumptions!$B$22,0))&gt;=Assumptions!$B$4*Assumptions!$B$15,INT((Cash_Flow!$N54+IF($A55=Assumptions!$B$19,Assumptions!$B$18,0)+IF($A55=Assumptions!$B$23,Assumptions!$B$22,0))/Assumptions!$B$4),0)</f>
        <v>0</v>
      </c>
      <c r="E55" s="8">
        <f>IF($A55&gt;Assumptions!$B$7,INDEX($D$3:$D$62,MATCH($A55-Assumptions!$B$7,$A$3:$A$62,0)),0)</f>
        <v>0</v>
      </c>
      <c r="F55" s="8">
        <f t="shared" si="12"/>
        <v>0</v>
      </c>
      <c r="G55" s="8">
        <f t="shared" si="13"/>
        <v>40</v>
      </c>
      <c r="H55" s="8">
        <f t="shared" si="10"/>
        <v>40</v>
      </c>
      <c r="I55" s="8">
        <f t="shared" si="14"/>
        <v>40</v>
      </c>
      <c r="J55" s="8">
        <f>_xlfn.LET(
    _xlpm.PrevMonth,$A54,
    _xlpm.PrevCars,$G54,
    _xlpm.PrevGrossProfit,Income_Statement!$J54,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5" s="8">
        <f t="shared" si="15"/>
        <v>0</v>
      </c>
    </row>
    <row r="56" spans="1:11" x14ac:dyDescent="0.25">
      <c r="A56" s="9">
        <f t="shared" si="11"/>
        <v>54</v>
      </c>
      <c r="B56" s="8">
        <f t="shared" si="8"/>
        <v>5</v>
      </c>
      <c r="C56" s="8">
        <f t="shared" si="9"/>
        <v>6</v>
      </c>
      <c r="D56" s="8">
        <f>IF((Cash_Flow!$N55+IF($A56=Assumptions!$B$19,Assumptions!$B$18,0)+IF($A56=Assumptions!$B$23,Assumptions!$B$22,0))&gt;=Assumptions!$B$4*Assumptions!$B$15,INT((Cash_Flow!$N55+IF($A56=Assumptions!$B$19,Assumptions!$B$18,0)+IF($A56=Assumptions!$B$23,Assumptions!$B$22,0))/Assumptions!$B$4),0)</f>
        <v>0</v>
      </c>
      <c r="E56" s="8">
        <f>IF($A56&gt;Assumptions!$B$7,INDEX($D$3:$D$62,MATCH($A56-Assumptions!$B$7,$A$3:$A$62,0)),0)</f>
        <v>0</v>
      </c>
      <c r="F56" s="8">
        <f t="shared" si="12"/>
        <v>0</v>
      </c>
      <c r="G56" s="8">
        <f t="shared" si="13"/>
        <v>40</v>
      </c>
      <c r="H56" s="8">
        <f t="shared" si="10"/>
        <v>40</v>
      </c>
      <c r="I56" s="8">
        <f t="shared" si="14"/>
        <v>40</v>
      </c>
      <c r="J56" s="8">
        <f>_xlfn.LET(
    _xlpm.PrevMonth,$A55,
    _xlpm.PrevCars,$G55,
    _xlpm.PrevGrossProfit,Income_Statement!$J55,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6" s="8">
        <f t="shared" si="15"/>
        <v>0</v>
      </c>
    </row>
    <row r="57" spans="1:11" x14ac:dyDescent="0.25">
      <c r="A57" s="9">
        <f t="shared" si="11"/>
        <v>55</v>
      </c>
      <c r="B57" s="8">
        <f t="shared" si="8"/>
        <v>5</v>
      </c>
      <c r="C57" s="8">
        <f t="shared" si="9"/>
        <v>7</v>
      </c>
      <c r="D57" s="8">
        <f>IF((Cash_Flow!$N56+IF($A57=Assumptions!$B$19,Assumptions!$B$18,0)+IF($A57=Assumptions!$B$23,Assumptions!$B$22,0))&gt;=Assumptions!$B$4*Assumptions!$B$15,INT((Cash_Flow!$N56+IF($A57=Assumptions!$B$19,Assumptions!$B$18,0)+IF($A57=Assumptions!$B$23,Assumptions!$B$22,0))/Assumptions!$B$4),0)</f>
        <v>0</v>
      </c>
      <c r="E57" s="8">
        <f>IF($A57&gt;Assumptions!$B$7,INDEX($D$3:$D$62,MATCH($A57-Assumptions!$B$7,$A$3:$A$62,0)),0)</f>
        <v>0</v>
      </c>
      <c r="F57" s="8">
        <f t="shared" si="12"/>
        <v>0</v>
      </c>
      <c r="G57" s="8">
        <f t="shared" si="13"/>
        <v>40</v>
      </c>
      <c r="H57" s="8">
        <f t="shared" si="10"/>
        <v>40</v>
      </c>
      <c r="I57" s="8">
        <f t="shared" si="14"/>
        <v>40</v>
      </c>
      <c r="J57" s="8">
        <f>_xlfn.LET(
    _xlpm.PrevMonth,$A56,
    _xlpm.PrevCars,$G56,
    _xlpm.PrevGrossProfit,Income_Statement!$J56,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7" s="8">
        <f t="shared" si="15"/>
        <v>0</v>
      </c>
    </row>
    <row r="58" spans="1:11" x14ac:dyDescent="0.25">
      <c r="A58" s="9">
        <f t="shared" si="11"/>
        <v>56</v>
      </c>
      <c r="B58" s="8">
        <f t="shared" si="8"/>
        <v>5</v>
      </c>
      <c r="C58" s="8">
        <f t="shared" si="9"/>
        <v>8</v>
      </c>
      <c r="D58" s="8">
        <f>IF((Cash_Flow!$N57+IF($A58=Assumptions!$B$19,Assumptions!$B$18,0)+IF($A58=Assumptions!$B$23,Assumptions!$B$22,0))&gt;=Assumptions!$B$4*Assumptions!$B$15,INT((Cash_Flow!$N57+IF($A58=Assumptions!$B$19,Assumptions!$B$18,0)+IF($A58=Assumptions!$B$23,Assumptions!$B$22,0))/Assumptions!$B$4),0)</f>
        <v>0</v>
      </c>
      <c r="E58" s="8">
        <f>IF($A58&gt;Assumptions!$B$7,INDEX($D$3:$D$62,MATCH($A58-Assumptions!$B$7,$A$3:$A$62,0)),0)</f>
        <v>0</v>
      </c>
      <c r="F58" s="8">
        <f t="shared" si="12"/>
        <v>0</v>
      </c>
      <c r="G58" s="8">
        <f t="shared" si="13"/>
        <v>40</v>
      </c>
      <c r="H58" s="8">
        <f t="shared" si="10"/>
        <v>40</v>
      </c>
      <c r="I58" s="8">
        <f t="shared" si="14"/>
        <v>40</v>
      </c>
      <c r="J58" s="8">
        <f>_xlfn.LET(
    _xlpm.PrevMonth,$A57,
    _xlpm.PrevCars,$G57,
    _xlpm.PrevGrossProfit,Income_Statement!$J57,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8" s="8">
        <f t="shared" si="15"/>
        <v>0</v>
      </c>
    </row>
    <row r="59" spans="1:11" x14ac:dyDescent="0.25">
      <c r="A59" s="9">
        <f t="shared" si="11"/>
        <v>57</v>
      </c>
      <c r="B59" s="8">
        <f t="shared" si="8"/>
        <v>5</v>
      </c>
      <c r="C59" s="8">
        <f t="shared" si="9"/>
        <v>9</v>
      </c>
      <c r="D59" s="8">
        <f>IF((Cash_Flow!$N58+IF($A59=Assumptions!$B$19,Assumptions!$B$18,0)+IF($A59=Assumptions!$B$23,Assumptions!$B$22,0))&gt;=Assumptions!$B$4*Assumptions!$B$15,INT((Cash_Flow!$N58+IF($A59=Assumptions!$B$19,Assumptions!$B$18,0)+IF($A59=Assumptions!$B$23,Assumptions!$B$22,0))/Assumptions!$B$4),0)</f>
        <v>0</v>
      </c>
      <c r="E59" s="8">
        <f>IF($A59&gt;Assumptions!$B$7,INDEX($D$3:$D$62,MATCH($A59-Assumptions!$B$7,$A$3:$A$62,0)),0)</f>
        <v>0</v>
      </c>
      <c r="F59" s="8">
        <f t="shared" si="12"/>
        <v>0</v>
      </c>
      <c r="G59" s="8">
        <f t="shared" si="13"/>
        <v>40</v>
      </c>
      <c r="H59" s="8">
        <f t="shared" si="10"/>
        <v>40</v>
      </c>
      <c r="I59" s="8">
        <f t="shared" si="14"/>
        <v>40</v>
      </c>
      <c r="J59" s="8">
        <f>_xlfn.LET(
    _xlpm.PrevMonth,$A58,
    _xlpm.PrevCars,$G58,
    _xlpm.PrevGrossProfit,Income_Statement!$J58,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9" s="8">
        <f t="shared" si="15"/>
        <v>0</v>
      </c>
    </row>
    <row r="60" spans="1:11" x14ac:dyDescent="0.25">
      <c r="A60" s="9">
        <f t="shared" si="11"/>
        <v>58</v>
      </c>
      <c r="B60" s="8">
        <f t="shared" si="8"/>
        <v>5</v>
      </c>
      <c r="C60" s="8">
        <f t="shared" si="9"/>
        <v>10</v>
      </c>
      <c r="D60" s="8">
        <f>IF((Cash_Flow!$N59+IF($A60=Assumptions!$B$19,Assumptions!$B$18,0)+IF($A60=Assumptions!$B$23,Assumptions!$B$22,0))&gt;=Assumptions!$B$4*Assumptions!$B$15,INT((Cash_Flow!$N59+IF($A60=Assumptions!$B$19,Assumptions!$B$18,0)+IF($A60=Assumptions!$B$23,Assumptions!$B$22,0))/Assumptions!$B$4),0)</f>
        <v>0</v>
      </c>
      <c r="E60" s="8">
        <f>IF($A60&gt;Assumptions!$B$7,INDEX($D$3:$D$62,MATCH($A60-Assumptions!$B$7,$A$3:$A$62,0)),0)</f>
        <v>0</v>
      </c>
      <c r="F60" s="8">
        <f t="shared" si="12"/>
        <v>0</v>
      </c>
      <c r="G60" s="8">
        <f t="shared" si="13"/>
        <v>40</v>
      </c>
      <c r="H60" s="8">
        <f t="shared" si="10"/>
        <v>40</v>
      </c>
      <c r="I60" s="8">
        <f t="shared" si="14"/>
        <v>40</v>
      </c>
      <c r="J60" s="8">
        <f>_xlfn.LET(
    _xlpm.PrevMonth,$A59,
    _xlpm.PrevCars,$G59,
    _xlpm.PrevGrossProfit,Income_Statement!$J59,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0" s="8">
        <f t="shared" si="15"/>
        <v>0</v>
      </c>
    </row>
    <row r="61" spans="1:11" x14ac:dyDescent="0.25">
      <c r="A61" s="9">
        <f t="shared" si="11"/>
        <v>59</v>
      </c>
      <c r="B61" s="8">
        <f t="shared" si="8"/>
        <v>5</v>
      </c>
      <c r="C61" s="8">
        <f t="shared" si="9"/>
        <v>11</v>
      </c>
      <c r="D61" s="8">
        <f>IF((Cash_Flow!$N60+IF($A61=Assumptions!$B$19,Assumptions!$B$18,0)+IF($A61=Assumptions!$B$23,Assumptions!$B$22,0))&gt;=Assumptions!$B$4*Assumptions!$B$15,INT((Cash_Flow!$N60+IF($A61=Assumptions!$B$19,Assumptions!$B$18,0)+IF($A61=Assumptions!$B$23,Assumptions!$B$22,0))/Assumptions!$B$4),0)</f>
        <v>0</v>
      </c>
      <c r="E61" s="8">
        <f>IF($A61&gt;Assumptions!$B$7,INDEX($D$3:$D$62,MATCH($A61-Assumptions!$B$7,$A$3:$A$62,0)),0)</f>
        <v>0</v>
      </c>
      <c r="F61" s="8">
        <f t="shared" si="12"/>
        <v>0</v>
      </c>
      <c r="G61" s="8">
        <f t="shared" si="13"/>
        <v>40</v>
      </c>
      <c r="H61" s="8">
        <f t="shared" si="10"/>
        <v>40</v>
      </c>
      <c r="I61" s="8">
        <f t="shared" si="14"/>
        <v>40</v>
      </c>
      <c r="J61" s="8">
        <f>_xlfn.LET(
    _xlpm.PrevMonth,$A60,
    _xlpm.PrevCars,$G60,
    _xlpm.PrevGrossProfit,Income_Statement!$J60,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1" s="8">
        <f t="shared" si="15"/>
        <v>0</v>
      </c>
    </row>
    <row r="62" spans="1:11" x14ac:dyDescent="0.25">
      <c r="A62" s="9">
        <f t="shared" si="11"/>
        <v>60</v>
      </c>
      <c r="B62" s="8">
        <f t="shared" si="8"/>
        <v>5</v>
      </c>
      <c r="C62" s="8">
        <f t="shared" si="9"/>
        <v>12</v>
      </c>
      <c r="D62" s="8">
        <f>IF((Cash_Flow!$N61+IF($A62=Assumptions!$B$19,Assumptions!$B$18,0)+IF($A62=Assumptions!$B$23,Assumptions!$B$22,0))&gt;=Assumptions!$B$4*Assumptions!$B$15,INT((Cash_Flow!$N61+IF($A62=Assumptions!$B$19,Assumptions!$B$18,0)+IF($A62=Assumptions!$B$23,Assumptions!$B$22,0))/Assumptions!$B$4),0)</f>
        <v>0</v>
      </c>
      <c r="E62" s="8">
        <f>IF($A62&gt;Assumptions!$B$7,INDEX($D$3:$D$62,MATCH($A62-Assumptions!$B$7,$A$3:$A$62,0)),0)</f>
        <v>0</v>
      </c>
      <c r="F62" s="8">
        <f t="shared" si="12"/>
        <v>0</v>
      </c>
      <c r="G62" s="8">
        <f t="shared" si="13"/>
        <v>40</v>
      </c>
      <c r="H62" s="8">
        <f t="shared" si="10"/>
        <v>40</v>
      </c>
      <c r="I62" s="8">
        <f t="shared" si="14"/>
        <v>40</v>
      </c>
      <c r="J62" s="8">
        <f>_xlfn.LET(
    _xlpm.PrevMonth,$A61,
    _xlpm.PrevCars,$G61,
    _xlpm.PrevGrossProfit,Income_Statement!$J61,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2" s="8">
        <f t="shared" si="15"/>
        <v>0</v>
      </c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63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C7" sqref="C7"/>
    </sheetView>
  </sheetViews>
  <sheetFormatPr defaultColWidth="8.7109375" defaultRowHeight="15" customHeight="1" x14ac:dyDescent="0.25"/>
  <cols>
    <col min="1" max="1" width="10" customWidth="1"/>
    <col min="2" max="16" width="22" customWidth="1"/>
    <col min="17" max="17" width="14" customWidth="1"/>
    <col min="18" max="18" width="11.28515625" bestFit="1" customWidth="1"/>
    <col min="19" max="19" width="10.85546875" bestFit="1" customWidth="1"/>
  </cols>
  <sheetData>
    <row r="1" spans="1:19" ht="17.25" customHeight="1" x14ac:dyDescent="0.3">
      <c r="A1" s="20" t="s">
        <v>89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9" ht="31.5" customHeight="1" x14ac:dyDescent="0.25">
      <c r="A2" s="2" t="s">
        <v>1</v>
      </c>
      <c r="B2" s="2" t="s">
        <v>90</v>
      </c>
      <c r="C2" s="2" t="s">
        <v>91</v>
      </c>
      <c r="D2" s="15" t="s">
        <v>92</v>
      </c>
      <c r="E2" s="2" t="s">
        <v>93</v>
      </c>
      <c r="F2" s="2" t="s">
        <v>94</v>
      </c>
      <c r="G2" s="2" t="s">
        <v>95</v>
      </c>
      <c r="H2" s="2" t="s">
        <v>96</v>
      </c>
      <c r="I2" s="2" t="s">
        <v>97</v>
      </c>
      <c r="J2" s="2" t="s">
        <v>98</v>
      </c>
      <c r="K2" s="2" t="s">
        <v>99</v>
      </c>
      <c r="L2" s="2" t="s">
        <v>100</v>
      </c>
      <c r="M2" s="2" t="s">
        <v>101</v>
      </c>
      <c r="N2" s="2" t="s">
        <v>102</v>
      </c>
      <c r="O2" s="2" t="s">
        <v>103</v>
      </c>
      <c r="P2" s="2" t="s">
        <v>104</v>
      </c>
    </row>
    <row r="3" spans="1:19" x14ac:dyDescent="0.25">
      <c r="A3" s="9">
        <v>1</v>
      </c>
      <c r="B3" s="10">
        <v>250000</v>
      </c>
      <c r="C3" s="10">
        <v>0</v>
      </c>
      <c r="D3" s="10">
        <v>370000</v>
      </c>
      <c r="E3" s="10">
        <v>82520</v>
      </c>
      <c r="F3" s="10">
        <v>0</v>
      </c>
      <c r="G3" s="10">
        <v>0</v>
      </c>
      <c r="H3" s="10">
        <v>11993.6</v>
      </c>
      <c r="I3" s="10">
        <v>0</v>
      </c>
      <c r="J3" s="10">
        <v>275486.40000000002</v>
      </c>
      <c r="K3" s="10">
        <v>0</v>
      </c>
      <c r="L3" s="10">
        <v>275486.40000000002</v>
      </c>
      <c r="M3" s="10">
        <v>0</v>
      </c>
      <c r="N3" s="10">
        <f t="shared" ref="N3:N34" si="0">$M3+$L3</f>
        <v>275486.40000000002</v>
      </c>
      <c r="O3" s="10">
        <v>0</v>
      </c>
      <c r="P3" s="10">
        <f t="shared" ref="P3:P34" si="1">O3+C3-G3</f>
        <v>0</v>
      </c>
      <c r="Q3" s="14"/>
      <c r="R3" s="14"/>
      <c r="S3" s="14"/>
    </row>
    <row r="4" spans="1:19" x14ac:dyDescent="0.25">
      <c r="A4" s="9">
        <v>2</v>
      </c>
      <c r="B4" s="10">
        <v>0</v>
      </c>
      <c r="C4" s="10">
        <v>0</v>
      </c>
      <c r="D4" s="10">
        <v>120000</v>
      </c>
      <c r="E4" s="10">
        <v>82520</v>
      </c>
      <c r="F4" s="10">
        <v>0</v>
      </c>
      <c r="G4" s="10">
        <v>0</v>
      </c>
      <c r="H4" s="10">
        <v>11993.6</v>
      </c>
      <c r="I4" s="10">
        <v>0</v>
      </c>
      <c r="J4" s="10">
        <v>25486.400000000001</v>
      </c>
      <c r="K4" s="10">
        <v>0</v>
      </c>
      <c r="L4" s="10">
        <v>25486.400000000001</v>
      </c>
      <c r="M4" s="10">
        <f t="shared" ref="M4:M35" si="2">$N3</f>
        <v>275486.40000000002</v>
      </c>
      <c r="N4" s="10">
        <f t="shared" si="0"/>
        <v>300972.80000000005</v>
      </c>
      <c r="O4" s="10">
        <f t="shared" ref="O4:O35" si="3">P3</f>
        <v>0</v>
      </c>
      <c r="P4" s="10">
        <f t="shared" si="1"/>
        <v>0</v>
      </c>
      <c r="Q4" s="14"/>
      <c r="R4" s="14"/>
      <c r="S4" s="14"/>
    </row>
    <row r="5" spans="1:19" x14ac:dyDescent="0.25">
      <c r="A5" s="9">
        <v>3</v>
      </c>
      <c r="B5" s="10">
        <v>0</v>
      </c>
      <c r="C5" s="10">
        <v>0</v>
      </c>
      <c r="D5" s="10">
        <v>120000</v>
      </c>
      <c r="E5" s="10">
        <v>82520</v>
      </c>
      <c r="F5" s="10">
        <v>0</v>
      </c>
      <c r="G5" s="10">
        <v>0</v>
      </c>
      <c r="H5" s="10">
        <v>11993.6</v>
      </c>
      <c r="I5" s="10">
        <v>0</v>
      </c>
      <c r="J5" s="10">
        <v>25486.400000000001</v>
      </c>
      <c r="K5" s="10">
        <v>0</v>
      </c>
      <c r="L5" s="10">
        <v>25486.400000000001</v>
      </c>
      <c r="M5" s="10">
        <f t="shared" si="2"/>
        <v>300972.80000000005</v>
      </c>
      <c r="N5" s="10">
        <f t="shared" si="0"/>
        <v>326459.20000000007</v>
      </c>
      <c r="O5" s="10">
        <f t="shared" si="3"/>
        <v>0</v>
      </c>
      <c r="P5" s="10">
        <f t="shared" si="1"/>
        <v>0</v>
      </c>
      <c r="Q5" s="14"/>
      <c r="S5" s="14"/>
    </row>
    <row r="6" spans="1:19" x14ac:dyDescent="0.25">
      <c r="A6" s="9">
        <v>4</v>
      </c>
      <c r="B6" s="10">
        <v>0</v>
      </c>
      <c r="C6" s="10">
        <v>0</v>
      </c>
      <c r="D6" s="10">
        <v>120000</v>
      </c>
      <c r="E6" s="10">
        <v>82520</v>
      </c>
      <c r="F6" s="10">
        <v>0</v>
      </c>
      <c r="G6" s="10">
        <v>0</v>
      </c>
      <c r="H6" s="10">
        <v>11993.6</v>
      </c>
      <c r="I6" s="10">
        <v>0</v>
      </c>
      <c r="J6" s="10">
        <v>25486.400000000001</v>
      </c>
      <c r="K6" s="10">
        <v>0</v>
      </c>
      <c r="L6" s="10">
        <v>25486.400000000001</v>
      </c>
      <c r="M6" s="10">
        <f t="shared" si="2"/>
        <v>326459.20000000007</v>
      </c>
      <c r="N6" s="10">
        <f t="shared" si="0"/>
        <v>351945.60000000009</v>
      </c>
      <c r="O6" s="10">
        <f t="shared" si="3"/>
        <v>0</v>
      </c>
      <c r="P6" s="10">
        <f t="shared" si="1"/>
        <v>0</v>
      </c>
      <c r="Q6" s="14"/>
      <c r="S6" s="14"/>
    </row>
    <row r="7" spans="1:19" x14ac:dyDescent="0.25">
      <c r="A7" s="9">
        <v>5</v>
      </c>
      <c r="B7" s="10">
        <v>0</v>
      </c>
      <c r="C7" s="10">
        <v>250000</v>
      </c>
      <c r="D7" s="10">
        <v>370000</v>
      </c>
      <c r="E7" s="10">
        <v>82520</v>
      </c>
      <c r="F7" s="10">
        <v>2083.33</v>
      </c>
      <c r="G7" s="10">
        <v>3684.77</v>
      </c>
      <c r="H7" s="10">
        <v>11993.6</v>
      </c>
      <c r="I7" s="10">
        <v>0</v>
      </c>
      <c r="J7" s="10">
        <v>269718.3</v>
      </c>
      <c r="K7" s="10">
        <v>540000</v>
      </c>
      <c r="L7" s="10">
        <v>-270281.7</v>
      </c>
      <c r="M7" s="10">
        <f t="shared" si="2"/>
        <v>351945.60000000009</v>
      </c>
      <c r="N7" s="10">
        <f t="shared" si="0"/>
        <v>81663.900000000081</v>
      </c>
      <c r="O7" s="10">
        <f t="shared" si="3"/>
        <v>0</v>
      </c>
      <c r="P7" s="10">
        <f t="shared" si="1"/>
        <v>246315.23</v>
      </c>
      <c r="Q7" s="14"/>
      <c r="S7" s="14"/>
    </row>
    <row r="8" spans="1:19" x14ac:dyDescent="0.25">
      <c r="A8" s="9">
        <v>6</v>
      </c>
      <c r="B8" s="10">
        <v>0</v>
      </c>
      <c r="C8" s="10">
        <v>0</v>
      </c>
      <c r="D8" s="10">
        <v>120000</v>
      </c>
      <c r="E8" s="10">
        <v>82520</v>
      </c>
      <c r="F8" s="10">
        <v>2052.63</v>
      </c>
      <c r="G8" s="10">
        <v>3715.47</v>
      </c>
      <c r="H8" s="10">
        <v>11993.6</v>
      </c>
      <c r="I8" s="10">
        <v>0</v>
      </c>
      <c r="J8" s="10">
        <v>19718.3</v>
      </c>
      <c r="K8" s="10">
        <v>0</v>
      </c>
      <c r="L8" s="10">
        <v>19718.3</v>
      </c>
      <c r="M8" s="10">
        <f t="shared" si="2"/>
        <v>81663.900000000081</v>
      </c>
      <c r="N8" s="10">
        <f t="shared" si="0"/>
        <v>101382.20000000008</v>
      </c>
      <c r="O8" s="10">
        <f t="shared" si="3"/>
        <v>246315.23</v>
      </c>
      <c r="P8" s="10">
        <f t="shared" si="1"/>
        <v>242599.76</v>
      </c>
      <c r="S8" s="14"/>
    </row>
    <row r="9" spans="1:19" x14ac:dyDescent="0.25">
      <c r="A9" s="9">
        <v>7</v>
      </c>
      <c r="B9" s="10">
        <v>0</v>
      </c>
      <c r="C9" s="10">
        <v>0</v>
      </c>
      <c r="D9" s="10">
        <v>120000</v>
      </c>
      <c r="E9" s="10">
        <v>82520</v>
      </c>
      <c r="F9" s="10">
        <v>2021.66</v>
      </c>
      <c r="G9" s="10">
        <v>3746.44</v>
      </c>
      <c r="H9" s="10">
        <v>11993.6</v>
      </c>
      <c r="I9" s="10">
        <v>0</v>
      </c>
      <c r="J9" s="10">
        <v>19718.3</v>
      </c>
      <c r="K9" s="10">
        <v>0</v>
      </c>
      <c r="L9" s="10">
        <v>19718.3</v>
      </c>
      <c r="M9" s="10">
        <f t="shared" si="2"/>
        <v>101382.20000000008</v>
      </c>
      <c r="N9" s="10">
        <f t="shared" si="0"/>
        <v>121100.50000000009</v>
      </c>
      <c r="O9" s="10">
        <f t="shared" si="3"/>
        <v>242599.76</v>
      </c>
      <c r="P9" s="10">
        <f t="shared" si="1"/>
        <v>238853.32</v>
      </c>
      <c r="S9" s="14"/>
    </row>
    <row r="10" spans="1:19" x14ac:dyDescent="0.25">
      <c r="A10" s="9">
        <v>8</v>
      </c>
      <c r="B10" s="10">
        <v>0</v>
      </c>
      <c r="C10" s="10">
        <v>0</v>
      </c>
      <c r="D10" s="10">
        <v>390000</v>
      </c>
      <c r="E10" s="10">
        <v>268190</v>
      </c>
      <c r="F10" s="10">
        <v>1990.44</v>
      </c>
      <c r="G10" s="10">
        <v>3777.66</v>
      </c>
      <c r="H10" s="10">
        <v>38979.199999999997</v>
      </c>
      <c r="I10" s="10">
        <v>0</v>
      </c>
      <c r="J10" s="10">
        <v>77062.7</v>
      </c>
      <c r="K10" s="10">
        <v>0</v>
      </c>
      <c r="L10" s="10">
        <v>77062.7</v>
      </c>
      <c r="M10" s="10">
        <f t="shared" si="2"/>
        <v>121100.50000000009</v>
      </c>
      <c r="N10" s="10">
        <f t="shared" si="0"/>
        <v>198163.20000000007</v>
      </c>
      <c r="O10" s="10">
        <f t="shared" si="3"/>
        <v>238853.32</v>
      </c>
      <c r="P10" s="10">
        <f t="shared" si="1"/>
        <v>235075.66</v>
      </c>
      <c r="S10" s="14"/>
    </row>
    <row r="11" spans="1:19" x14ac:dyDescent="0.25">
      <c r="A11" s="9">
        <v>9</v>
      </c>
      <c r="B11" s="10">
        <v>0</v>
      </c>
      <c r="C11" s="10">
        <v>0</v>
      </c>
      <c r="D11" s="10">
        <v>390000</v>
      </c>
      <c r="E11" s="10">
        <v>268190</v>
      </c>
      <c r="F11" s="10">
        <v>1958.96</v>
      </c>
      <c r="G11" s="10">
        <v>3809.14</v>
      </c>
      <c r="H11" s="10">
        <v>38979.199999999997</v>
      </c>
      <c r="I11" s="10">
        <v>0</v>
      </c>
      <c r="J11" s="10">
        <v>77062.7</v>
      </c>
      <c r="K11" s="10">
        <v>0</v>
      </c>
      <c r="L11" s="10">
        <v>77062.7</v>
      </c>
      <c r="M11" s="10">
        <f t="shared" si="2"/>
        <v>198163.20000000007</v>
      </c>
      <c r="N11" s="10">
        <f t="shared" si="0"/>
        <v>275225.90000000008</v>
      </c>
      <c r="O11" s="10">
        <f t="shared" si="3"/>
        <v>235075.66</v>
      </c>
      <c r="P11" s="10">
        <f t="shared" si="1"/>
        <v>231266.52</v>
      </c>
      <c r="S11" s="14"/>
    </row>
    <row r="12" spans="1:19" x14ac:dyDescent="0.25">
      <c r="A12" s="9">
        <v>10</v>
      </c>
      <c r="B12" s="10">
        <v>0</v>
      </c>
      <c r="C12" s="10">
        <v>0</v>
      </c>
      <c r="D12" s="10">
        <v>390000</v>
      </c>
      <c r="E12" s="10">
        <v>268190</v>
      </c>
      <c r="F12" s="10">
        <v>1927.22</v>
      </c>
      <c r="G12" s="10">
        <v>3840.88</v>
      </c>
      <c r="H12" s="10">
        <v>38979.199999999997</v>
      </c>
      <c r="I12" s="10">
        <v>0</v>
      </c>
      <c r="J12" s="10">
        <v>77062.7</v>
      </c>
      <c r="K12" s="10">
        <v>240000</v>
      </c>
      <c r="L12" s="10">
        <v>-162937.29999999999</v>
      </c>
      <c r="M12" s="10">
        <f t="shared" si="2"/>
        <v>275225.90000000008</v>
      </c>
      <c r="N12" s="10">
        <f t="shared" si="0"/>
        <v>112288.60000000009</v>
      </c>
      <c r="O12" s="10">
        <f t="shared" si="3"/>
        <v>231266.52</v>
      </c>
      <c r="P12" s="10">
        <f t="shared" si="1"/>
        <v>227425.63999999998</v>
      </c>
      <c r="S12" s="14"/>
    </row>
    <row r="13" spans="1:19" x14ac:dyDescent="0.25">
      <c r="A13" s="9">
        <v>11</v>
      </c>
      <c r="B13" s="10">
        <v>0</v>
      </c>
      <c r="C13" s="10">
        <v>0</v>
      </c>
      <c r="D13" s="10">
        <v>390000</v>
      </c>
      <c r="E13" s="10">
        <v>268190</v>
      </c>
      <c r="F13" s="10">
        <v>1895.21</v>
      </c>
      <c r="G13" s="10">
        <v>3872.89</v>
      </c>
      <c r="H13" s="10">
        <v>38979.199999999997</v>
      </c>
      <c r="I13" s="10">
        <v>0</v>
      </c>
      <c r="J13" s="10">
        <v>77062.7</v>
      </c>
      <c r="K13" s="10">
        <v>0</v>
      </c>
      <c r="L13" s="10">
        <v>77062.7</v>
      </c>
      <c r="M13" s="10">
        <f t="shared" si="2"/>
        <v>112288.60000000009</v>
      </c>
      <c r="N13" s="10">
        <f t="shared" si="0"/>
        <v>189351.3000000001</v>
      </c>
      <c r="O13" s="10">
        <f t="shared" si="3"/>
        <v>227425.63999999998</v>
      </c>
      <c r="P13" s="10">
        <f t="shared" si="1"/>
        <v>223552.74999999997</v>
      </c>
      <c r="S13" s="14"/>
    </row>
    <row r="14" spans="1:19" x14ac:dyDescent="0.25">
      <c r="A14" s="9">
        <v>12</v>
      </c>
      <c r="B14" s="10">
        <v>0</v>
      </c>
      <c r="C14" s="10">
        <v>0</v>
      </c>
      <c r="D14" s="10">
        <v>270000</v>
      </c>
      <c r="E14" s="10">
        <v>185670</v>
      </c>
      <c r="F14" s="10">
        <v>1862.94</v>
      </c>
      <c r="G14" s="10">
        <v>3905.16</v>
      </c>
      <c r="H14" s="10">
        <v>26985.599999999999</v>
      </c>
      <c r="I14" s="10">
        <v>0</v>
      </c>
      <c r="J14" s="10">
        <v>51576.3</v>
      </c>
      <c r="K14" s="10">
        <v>0</v>
      </c>
      <c r="L14" s="10">
        <v>51576.3</v>
      </c>
      <c r="M14" s="10">
        <f t="shared" si="2"/>
        <v>189351.3000000001</v>
      </c>
      <c r="N14" s="10">
        <f t="shared" si="0"/>
        <v>240927.60000000009</v>
      </c>
      <c r="O14" s="10">
        <f t="shared" si="3"/>
        <v>223552.74999999997</v>
      </c>
      <c r="P14" s="10">
        <f t="shared" si="1"/>
        <v>219647.58999999997</v>
      </c>
      <c r="S14" s="14"/>
    </row>
    <row r="15" spans="1:19" x14ac:dyDescent="0.25">
      <c r="A15" s="9">
        <v>13</v>
      </c>
      <c r="B15" s="10">
        <v>0</v>
      </c>
      <c r="C15" s="10">
        <v>0</v>
      </c>
      <c r="D15" s="10">
        <v>390000</v>
      </c>
      <c r="E15" s="10">
        <v>268190</v>
      </c>
      <c r="F15" s="10">
        <v>1830.4</v>
      </c>
      <c r="G15" s="10">
        <v>3937.71</v>
      </c>
      <c r="H15" s="10">
        <v>38979.199999999997</v>
      </c>
      <c r="I15" s="10">
        <v>0</v>
      </c>
      <c r="J15" s="10">
        <v>77062.69</v>
      </c>
      <c r="K15" s="10">
        <v>240000</v>
      </c>
      <c r="L15" s="10">
        <v>-162937.31</v>
      </c>
      <c r="M15" s="10">
        <f t="shared" si="2"/>
        <v>240927.60000000009</v>
      </c>
      <c r="N15" s="10">
        <f t="shared" si="0"/>
        <v>77990.290000000095</v>
      </c>
      <c r="O15" s="10">
        <f t="shared" si="3"/>
        <v>219647.58999999997</v>
      </c>
      <c r="P15" s="10">
        <f t="shared" si="1"/>
        <v>215709.87999999998</v>
      </c>
      <c r="S15" s="14"/>
    </row>
    <row r="16" spans="1:19" x14ac:dyDescent="0.25">
      <c r="A16" s="9">
        <v>14</v>
      </c>
      <c r="B16" s="10">
        <v>0</v>
      </c>
      <c r="C16" s="10">
        <v>0</v>
      </c>
      <c r="D16" s="10">
        <v>390000</v>
      </c>
      <c r="E16" s="10">
        <v>268190</v>
      </c>
      <c r="F16" s="10">
        <v>1797.58</v>
      </c>
      <c r="G16" s="10">
        <v>3970.52</v>
      </c>
      <c r="H16" s="10">
        <v>38979.199999999997</v>
      </c>
      <c r="I16" s="10">
        <v>0</v>
      </c>
      <c r="J16" s="10">
        <v>77062.7</v>
      </c>
      <c r="K16" s="10">
        <v>0</v>
      </c>
      <c r="L16" s="10">
        <v>77062.7</v>
      </c>
      <c r="M16" s="10">
        <f t="shared" si="2"/>
        <v>77990.290000000095</v>
      </c>
      <c r="N16" s="10">
        <f t="shared" si="0"/>
        <v>155052.99000000011</v>
      </c>
      <c r="O16" s="10">
        <f t="shared" si="3"/>
        <v>215709.87999999998</v>
      </c>
      <c r="P16" s="10">
        <f t="shared" si="1"/>
        <v>211739.36</v>
      </c>
      <c r="S16" s="14"/>
    </row>
    <row r="17" spans="1:19" x14ac:dyDescent="0.25">
      <c r="A17" s="9">
        <v>15</v>
      </c>
      <c r="B17" s="10">
        <v>0</v>
      </c>
      <c r="C17" s="10">
        <v>0</v>
      </c>
      <c r="D17" s="10">
        <v>390000</v>
      </c>
      <c r="E17" s="10">
        <v>268190</v>
      </c>
      <c r="F17" s="10">
        <v>1764.49</v>
      </c>
      <c r="G17" s="10">
        <v>4003.61</v>
      </c>
      <c r="H17" s="10">
        <v>38979.199999999997</v>
      </c>
      <c r="I17" s="10">
        <v>0</v>
      </c>
      <c r="J17" s="10">
        <v>77062.7</v>
      </c>
      <c r="K17" s="10">
        <v>0</v>
      </c>
      <c r="L17" s="10">
        <v>77062.7</v>
      </c>
      <c r="M17" s="10">
        <f t="shared" si="2"/>
        <v>155052.99000000011</v>
      </c>
      <c r="N17" s="10">
        <f t="shared" si="0"/>
        <v>232115.69000000012</v>
      </c>
      <c r="O17" s="10">
        <f t="shared" si="3"/>
        <v>211739.36</v>
      </c>
      <c r="P17" s="10">
        <f t="shared" si="1"/>
        <v>207735.75</v>
      </c>
      <c r="S17" s="14"/>
    </row>
    <row r="18" spans="1:19" x14ac:dyDescent="0.25">
      <c r="A18" s="9">
        <v>16</v>
      </c>
      <c r="B18" s="10">
        <v>0</v>
      </c>
      <c r="C18" s="10">
        <v>0</v>
      </c>
      <c r="D18" s="10">
        <v>510000</v>
      </c>
      <c r="E18" s="10">
        <v>350710</v>
      </c>
      <c r="F18" s="10">
        <v>1731.13</v>
      </c>
      <c r="G18" s="10">
        <v>4036.97</v>
      </c>
      <c r="H18" s="10">
        <v>50972.800000000003</v>
      </c>
      <c r="I18" s="10">
        <v>0</v>
      </c>
      <c r="J18" s="10">
        <v>102549.1</v>
      </c>
      <c r="K18" s="10">
        <v>240000</v>
      </c>
      <c r="L18" s="10">
        <v>-137450.9</v>
      </c>
      <c r="M18" s="10">
        <f t="shared" si="2"/>
        <v>232115.69000000012</v>
      </c>
      <c r="N18" s="10">
        <f t="shared" si="0"/>
        <v>94664.790000000125</v>
      </c>
      <c r="O18" s="10">
        <f t="shared" si="3"/>
        <v>207735.75</v>
      </c>
      <c r="P18" s="10">
        <f t="shared" si="1"/>
        <v>203698.78</v>
      </c>
      <c r="S18" s="14"/>
    </row>
    <row r="19" spans="1:19" x14ac:dyDescent="0.25">
      <c r="A19" s="9">
        <v>17</v>
      </c>
      <c r="B19" s="10">
        <v>0</v>
      </c>
      <c r="C19" s="10">
        <v>0</v>
      </c>
      <c r="D19" s="10">
        <v>510000</v>
      </c>
      <c r="E19" s="10">
        <v>350710</v>
      </c>
      <c r="F19" s="10">
        <v>1697.49</v>
      </c>
      <c r="G19" s="10">
        <v>4070.61</v>
      </c>
      <c r="H19" s="10">
        <v>50972.800000000003</v>
      </c>
      <c r="I19" s="10">
        <v>0</v>
      </c>
      <c r="J19" s="10">
        <v>102549.1</v>
      </c>
      <c r="K19" s="10">
        <v>0</v>
      </c>
      <c r="L19" s="10">
        <v>102549.1</v>
      </c>
      <c r="M19" s="10">
        <f t="shared" si="2"/>
        <v>94664.790000000125</v>
      </c>
      <c r="N19" s="10">
        <f t="shared" si="0"/>
        <v>197213.89000000013</v>
      </c>
      <c r="O19" s="10">
        <f t="shared" si="3"/>
        <v>203698.78</v>
      </c>
      <c r="P19" s="10">
        <f t="shared" si="1"/>
        <v>199628.17</v>
      </c>
      <c r="S19" s="14"/>
    </row>
    <row r="20" spans="1:19" x14ac:dyDescent="0.25">
      <c r="A20" s="9">
        <v>18</v>
      </c>
      <c r="B20" s="10">
        <v>0</v>
      </c>
      <c r="C20" s="10">
        <v>0</v>
      </c>
      <c r="D20" s="10">
        <v>510000</v>
      </c>
      <c r="E20" s="10">
        <v>350710</v>
      </c>
      <c r="F20" s="10">
        <v>1663.57</v>
      </c>
      <c r="G20" s="10">
        <v>4104.53</v>
      </c>
      <c r="H20" s="10">
        <v>50972.800000000003</v>
      </c>
      <c r="I20" s="10">
        <v>0</v>
      </c>
      <c r="J20" s="10">
        <v>102549.1</v>
      </c>
      <c r="K20" s="10">
        <v>240000</v>
      </c>
      <c r="L20" s="10">
        <v>-137450.9</v>
      </c>
      <c r="M20" s="10">
        <f t="shared" si="2"/>
        <v>197213.89000000013</v>
      </c>
      <c r="N20" s="10">
        <f t="shared" si="0"/>
        <v>59762.990000000136</v>
      </c>
      <c r="O20" s="10">
        <f t="shared" si="3"/>
        <v>199628.17</v>
      </c>
      <c r="P20" s="10">
        <f t="shared" si="1"/>
        <v>195523.64</v>
      </c>
      <c r="S20" s="14"/>
    </row>
    <row r="21" spans="1:19" x14ac:dyDescent="0.25">
      <c r="A21" s="9">
        <v>19</v>
      </c>
      <c r="B21" s="10">
        <v>0</v>
      </c>
      <c r="C21" s="10">
        <v>0</v>
      </c>
      <c r="D21" s="10">
        <v>360000</v>
      </c>
      <c r="E21" s="10">
        <v>247560</v>
      </c>
      <c r="F21" s="10">
        <v>1629.36</v>
      </c>
      <c r="G21" s="10">
        <v>4138.74</v>
      </c>
      <c r="H21" s="10">
        <v>35980.800000000003</v>
      </c>
      <c r="I21" s="10">
        <v>0</v>
      </c>
      <c r="J21" s="10">
        <v>70691.100000000006</v>
      </c>
      <c r="K21" s="10">
        <v>0</v>
      </c>
      <c r="L21" s="10">
        <v>70691.100000000006</v>
      </c>
      <c r="M21" s="10">
        <f t="shared" si="2"/>
        <v>59762.990000000136</v>
      </c>
      <c r="N21" s="10">
        <f t="shared" si="0"/>
        <v>130454.09000000014</v>
      </c>
      <c r="O21" s="10">
        <f t="shared" si="3"/>
        <v>195523.64</v>
      </c>
      <c r="P21" s="10">
        <f t="shared" si="1"/>
        <v>191384.90000000002</v>
      </c>
      <c r="S21" s="14"/>
    </row>
    <row r="22" spans="1:19" x14ac:dyDescent="0.25">
      <c r="A22" s="9">
        <v>20</v>
      </c>
      <c r="B22" s="10">
        <v>0</v>
      </c>
      <c r="C22" s="10">
        <v>0</v>
      </c>
      <c r="D22" s="10">
        <v>360000</v>
      </c>
      <c r="E22" s="10">
        <v>247560</v>
      </c>
      <c r="F22" s="10">
        <v>1594.87</v>
      </c>
      <c r="G22" s="10">
        <v>4173.2299999999996</v>
      </c>
      <c r="H22" s="10">
        <v>35980.800000000003</v>
      </c>
      <c r="I22" s="10">
        <v>0</v>
      </c>
      <c r="J22" s="10">
        <v>70691.100000000006</v>
      </c>
      <c r="K22" s="10">
        <v>0</v>
      </c>
      <c r="L22" s="10">
        <v>70691.100000000006</v>
      </c>
      <c r="M22" s="10">
        <f t="shared" si="2"/>
        <v>130454.09000000014</v>
      </c>
      <c r="N22" s="10">
        <f t="shared" si="0"/>
        <v>201145.19000000015</v>
      </c>
      <c r="O22" s="10">
        <f t="shared" si="3"/>
        <v>191384.90000000002</v>
      </c>
      <c r="P22" s="10">
        <f t="shared" si="1"/>
        <v>187211.67</v>
      </c>
      <c r="S22" s="14"/>
    </row>
    <row r="23" spans="1:19" x14ac:dyDescent="0.25">
      <c r="A23" s="9">
        <v>21</v>
      </c>
      <c r="B23" s="10">
        <v>0</v>
      </c>
      <c r="C23" s="10">
        <v>0</v>
      </c>
      <c r="D23" s="10">
        <v>480000</v>
      </c>
      <c r="E23" s="10">
        <v>330080</v>
      </c>
      <c r="F23" s="10">
        <v>1560.1</v>
      </c>
      <c r="G23" s="10">
        <v>4208</v>
      </c>
      <c r="H23" s="10">
        <v>47974.400000000001</v>
      </c>
      <c r="I23" s="10">
        <v>0</v>
      </c>
      <c r="J23" s="10">
        <v>96177.5</v>
      </c>
      <c r="K23" s="10">
        <v>240000</v>
      </c>
      <c r="L23" s="10">
        <v>-143822.5</v>
      </c>
      <c r="M23" s="10">
        <f t="shared" si="2"/>
        <v>201145.19000000015</v>
      </c>
      <c r="N23" s="10">
        <f t="shared" si="0"/>
        <v>57322.690000000148</v>
      </c>
      <c r="O23" s="10">
        <f t="shared" si="3"/>
        <v>187211.67</v>
      </c>
      <c r="P23" s="10">
        <f t="shared" si="1"/>
        <v>183003.67</v>
      </c>
      <c r="S23" s="14"/>
    </row>
    <row r="24" spans="1:19" x14ac:dyDescent="0.25">
      <c r="A24" s="9">
        <v>22</v>
      </c>
      <c r="B24" s="10">
        <v>0</v>
      </c>
      <c r="C24" s="10">
        <v>0</v>
      </c>
      <c r="D24" s="10">
        <v>480000</v>
      </c>
      <c r="E24" s="10">
        <v>330080</v>
      </c>
      <c r="F24" s="10">
        <v>1525.03</v>
      </c>
      <c r="G24" s="10">
        <v>4243.07</v>
      </c>
      <c r="H24" s="10">
        <v>47974.400000000001</v>
      </c>
      <c r="I24" s="10">
        <v>0</v>
      </c>
      <c r="J24" s="10">
        <v>96177.5</v>
      </c>
      <c r="K24" s="10">
        <v>0</v>
      </c>
      <c r="L24" s="10">
        <v>96177.5</v>
      </c>
      <c r="M24" s="10">
        <f t="shared" si="2"/>
        <v>57322.690000000148</v>
      </c>
      <c r="N24" s="10">
        <f t="shared" si="0"/>
        <v>153500.19000000015</v>
      </c>
      <c r="O24" s="10">
        <f t="shared" si="3"/>
        <v>183003.67</v>
      </c>
      <c r="P24" s="10">
        <f t="shared" si="1"/>
        <v>178760.6</v>
      </c>
      <c r="S24" s="14"/>
    </row>
    <row r="25" spans="1:19" x14ac:dyDescent="0.25">
      <c r="A25" s="9">
        <v>23</v>
      </c>
      <c r="B25" s="10">
        <v>0</v>
      </c>
      <c r="C25" s="10">
        <v>0</v>
      </c>
      <c r="D25" s="10">
        <v>480000</v>
      </c>
      <c r="E25" s="10">
        <v>330080</v>
      </c>
      <c r="F25" s="10">
        <v>1489.67</v>
      </c>
      <c r="G25" s="10">
        <v>4278.43</v>
      </c>
      <c r="H25" s="10">
        <v>47974.400000000001</v>
      </c>
      <c r="I25" s="10">
        <v>0</v>
      </c>
      <c r="J25" s="10">
        <v>96177.5</v>
      </c>
      <c r="K25" s="10">
        <v>240000</v>
      </c>
      <c r="L25" s="10">
        <v>-143822.5</v>
      </c>
      <c r="M25" s="10">
        <f t="shared" si="2"/>
        <v>153500.19000000015</v>
      </c>
      <c r="N25" s="10">
        <f t="shared" si="0"/>
        <v>9677.6900000001478</v>
      </c>
      <c r="O25" s="10">
        <f t="shared" si="3"/>
        <v>178760.6</v>
      </c>
      <c r="P25" s="10">
        <f t="shared" si="1"/>
        <v>174482.17</v>
      </c>
      <c r="S25" s="14"/>
    </row>
    <row r="26" spans="1:19" x14ac:dyDescent="0.25">
      <c r="A26" s="9">
        <v>24</v>
      </c>
      <c r="B26" s="10">
        <v>0</v>
      </c>
      <c r="C26" s="10">
        <v>0</v>
      </c>
      <c r="D26" s="10">
        <v>480000</v>
      </c>
      <c r="E26" s="10">
        <v>330080</v>
      </c>
      <c r="F26" s="10">
        <v>1454.02</v>
      </c>
      <c r="G26" s="10">
        <v>4314.08</v>
      </c>
      <c r="H26" s="10">
        <v>47974.400000000001</v>
      </c>
      <c r="I26" s="10">
        <v>0</v>
      </c>
      <c r="J26" s="10">
        <v>96177.5</v>
      </c>
      <c r="K26" s="10">
        <v>0</v>
      </c>
      <c r="L26" s="10">
        <v>96177.5</v>
      </c>
      <c r="M26" s="10">
        <f t="shared" si="2"/>
        <v>9677.6900000001478</v>
      </c>
      <c r="N26" s="10">
        <f t="shared" si="0"/>
        <v>105855.19000000015</v>
      </c>
      <c r="O26" s="10">
        <f t="shared" si="3"/>
        <v>174482.17</v>
      </c>
      <c r="P26" s="10">
        <f t="shared" si="1"/>
        <v>170168.09000000003</v>
      </c>
      <c r="S26" s="14"/>
    </row>
    <row r="27" spans="1:19" x14ac:dyDescent="0.25">
      <c r="A27" s="9">
        <v>25</v>
      </c>
      <c r="B27" s="10">
        <v>0</v>
      </c>
      <c r="C27" s="10">
        <v>0</v>
      </c>
      <c r="D27" s="10">
        <v>480000</v>
      </c>
      <c r="E27" s="10">
        <v>330080</v>
      </c>
      <c r="F27" s="10">
        <v>1418.07</v>
      </c>
      <c r="G27" s="10">
        <v>4350.03</v>
      </c>
      <c r="H27" s="10">
        <v>47974.400000000001</v>
      </c>
      <c r="I27" s="10">
        <v>0</v>
      </c>
      <c r="J27" s="10">
        <v>96177.5</v>
      </c>
      <c r="K27" s="10">
        <v>0</v>
      </c>
      <c r="L27" s="10">
        <v>96177.5</v>
      </c>
      <c r="M27" s="10">
        <f t="shared" si="2"/>
        <v>105855.19000000015</v>
      </c>
      <c r="N27" s="10">
        <f t="shared" si="0"/>
        <v>202032.69000000015</v>
      </c>
      <c r="O27" s="10">
        <f t="shared" si="3"/>
        <v>170168.09000000003</v>
      </c>
      <c r="P27" s="10">
        <f t="shared" si="1"/>
        <v>165818.06000000003</v>
      </c>
      <c r="S27" s="14"/>
    </row>
    <row r="28" spans="1:19" x14ac:dyDescent="0.25">
      <c r="A28" s="9">
        <v>26</v>
      </c>
      <c r="B28" s="10">
        <v>0</v>
      </c>
      <c r="C28" s="10">
        <v>0</v>
      </c>
      <c r="D28" s="10">
        <v>600000</v>
      </c>
      <c r="E28" s="10">
        <v>412600</v>
      </c>
      <c r="F28" s="10">
        <v>1381.82</v>
      </c>
      <c r="G28" s="10">
        <v>4386.28</v>
      </c>
      <c r="H28" s="10">
        <v>59968</v>
      </c>
      <c r="I28" s="10">
        <v>0</v>
      </c>
      <c r="J28" s="10">
        <v>121663.9</v>
      </c>
      <c r="K28" s="10">
        <v>300000</v>
      </c>
      <c r="L28" s="10">
        <v>-178336.1</v>
      </c>
      <c r="M28" s="10">
        <f t="shared" si="2"/>
        <v>202032.69000000015</v>
      </c>
      <c r="N28" s="10">
        <f t="shared" si="0"/>
        <v>23696.590000000142</v>
      </c>
      <c r="O28" s="10">
        <f t="shared" si="3"/>
        <v>165818.06000000003</v>
      </c>
      <c r="P28" s="10">
        <f t="shared" si="1"/>
        <v>161431.78000000003</v>
      </c>
      <c r="S28" s="14"/>
    </row>
    <row r="29" spans="1:19" x14ac:dyDescent="0.25">
      <c r="A29" s="9">
        <v>27</v>
      </c>
      <c r="B29" s="10">
        <v>0</v>
      </c>
      <c r="C29" s="10">
        <v>0</v>
      </c>
      <c r="D29" s="10">
        <v>480000</v>
      </c>
      <c r="E29" s="10">
        <v>330080</v>
      </c>
      <c r="F29" s="10">
        <v>1345.26</v>
      </c>
      <c r="G29" s="10">
        <v>4422.84</v>
      </c>
      <c r="H29" s="10">
        <v>47974.400000000001</v>
      </c>
      <c r="I29" s="10">
        <v>0</v>
      </c>
      <c r="J29" s="10">
        <v>96177.5</v>
      </c>
      <c r="K29" s="10">
        <v>0</v>
      </c>
      <c r="L29" s="10">
        <v>96177.5</v>
      </c>
      <c r="M29" s="10">
        <f t="shared" si="2"/>
        <v>23696.590000000142</v>
      </c>
      <c r="N29" s="10">
        <f t="shared" si="0"/>
        <v>119874.09000000014</v>
      </c>
      <c r="O29" s="10">
        <f t="shared" si="3"/>
        <v>161431.78000000003</v>
      </c>
      <c r="P29" s="10">
        <f t="shared" si="1"/>
        <v>157008.94000000003</v>
      </c>
      <c r="S29" s="14"/>
    </row>
    <row r="30" spans="1:19" x14ac:dyDescent="0.25">
      <c r="A30" s="9">
        <v>28</v>
      </c>
      <c r="B30" s="10">
        <v>0</v>
      </c>
      <c r="C30" s="10">
        <v>0</v>
      </c>
      <c r="D30" s="10">
        <v>480000</v>
      </c>
      <c r="E30" s="10">
        <v>330080</v>
      </c>
      <c r="F30" s="10">
        <v>1308.4100000000001</v>
      </c>
      <c r="G30" s="10">
        <v>4459.6899999999996</v>
      </c>
      <c r="H30" s="10">
        <v>47974.400000000001</v>
      </c>
      <c r="I30" s="10">
        <v>0</v>
      </c>
      <c r="J30" s="10">
        <v>96177.5</v>
      </c>
      <c r="K30" s="10">
        <v>240000</v>
      </c>
      <c r="L30" s="10">
        <v>-143822.5</v>
      </c>
      <c r="M30" s="10">
        <f t="shared" si="2"/>
        <v>119874.09000000014</v>
      </c>
      <c r="N30" s="10">
        <f t="shared" si="0"/>
        <v>-23948.409999999858</v>
      </c>
      <c r="O30" s="10">
        <f t="shared" si="3"/>
        <v>157008.94000000003</v>
      </c>
      <c r="P30" s="10">
        <f t="shared" si="1"/>
        <v>152549.25000000003</v>
      </c>
      <c r="S30" s="14"/>
    </row>
    <row r="31" spans="1:19" x14ac:dyDescent="0.25">
      <c r="A31" s="9">
        <v>29</v>
      </c>
      <c r="B31" s="10">
        <v>0</v>
      </c>
      <c r="C31" s="10">
        <v>0</v>
      </c>
      <c r="D31" s="10">
        <v>630000</v>
      </c>
      <c r="E31" s="10">
        <v>433230</v>
      </c>
      <c r="F31" s="10">
        <v>1271.24</v>
      </c>
      <c r="G31" s="10">
        <v>4496.8599999999997</v>
      </c>
      <c r="H31" s="10">
        <v>62966.400000000001</v>
      </c>
      <c r="I31" s="10">
        <v>0</v>
      </c>
      <c r="J31" s="10">
        <v>128035.5</v>
      </c>
      <c r="K31" s="10">
        <v>0</v>
      </c>
      <c r="L31" s="10">
        <v>128035.5</v>
      </c>
      <c r="M31" s="10">
        <f t="shared" si="2"/>
        <v>-23948.409999999858</v>
      </c>
      <c r="N31" s="10">
        <f t="shared" si="0"/>
        <v>104087.09000000014</v>
      </c>
      <c r="O31" s="10">
        <f t="shared" si="3"/>
        <v>152549.25000000003</v>
      </c>
      <c r="P31" s="10">
        <f t="shared" si="1"/>
        <v>148052.39000000004</v>
      </c>
      <c r="S31" s="14"/>
    </row>
    <row r="32" spans="1:19" x14ac:dyDescent="0.25">
      <c r="A32" s="9">
        <v>30</v>
      </c>
      <c r="B32" s="10">
        <v>0</v>
      </c>
      <c r="C32" s="10">
        <v>0</v>
      </c>
      <c r="D32" s="10">
        <v>510000</v>
      </c>
      <c r="E32" s="10">
        <v>350710</v>
      </c>
      <c r="F32" s="10">
        <v>1233.77</v>
      </c>
      <c r="G32" s="10">
        <v>4534.33</v>
      </c>
      <c r="H32" s="10">
        <v>50972.800000000003</v>
      </c>
      <c r="I32" s="10">
        <v>0</v>
      </c>
      <c r="J32" s="10">
        <v>102549.1</v>
      </c>
      <c r="K32" s="10">
        <v>240000</v>
      </c>
      <c r="L32" s="10">
        <v>-137450.9</v>
      </c>
      <c r="M32" s="10">
        <f t="shared" si="2"/>
        <v>104087.09000000014</v>
      </c>
      <c r="N32" s="10">
        <f t="shared" si="0"/>
        <v>-33363.809999999852</v>
      </c>
      <c r="O32" s="10">
        <f t="shared" si="3"/>
        <v>148052.39000000004</v>
      </c>
      <c r="P32" s="10">
        <f t="shared" si="1"/>
        <v>143518.06000000006</v>
      </c>
      <c r="S32" s="14"/>
    </row>
    <row r="33" spans="1:19" x14ac:dyDescent="0.25">
      <c r="A33" s="9">
        <v>31</v>
      </c>
      <c r="B33" s="10">
        <v>0</v>
      </c>
      <c r="C33" s="10">
        <v>0</v>
      </c>
      <c r="D33" s="10">
        <v>630000</v>
      </c>
      <c r="E33" s="10">
        <v>433230</v>
      </c>
      <c r="F33" s="10">
        <v>1195.98</v>
      </c>
      <c r="G33" s="10">
        <v>4572.12</v>
      </c>
      <c r="H33" s="10">
        <v>62966.400000000001</v>
      </c>
      <c r="I33" s="10">
        <v>0</v>
      </c>
      <c r="J33" s="10">
        <v>128035.5</v>
      </c>
      <c r="K33" s="10">
        <v>0</v>
      </c>
      <c r="L33" s="10">
        <v>128035.5</v>
      </c>
      <c r="M33" s="10">
        <f t="shared" si="2"/>
        <v>-33363.809999999852</v>
      </c>
      <c r="N33" s="10">
        <f t="shared" si="0"/>
        <v>94671.690000000148</v>
      </c>
      <c r="O33" s="10">
        <f t="shared" si="3"/>
        <v>143518.06000000006</v>
      </c>
      <c r="P33" s="10">
        <f t="shared" si="1"/>
        <v>138945.94000000006</v>
      </c>
      <c r="S33" s="14"/>
    </row>
    <row r="34" spans="1:19" x14ac:dyDescent="0.25">
      <c r="A34" s="9">
        <v>32</v>
      </c>
      <c r="B34" s="10">
        <v>0</v>
      </c>
      <c r="C34" s="10">
        <v>0</v>
      </c>
      <c r="D34" s="10">
        <v>510000</v>
      </c>
      <c r="E34" s="10">
        <v>350710</v>
      </c>
      <c r="F34" s="10">
        <v>1157.8800000000001</v>
      </c>
      <c r="G34" s="10">
        <v>4610.22</v>
      </c>
      <c r="H34" s="10">
        <v>50972.800000000003</v>
      </c>
      <c r="I34" s="10">
        <v>0</v>
      </c>
      <c r="J34" s="10">
        <v>102549.1</v>
      </c>
      <c r="K34" s="10">
        <v>240000</v>
      </c>
      <c r="L34" s="10">
        <v>-137450.9</v>
      </c>
      <c r="M34" s="10">
        <f t="shared" si="2"/>
        <v>94671.690000000148</v>
      </c>
      <c r="N34" s="10">
        <f t="shared" si="0"/>
        <v>-42779.209999999846</v>
      </c>
      <c r="O34" s="10">
        <f t="shared" si="3"/>
        <v>138945.94000000006</v>
      </c>
      <c r="P34" s="10">
        <f t="shared" si="1"/>
        <v>134335.72000000006</v>
      </c>
      <c r="S34" s="14"/>
    </row>
    <row r="35" spans="1:19" x14ac:dyDescent="0.25">
      <c r="A35" s="9">
        <v>33</v>
      </c>
      <c r="B35" s="10">
        <v>0</v>
      </c>
      <c r="C35" s="10">
        <v>0</v>
      </c>
      <c r="D35" s="10">
        <v>630000</v>
      </c>
      <c r="E35" s="10">
        <v>433230</v>
      </c>
      <c r="F35" s="10">
        <v>1119.46</v>
      </c>
      <c r="G35" s="10">
        <v>4648.6400000000003</v>
      </c>
      <c r="H35" s="10">
        <v>62966.400000000001</v>
      </c>
      <c r="I35" s="10">
        <v>0</v>
      </c>
      <c r="J35" s="10">
        <v>128035.5</v>
      </c>
      <c r="K35" s="10">
        <v>0</v>
      </c>
      <c r="L35" s="10">
        <v>128035.5</v>
      </c>
      <c r="M35" s="10">
        <f t="shared" si="2"/>
        <v>-42779.209999999846</v>
      </c>
      <c r="N35" s="10">
        <f t="shared" ref="N35:N62" si="4">$M35+$L35</f>
        <v>85256.290000000154</v>
      </c>
      <c r="O35" s="10">
        <f t="shared" si="3"/>
        <v>134335.72000000006</v>
      </c>
      <c r="P35" s="10">
        <f t="shared" ref="P35:P66" si="5">O35+C35-G35</f>
        <v>129687.08000000006</v>
      </c>
      <c r="S35" s="14"/>
    </row>
    <row r="36" spans="1:19" x14ac:dyDescent="0.25">
      <c r="A36" s="9">
        <v>34</v>
      </c>
      <c r="B36" s="10">
        <v>0</v>
      </c>
      <c r="C36" s="10">
        <v>0</v>
      </c>
      <c r="D36" s="10">
        <v>630000</v>
      </c>
      <c r="E36" s="10">
        <v>433230</v>
      </c>
      <c r="F36" s="10">
        <v>1080.73</v>
      </c>
      <c r="G36" s="10">
        <v>4687.38</v>
      </c>
      <c r="H36" s="10">
        <v>62966.400000000001</v>
      </c>
      <c r="I36" s="10">
        <v>0</v>
      </c>
      <c r="J36" s="10">
        <v>128035.49</v>
      </c>
      <c r="K36" s="10">
        <v>240000</v>
      </c>
      <c r="L36" s="10">
        <v>-111964.51</v>
      </c>
      <c r="M36" s="10">
        <f t="shared" ref="M36:M62" si="6">$N35</f>
        <v>85256.290000000154</v>
      </c>
      <c r="N36" s="10">
        <f t="shared" si="4"/>
        <v>-26708.219999999841</v>
      </c>
      <c r="O36" s="10">
        <f t="shared" ref="O36:O62" si="7">P35</f>
        <v>129687.08000000006</v>
      </c>
      <c r="P36" s="10">
        <f t="shared" si="5"/>
        <v>124999.70000000006</v>
      </c>
      <c r="S36" s="14"/>
    </row>
    <row r="37" spans="1:19" x14ac:dyDescent="0.25">
      <c r="A37" s="9">
        <v>35</v>
      </c>
      <c r="B37" s="10">
        <v>0</v>
      </c>
      <c r="C37" s="10">
        <v>0</v>
      </c>
      <c r="D37" s="10">
        <v>630000</v>
      </c>
      <c r="E37" s="10">
        <v>433230</v>
      </c>
      <c r="F37" s="10">
        <v>1041.6600000000001</v>
      </c>
      <c r="G37" s="10">
        <v>4726.4399999999996</v>
      </c>
      <c r="H37" s="10">
        <v>62966.400000000001</v>
      </c>
      <c r="I37" s="10">
        <v>0</v>
      </c>
      <c r="J37" s="10">
        <v>128035.5</v>
      </c>
      <c r="K37" s="10">
        <v>0</v>
      </c>
      <c r="L37" s="10">
        <v>128035.5</v>
      </c>
      <c r="M37" s="10">
        <f t="shared" si="6"/>
        <v>-26708.219999999841</v>
      </c>
      <c r="N37" s="10">
        <f t="shared" si="4"/>
        <v>101327.28000000016</v>
      </c>
      <c r="O37" s="10">
        <f t="shared" si="7"/>
        <v>124999.70000000006</v>
      </c>
      <c r="P37" s="10">
        <f t="shared" si="5"/>
        <v>120273.26000000005</v>
      </c>
      <c r="S37" s="14"/>
    </row>
    <row r="38" spans="1:19" x14ac:dyDescent="0.25">
      <c r="A38" s="9">
        <v>36</v>
      </c>
      <c r="B38" s="10">
        <v>0</v>
      </c>
      <c r="C38" s="10">
        <v>0</v>
      </c>
      <c r="D38" s="10">
        <v>630000</v>
      </c>
      <c r="E38" s="10">
        <v>433230</v>
      </c>
      <c r="F38" s="10">
        <v>1002.28</v>
      </c>
      <c r="G38" s="10">
        <v>4765.82</v>
      </c>
      <c r="H38" s="10">
        <v>62966.400000000001</v>
      </c>
      <c r="I38" s="10">
        <v>0</v>
      </c>
      <c r="J38" s="10">
        <v>128035.5</v>
      </c>
      <c r="K38" s="10">
        <v>240000</v>
      </c>
      <c r="L38" s="10">
        <v>-111964.5</v>
      </c>
      <c r="M38" s="10">
        <f t="shared" si="6"/>
        <v>101327.28000000016</v>
      </c>
      <c r="N38" s="10">
        <f t="shared" si="4"/>
        <v>-10637.219999999841</v>
      </c>
      <c r="O38" s="10">
        <f t="shared" si="7"/>
        <v>120273.26000000005</v>
      </c>
      <c r="P38" s="10">
        <f t="shared" si="5"/>
        <v>115507.44000000006</v>
      </c>
      <c r="S38" s="14"/>
    </row>
    <row r="39" spans="1:19" x14ac:dyDescent="0.25">
      <c r="A39" s="9">
        <v>37</v>
      </c>
      <c r="B39" s="10">
        <v>0</v>
      </c>
      <c r="C39" s="10">
        <v>0</v>
      </c>
      <c r="D39" s="10">
        <v>630000</v>
      </c>
      <c r="E39" s="10">
        <v>433230</v>
      </c>
      <c r="F39" s="10">
        <v>962.56</v>
      </c>
      <c r="G39" s="10">
        <v>4805.54</v>
      </c>
      <c r="H39" s="10">
        <v>62966.400000000001</v>
      </c>
      <c r="I39" s="10">
        <v>0</v>
      </c>
      <c r="J39" s="10">
        <v>128035.5</v>
      </c>
      <c r="K39" s="10">
        <v>0</v>
      </c>
      <c r="L39" s="10">
        <v>128035.5</v>
      </c>
      <c r="M39" s="10">
        <f t="shared" si="6"/>
        <v>-10637.219999999841</v>
      </c>
      <c r="N39" s="10">
        <f t="shared" si="4"/>
        <v>117398.28000000016</v>
      </c>
      <c r="O39" s="10">
        <f t="shared" si="7"/>
        <v>115507.44000000006</v>
      </c>
      <c r="P39" s="10">
        <f t="shared" si="5"/>
        <v>110701.90000000007</v>
      </c>
      <c r="S39" s="14"/>
    </row>
    <row r="40" spans="1:19" x14ac:dyDescent="0.25">
      <c r="A40" s="9">
        <v>38</v>
      </c>
      <c r="B40" s="10">
        <v>0</v>
      </c>
      <c r="C40" s="10">
        <v>0</v>
      </c>
      <c r="D40" s="10">
        <v>630000</v>
      </c>
      <c r="E40" s="10">
        <v>433230</v>
      </c>
      <c r="F40" s="10">
        <v>922.52</v>
      </c>
      <c r="G40" s="10">
        <v>4845.59</v>
      </c>
      <c r="H40" s="10">
        <v>62966.400000000001</v>
      </c>
      <c r="I40" s="10">
        <v>0</v>
      </c>
      <c r="J40" s="10">
        <v>128035.49</v>
      </c>
      <c r="K40" s="10">
        <v>240000</v>
      </c>
      <c r="L40" s="10">
        <v>-111964.51</v>
      </c>
      <c r="M40" s="10">
        <f t="shared" si="6"/>
        <v>117398.28000000016</v>
      </c>
      <c r="N40" s="10">
        <f t="shared" si="4"/>
        <v>5433.7700000001641</v>
      </c>
      <c r="O40" s="10">
        <f t="shared" si="7"/>
        <v>110701.90000000007</v>
      </c>
      <c r="P40" s="10">
        <f t="shared" si="5"/>
        <v>105856.31000000007</v>
      </c>
      <c r="S40" s="14"/>
    </row>
    <row r="41" spans="1:19" x14ac:dyDescent="0.25">
      <c r="A41" s="9">
        <v>39</v>
      </c>
      <c r="B41" s="10">
        <v>0</v>
      </c>
      <c r="C41" s="10">
        <v>0</v>
      </c>
      <c r="D41" s="10">
        <v>750000</v>
      </c>
      <c r="E41" s="10">
        <v>515750</v>
      </c>
      <c r="F41" s="10">
        <v>882.14</v>
      </c>
      <c r="G41" s="10">
        <v>4885.97</v>
      </c>
      <c r="H41" s="10">
        <v>74960</v>
      </c>
      <c r="I41" s="10">
        <v>0</v>
      </c>
      <c r="J41" s="10">
        <v>153521.89000000001</v>
      </c>
      <c r="K41" s="10">
        <v>0</v>
      </c>
      <c r="L41" s="10">
        <v>153521.89000000001</v>
      </c>
      <c r="M41" s="10">
        <f t="shared" si="6"/>
        <v>5433.7700000001641</v>
      </c>
      <c r="N41" s="10">
        <f t="shared" si="4"/>
        <v>158955.66000000018</v>
      </c>
      <c r="O41" s="10">
        <f t="shared" si="7"/>
        <v>105856.31000000007</v>
      </c>
      <c r="P41" s="10">
        <f t="shared" si="5"/>
        <v>100970.34000000007</v>
      </c>
      <c r="S41" s="14"/>
    </row>
    <row r="42" spans="1:19" x14ac:dyDescent="0.25">
      <c r="A42" s="9">
        <v>40</v>
      </c>
      <c r="B42" s="10">
        <v>0</v>
      </c>
      <c r="C42" s="10">
        <v>0</v>
      </c>
      <c r="D42" s="10">
        <v>600000</v>
      </c>
      <c r="E42" s="10">
        <v>412600</v>
      </c>
      <c r="F42" s="10">
        <v>841.42</v>
      </c>
      <c r="G42" s="10">
        <v>4926.68</v>
      </c>
      <c r="H42" s="10">
        <v>59968</v>
      </c>
      <c r="I42" s="10">
        <v>0</v>
      </c>
      <c r="J42" s="10">
        <v>121663.9</v>
      </c>
      <c r="K42" s="10">
        <v>300000</v>
      </c>
      <c r="L42" s="10">
        <v>-178336.1</v>
      </c>
      <c r="M42" s="10">
        <f t="shared" si="6"/>
        <v>158955.66000000018</v>
      </c>
      <c r="N42" s="10">
        <f t="shared" si="4"/>
        <v>-19380.439999999828</v>
      </c>
      <c r="O42" s="10">
        <f t="shared" si="7"/>
        <v>100970.34000000007</v>
      </c>
      <c r="P42" s="10">
        <f t="shared" si="5"/>
        <v>96043.660000000062</v>
      </c>
      <c r="S42" s="14"/>
    </row>
    <row r="43" spans="1:19" x14ac:dyDescent="0.25">
      <c r="A43" s="9">
        <v>41</v>
      </c>
      <c r="B43" s="10">
        <v>0</v>
      </c>
      <c r="C43" s="10">
        <v>0</v>
      </c>
      <c r="D43" s="10">
        <v>720000</v>
      </c>
      <c r="E43" s="10">
        <v>495120</v>
      </c>
      <c r="F43" s="10">
        <v>800.36</v>
      </c>
      <c r="G43" s="10">
        <v>4967.74</v>
      </c>
      <c r="H43" s="10">
        <v>71961.600000000006</v>
      </c>
      <c r="I43" s="10">
        <v>0</v>
      </c>
      <c r="J43" s="10">
        <v>147150.29999999999</v>
      </c>
      <c r="K43" s="10">
        <v>0</v>
      </c>
      <c r="L43" s="10">
        <v>147150.29999999999</v>
      </c>
      <c r="M43" s="10">
        <f t="shared" si="6"/>
        <v>-19380.439999999828</v>
      </c>
      <c r="N43" s="10">
        <f t="shared" si="4"/>
        <v>127769.86000000016</v>
      </c>
      <c r="O43" s="10">
        <f t="shared" si="7"/>
        <v>96043.660000000062</v>
      </c>
      <c r="P43" s="10">
        <f t="shared" si="5"/>
        <v>91075.920000000056</v>
      </c>
      <c r="S43" s="14"/>
    </row>
    <row r="44" spans="1:19" x14ac:dyDescent="0.25">
      <c r="A44" s="9">
        <v>42</v>
      </c>
      <c r="B44" s="10">
        <v>0</v>
      </c>
      <c r="C44" s="10">
        <v>0</v>
      </c>
      <c r="D44" s="10">
        <v>600000</v>
      </c>
      <c r="E44" s="10">
        <v>412600</v>
      </c>
      <c r="F44" s="10">
        <v>758.97</v>
      </c>
      <c r="G44" s="10">
        <v>5009.1400000000003</v>
      </c>
      <c r="H44" s="10">
        <v>59968</v>
      </c>
      <c r="I44" s="10">
        <v>0</v>
      </c>
      <c r="J44" s="10">
        <v>121663.89</v>
      </c>
      <c r="K44" s="10">
        <v>300000</v>
      </c>
      <c r="L44" s="10">
        <v>-178336.11</v>
      </c>
      <c r="M44" s="10">
        <f t="shared" si="6"/>
        <v>127769.86000000016</v>
      </c>
      <c r="N44" s="10">
        <f t="shared" si="4"/>
        <v>-50566.249999999825</v>
      </c>
      <c r="O44" s="10">
        <f t="shared" si="7"/>
        <v>91075.920000000056</v>
      </c>
      <c r="P44" s="10">
        <f t="shared" si="5"/>
        <v>86066.780000000057</v>
      </c>
      <c r="S44" s="14"/>
    </row>
    <row r="45" spans="1:19" x14ac:dyDescent="0.25">
      <c r="A45" s="9">
        <v>43</v>
      </c>
      <c r="B45" s="10">
        <v>0</v>
      </c>
      <c r="C45" s="10">
        <v>0</v>
      </c>
      <c r="D45" s="10">
        <v>750000</v>
      </c>
      <c r="E45" s="10">
        <v>515750</v>
      </c>
      <c r="F45" s="10">
        <v>717.22</v>
      </c>
      <c r="G45" s="10">
        <v>5050.88</v>
      </c>
      <c r="H45" s="10">
        <v>74960</v>
      </c>
      <c r="I45" s="10">
        <v>0</v>
      </c>
      <c r="J45" s="10">
        <v>153521.9</v>
      </c>
      <c r="K45" s="10">
        <v>0</v>
      </c>
      <c r="L45" s="10">
        <v>153521.9</v>
      </c>
      <c r="M45" s="10">
        <f t="shared" si="6"/>
        <v>-50566.249999999825</v>
      </c>
      <c r="N45" s="10">
        <f t="shared" si="4"/>
        <v>102955.65000000017</v>
      </c>
      <c r="O45" s="10">
        <f t="shared" si="7"/>
        <v>86066.780000000057</v>
      </c>
      <c r="P45" s="10">
        <f t="shared" si="5"/>
        <v>81015.900000000052</v>
      </c>
      <c r="S45" s="14"/>
    </row>
    <row r="46" spans="1:19" x14ac:dyDescent="0.25">
      <c r="A46" s="9">
        <v>44</v>
      </c>
      <c r="B46" s="10">
        <v>0</v>
      </c>
      <c r="C46" s="10">
        <v>0</v>
      </c>
      <c r="D46" s="10">
        <v>630000</v>
      </c>
      <c r="E46" s="10">
        <v>433230</v>
      </c>
      <c r="F46" s="10">
        <v>675.13</v>
      </c>
      <c r="G46" s="10">
        <v>5092.97</v>
      </c>
      <c r="H46" s="10">
        <v>62966.400000000001</v>
      </c>
      <c r="I46" s="10">
        <v>0</v>
      </c>
      <c r="J46" s="10">
        <v>128035.5</v>
      </c>
      <c r="K46" s="10">
        <v>300000</v>
      </c>
      <c r="L46" s="10">
        <v>-171964.5</v>
      </c>
      <c r="M46" s="10">
        <f t="shared" si="6"/>
        <v>102955.65000000017</v>
      </c>
      <c r="N46" s="10">
        <f t="shared" si="4"/>
        <v>-69008.849999999831</v>
      </c>
      <c r="O46" s="10">
        <f t="shared" si="7"/>
        <v>81015.900000000052</v>
      </c>
      <c r="P46" s="10">
        <f t="shared" si="5"/>
        <v>75922.930000000051</v>
      </c>
      <c r="S46" s="14"/>
    </row>
    <row r="47" spans="1:19" x14ac:dyDescent="0.25">
      <c r="A47" s="9">
        <v>45</v>
      </c>
      <c r="B47" s="10">
        <v>0</v>
      </c>
      <c r="C47" s="10">
        <v>0</v>
      </c>
      <c r="D47" s="10">
        <v>780000</v>
      </c>
      <c r="E47" s="10">
        <v>536380</v>
      </c>
      <c r="F47" s="10">
        <v>632.69000000000005</v>
      </c>
      <c r="G47" s="10">
        <v>5135.41</v>
      </c>
      <c r="H47" s="10">
        <v>77958.399999999994</v>
      </c>
      <c r="I47" s="10">
        <v>0</v>
      </c>
      <c r="J47" s="10">
        <v>159893.5</v>
      </c>
      <c r="K47" s="10">
        <v>0</v>
      </c>
      <c r="L47" s="10">
        <v>159893.5</v>
      </c>
      <c r="M47" s="10">
        <f t="shared" si="6"/>
        <v>-69008.849999999831</v>
      </c>
      <c r="N47" s="10">
        <f t="shared" si="4"/>
        <v>90884.650000000169</v>
      </c>
      <c r="O47" s="10">
        <f t="shared" si="7"/>
        <v>75922.930000000051</v>
      </c>
      <c r="P47" s="10">
        <f t="shared" si="5"/>
        <v>70787.520000000048</v>
      </c>
      <c r="S47" s="14"/>
    </row>
    <row r="48" spans="1:19" x14ac:dyDescent="0.25">
      <c r="A48" s="9">
        <v>46</v>
      </c>
      <c r="B48" s="10">
        <v>0</v>
      </c>
      <c r="C48" s="10">
        <v>0</v>
      </c>
      <c r="D48" s="10">
        <v>660000</v>
      </c>
      <c r="E48" s="10">
        <v>453860</v>
      </c>
      <c r="F48" s="10">
        <v>589.9</v>
      </c>
      <c r="G48" s="10">
        <v>5178.21</v>
      </c>
      <c r="H48" s="10">
        <v>65964.800000000003</v>
      </c>
      <c r="I48" s="10">
        <v>0</v>
      </c>
      <c r="J48" s="10">
        <v>134407.09</v>
      </c>
      <c r="K48" s="10">
        <v>240000</v>
      </c>
      <c r="L48" s="10">
        <v>-105592.91</v>
      </c>
      <c r="M48" s="10">
        <f t="shared" si="6"/>
        <v>90884.650000000169</v>
      </c>
      <c r="N48" s="10">
        <f t="shared" si="4"/>
        <v>-14708.259999999835</v>
      </c>
      <c r="O48" s="10">
        <f t="shared" si="7"/>
        <v>70787.520000000048</v>
      </c>
      <c r="P48" s="10">
        <f t="shared" si="5"/>
        <v>65609.310000000041</v>
      </c>
      <c r="S48" s="14"/>
    </row>
    <row r="49" spans="1:19" x14ac:dyDescent="0.25">
      <c r="A49" s="9">
        <v>47</v>
      </c>
      <c r="B49" s="10">
        <v>0</v>
      </c>
      <c r="C49" s="10">
        <v>0</v>
      </c>
      <c r="D49" s="10">
        <v>810000</v>
      </c>
      <c r="E49" s="10">
        <v>557010</v>
      </c>
      <c r="F49" s="10">
        <v>546.74</v>
      </c>
      <c r="G49" s="10">
        <v>5221.3599999999997</v>
      </c>
      <c r="H49" s="10">
        <v>80956.800000000003</v>
      </c>
      <c r="I49" s="10">
        <v>0</v>
      </c>
      <c r="J49" s="10">
        <v>166265.1</v>
      </c>
      <c r="K49" s="10">
        <v>0</v>
      </c>
      <c r="L49" s="10">
        <v>166265.1</v>
      </c>
      <c r="M49" s="10">
        <f t="shared" si="6"/>
        <v>-14708.259999999835</v>
      </c>
      <c r="N49" s="10">
        <f t="shared" si="4"/>
        <v>151556.84000000017</v>
      </c>
      <c r="O49" s="10">
        <f t="shared" si="7"/>
        <v>65609.310000000041</v>
      </c>
      <c r="P49" s="10">
        <f t="shared" si="5"/>
        <v>60387.950000000041</v>
      </c>
      <c r="S49" s="14"/>
    </row>
    <row r="50" spans="1:19" x14ac:dyDescent="0.25">
      <c r="A50" s="9">
        <v>48</v>
      </c>
      <c r="B50" s="10">
        <v>0</v>
      </c>
      <c r="C50" s="10">
        <v>0</v>
      </c>
      <c r="D50" s="10">
        <v>690000</v>
      </c>
      <c r="E50" s="10">
        <v>474490</v>
      </c>
      <c r="F50" s="10">
        <v>503.23</v>
      </c>
      <c r="G50" s="10">
        <v>5264.87</v>
      </c>
      <c r="H50" s="10">
        <v>68963.199999999997</v>
      </c>
      <c r="I50" s="10">
        <v>0</v>
      </c>
      <c r="J50" s="10">
        <v>140778.70000000001</v>
      </c>
      <c r="K50" s="10">
        <v>360000</v>
      </c>
      <c r="L50" s="10">
        <v>-219221.3</v>
      </c>
      <c r="M50" s="10">
        <f t="shared" si="6"/>
        <v>151556.84000000017</v>
      </c>
      <c r="N50" s="10">
        <f t="shared" si="4"/>
        <v>-67664.459999999817</v>
      </c>
      <c r="O50" s="10">
        <f t="shared" si="7"/>
        <v>60387.950000000041</v>
      </c>
      <c r="P50" s="10">
        <f t="shared" si="5"/>
        <v>55123.080000000038</v>
      </c>
      <c r="Q50" s="14"/>
      <c r="S50" s="14"/>
    </row>
    <row r="51" spans="1:19" x14ac:dyDescent="0.25">
      <c r="A51" s="9">
        <v>49</v>
      </c>
      <c r="B51" s="10">
        <v>0</v>
      </c>
      <c r="C51" s="10">
        <v>0</v>
      </c>
      <c r="D51" s="10">
        <v>810000</v>
      </c>
      <c r="E51" s="10">
        <v>557010</v>
      </c>
      <c r="F51" s="10">
        <v>459.36</v>
      </c>
      <c r="G51" s="10">
        <v>5308.74</v>
      </c>
      <c r="H51" s="10">
        <v>80956.800000000003</v>
      </c>
      <c r="I51" s="10">
        <v>0</v>
      </c>
      <c r="J51" s="10">
        <v>166265.1</v>
      </c>
      <c r="K51" s="10">
        <v>0</v>
      </c>
      <c r="L51" s="10">
        <v>166265.1</v>
      </c>
      <c r="M51" s="10">
        <f t="shared" si="6"/>
        <v>-67664.459999999817</v>
      </c>
      <c r="N51" s="10">
        <f t="shared" si="4"/>
        <v>98600.640000000189</v>
      </c>
      <c r="O51" s="10">
        <f t="shared" si="7"/>
        <v>55123.080000000038</v>
      </c>
      <c r="P51" s="10">
        <f t="shared" si="5"/>
        <v>49814.34000000004</v>
      </c>
      <c r="S51" s="14"/>
    </row>
    <row r="52" spans="1:19" x14ac:dyDescent="0.25">
      <c r="A52" s="9">
        <v>50</v>
      </c>
      <c r="B52" s="10">
        <v>0</v>
      </c>
      <c r="C52" s="10">
        <v>0</v>
      </c>
      <c r="D52" s="10">
        <v>690000</v>
      </c>
      <c r="E52" s="10">
        <v>474490</v>
      </c>
      <c r="F52" s="10">
        <v>415.12</v>
      </c>
      <c r="G52" s="10">
        <v>5352.98</v>
      </c>
      <c r="H52" s="10">
        <v>68963.199999999997</v>
      </c>
      <c r="I52" s="10">
        <v>0</v>
      </c>
      <c r="J52" s="10">
        <v>140778.70000000001</v>
      </c>
      <c r="K52" s="10">
        <v>300000</v>
      </c>
      <c r="L52" s="10">
        <v>-159221.29999999999</v>
      </c>
      <c r="M52" s="10">
        <f t="shared" si="6"/>
        <v>98600.640000000189</v>
      </c>
      <c r="N52" s="10">
        <f t="shared" si="4"/>
        <v>-60620.6599999998</v>
      </c>
      <c r="O52" s="10">
        <f t="shared" si="7"/>
        <v>49814.34000000004</v>
      </c>
      <c r="P52" s="10">
        <f t="shared" si="5"/>
        <v>44461.360000000044</v>
      </c>
      <c r="S52" s="14"/>
    </row>
    <row r="53" spans="1:19" x14ac:dyDescent="0.25">
      <c r="A53" s="9">
        <v>51</v>
      </c>
      <c r="B53" s="10">
        <v>0</v>
      </c>
      <c r="C53" s="10">
        <v>0</v>
      </c>
      <c r="D53" s="10">
        <v>870000</v>
      </c>
      <c r="E53" s="10">
        <v>598270</v>
      </c>
      <c r="F53" s="10">
        <v>370.51</v>
      </c>
      <c r="G53" s="10">
        <v>5397.59</v>
      </c>
      <c r="H53" s="10">
        <v>86953.600000000006</v>
      </c>
      <c r="I53" s="10">
        <v>0</v>
      </c>
      <c r="J53" s="10">
        <v>179008.3</v>
      </c>
      <c r="K53" s="10">
        <v>0</v>
      </c>
      <c r="L53" s="10">
        <v>179008.3</v>
      </c>
      <c r="M53" s="10">
        <f t="shared" si="6"/>
        <v>-60620.6599999998</v>
      </c>
      <c r="N53" s="10">
        <f t="shared" si="4"/>
        <v>118387.64000000019</v>
      </c>
      <c r="O53" s="10">
        <f t="shared" si="7"/>
        <v>44461.360000000044</v>
      </c>
      <c r="P53" s="10">
        <f t="shared" si="5"/>
        <v>39063.770000000048</v>
      </c>
      <c r="S53" s="14"/>
    </row>
    <row r="54" spans="1:19" x14ac:dyDescent="0.25">
      <c r="A54" s="9">
        <v>52</v>
      </c>
      <c r="B54" s="10">
        <v>0</v>
      </c>
      <c r="C54" s="10">
        <v>0</v>
      </c>
      <c r="D54" s="10">
        <v>750000</v>
      </c>
      <c r="E54" s="10">
        <v>515750</v>
      </c>
      <c r="F54" s="10">
        <v>325.52999999999997</v>
      </c>
      <c r="G54" s="10">
        <v>5442.57</v>
      </c>
      <c r="H54" s="10">
        <v>74960</v>
      </c>
      <c r="I54" s="10">
        <v>0</v>
      </c>
      <c r="J54" s="10">
        <v>153521.9</v>
      </c>
      <c r="K54" s="10">
        <v>300000</v>
      </c>
      <c r="L54" s="10">
        <v>-146478.1</v>
      </c>
      <c r="M54" s="10">
        <f t="shared" si="6"/>
        <v>118387.64000000019</v>
      </c>
      <c r="N54" s="10">
        <f t="shared" si="4"/>
        <v>-28090.459999999817</v>
      </c>
      <c r="O54" s="10">
        <f t="shared" si="7"/>
        <v>39063.770000000048</v>
      </c>
      <c r="P54" s="10">
        <f t="shared" si="5"/>
        <v>33621.200000000048</v>
      </c>
      <c r="S54" s="14"/>
    </row>
    <row r="55" spans="1:19" x14ac:dyDescent="0.25">
      <c r="A55" s="9">
        <v>53</v>
      </c>
      <c r="B55" s="10">
        <v>0</v>
      </c>
      <c r="C55" s="10">
        <v>0</v>
      </c>
      <c r="D55" s="10">
        <v>900000</v>
      </c>
      <c r="E55" s="10">
        <v>618900</v>
      </c>
      <c r="F55" s="10">
        <v>280.18</v>
      </c>
      <c r="G55" s="10">
        <v>5487.93</v>
      </c>
      <c r="H55" s="10">
        <v>89952</v>
      </c>
      <c r="I55" s="10">
        <v>0</v>
      </c>
      <c r="J55" s="10">
        <v>185379.89</v>
      </c>
      <c r="K55" s="10">
        <v>0</v>
      </c>
      <c r="L55" s="10">
        <v>185379.89</v>
      </c>
      <c r="M55" s="10">
        <f t="shared" si="6"/>
        <v>-28090.459999999817</v>
      </c>
      <c r="N55" s="10">
        <f t="shared" si="4"/>
        <v>157289.4300000002</v>
      </c>
      <c r="O55" s="10">
        <f t="shared" si="7"/>
        <v>33621.200000000048</v>
      </c>
      <c r="P55" s="10">
        <f t="shared" si="5"/>
        <v>28133.270000000048</v>
      </c>
      <c r="S55" s="14"/>
    </row>
    <row r="56" spans="1:19" x14ac:dyDescent="0.25">
      <c r="A56" s="9">
        <v>54</v>
      </c>
      <c r="B56" s="10">
        <v>0</v>
      </c>
      <c r="C56" s="10">
        <v>0</v>
      </c>
      <c r="D56" s="10">
        <v>750000</v>
      </c>
      <c r="E56" s="10">
        <v>515750</v>
      </c>
      <c r="F56" s="10">
        <v>234.44</v>
      </c>
      <c r="G56" s="10">
        <v>5533.66</v>
      </c>
      <c r="H56" s="10">
        <v>74960</v>
      </c>
      <c r="I56" s="10">
        <v>0</v>
      </c>
      <c r="J56" s="10">
        <v>153521.9</v>
      </c>
      <c r="K56" s="10">
        <v>360000</v>
      </c>
      <c r="L56" s="10">
        <v>-206478.1</v>
      </c>
      <c r="M56" s="10">
        <f t="shared" si="6"/>
        <v>157289.4300000002</v>
      </c>
      <c r="N56" s="10">
        <f t="shared" si="4"/>
        <v>-49188.669999999809</v>
      </c>
      <c r="O56" s="10">
        <f t="shared" si="7"/>
        <v>28133.270000000048</v>
      </c>
      <c r="P56" s="10">
        <f t="shared" si="5"/>
        <v>22599.610000000048</v>
      </c>
      <c r="S56" s="14"/>
    </row>
    <row r="57" spans="1:19" x14ac:dyDescent="0.25">
      <c r="A57" s="9">
        <v>55</v>
      </c>
      <c r="B57" s="10">
        <v>0</v>
      </c>
      <c r="C57" s="10">
        <v>0</v>
      </c>
      <c r="D57" s="10">
        <v>900000</v>
      </c>
      <c r="E57" s="10">
        <v>618900</v>
      </c>
      <c r="F57" s="10">
        <v>188.33</v>
      </c>
      <c r="G57" s="10">
        <v>5579.77</v>
      </c>
      <c r="H57" s="10">
        <v>89952</v>
      </c>
      <c r="I57" s="10">
        <v>0</v>
      </c>
      <c r="J57" s="10">
        <v>185379.9</v>
      </c>
      <c r="K57" s="10">
        <v>0</v>
      </c>
      <c r="L57" s="10">
        <v>185379.9</v>
      </c>
      <c r="M57" s="10">
        <f t="shared" si="6"/>
        <v>-49188.669999999809</v>
      </c>
      <c r="N57" s="10">
        <f t="shared" si="4"/>
        <v>136191.23000000019</v>
      </c>
      <c r="O57" s="10">
        <f t="shared" si="7"/>
        <v>22599.610000000048</v>
      </c>
      <c r="P57" s="10">
        <f t="shared" si="5"/>
        <v>17019.840000000047</v>
      </c>
      <c r="S57" s="14"/>
    </row>
    <row r="58" spans="1:19" x14ac:dyDescent="0.25">
      <c r="A58" s="9">
        <v>56</v>
      </c>
      <c r="B58" s="10">
        <v>0</v>
      </c>
      <c r="C58" s="10">
        <v>0</v>
      </c>
      <c r="D58" s="10">
        <v>750000</v>
      </c>
      <c r="E58" s="10">
        <v>515750</v>
      </c>
      <c r="F58" s="10">
        <v>141.83000000000001</v>
      </c>
      <c r="G58" s="10">
        <v>5626.27</v>
      </c>
      <c r="H58" s="10">
        <v>74960</v>
      </c>
      <c r="I58" s="10">
        <v>0</v>
      </c>
      <c r="J58" s="10">
        <v>153521.9</v>
      </c>
      <c r="K58" s="10">
        <v>360000</v>
      </c>
      <c r="L58" s="10">
        <v>-206478.1</v>
      </c>
      <c r="M58" s="10">
        <f t="shared" si="6"/>
        <v>136191.23000000019</v>
      </c>
      <c r="N58" s="10">
        <f t="shared" si="4"/>
        <v>-70286.869999999821</v>
      </c>
      <c r="O58" s="10">
        <f t="shared" si="7"/>
        <v>17019.840000000047</v>
      </c>
      <c r="P58" s="10">
        <f t="shared" si="5"/>
        <v>11393.570000000047</v>
      </c>
      <c r="S58" s="14"/>
    </row>
    <row r="59" spans="1:19" x14ac:dyDescent="0.25">
      <c r="A59" s="9">
        <v>57</v>
      </c>
      <c r="B59" s="10">
        <v>0</v>
      </c>
      <c r="C59" s="10">
        <v>0</v>
      </c>
      <c r="D59" s="10">
        <v>930000</v>
      </c>
      <c r="E59" s="10">
        <v>639530</v>
      </c>
      <c r="F59" s="10">
        <v>94.95</v>
      </c>
      <c r="G59" s="10">
        <v>5673.16</v>
      </c>
      <c r="H59" s="10">
        <v>92950.399999999994</v>
      </c>
      <c r="I59" s="10">
        <v>0</v>
      </c>
      <c r="J59" s="10">
        <v>191751.49</v>
      </c>
      <c r="K59" s="10">
        <v>0</v>
      </c>
      <c r="L59" s="10">
        <v>191751.49</v>
      </c>
      <c r="M59" s="10">
        <f t="shared" si="6"/>
        <v>-70286.869999999821</v>
      </c>
      <c r="N59" s="10">
        <f t="shared" si="4"/>
        <v>121464.62000000017</v>
      </c>
      <c r="O59" s="10">
        <f t="shared" si="7"/>
        <v>11393.570000000047</v>
      </c>
      <c r="P59" s="10">
        <f t="shared" si="5"/>
        <v>5720.4100000000471</v>
      </c>
      <c r="S59" s="14"/>
    </row>
    <row r="60" spans="1:19" x14ac:dyDescent="0.25">
      <c r="A60" s="9">
        <v>58</v>
      </c>
      <c r="B60" s="10">
        <v>0</v>
      </c>
      <c r="C60" s="10">
        <v>0</v>
      </c>
      <c r="D60" s="10">
        <v>780000</v>
      </c>
      <c r="E60" s="10">
        <v>536380</v>
      </c>
      <c r="F60" s="10">
        <v>47.67</v>
      </c>
      <c r="G60" s="10">
        <v>5720.43</v>
      </c>
      <c r="H60" s="10">
        <v>77958.399999999994</v>
      </c>
      <c r="I60" s="10">
        <v>0</v>
      </c>
      <c r="J60" s="10">
        <v>159893.5</v>
      </c>
      <c r="K60" s="10">
        <v>300000</v>
      </c>
      <c r="L60" s="10">
        <v>-140106.5</v>
      </c>
      <c r="M60" s="10">
        <f t="shared" si="6"/>
        <v>121464.62000000017</v>
      </c>
      <c r="N60" s="10">
        <f t="shared" si="4"/>
        <v>-18641.87999999983</v>
      </c>
      <c r="O60" s="10">
        <f t="shared" si="7"/>
        <v>5720.4100000000471</v>
      </c>
      <c r="P60" s="10">
        <f t="shared" si="5"/>
        <v>-1.9999999953142833E-2</v>
      </c>
      <c r="S60" s="14"/>
    </row>
    <row r="61" spans="1:19" x14ac:dyDescent="0.25">
      <c r="A61" s="9">
        <v>59</v>
      </c>
      <c r="B61" s="10">
        <v>0</v>
      </c>
      <c r="C61" s="10">
        <v>0</v>
      </c>
      <c r="D61" s="10">
        <v>960000</v>
      </c>
      <c r="E61" s="10">
        <v>660160</v>
      </c>
      <c r="F61" s="10">
        <v>0</v>
      </c>
      <c r="G61" s="10">
        <v>0</v>
      </c>
      <c r="H61" s="10">
        <v>95948.800000000003</v>
      </c>
      <c r="I61" s="10">
        <v>0</v>
      </c>
      <c r="J61" s="10">
        <v>203891.20000000001</v>
      </c>
      <c r="K61" s="10">
        <v>0</v>
      </c>
      <c r="L61" s="10">
        <v>203891.20000000001</v>
      </c>
      <c r="M61" s="10">
        <f t="shared" si="6"/>
        <v>-18641.87999999983</v>
      </c>
      <c r="N61" s="10">
        <f t="shared" si="4"/>
        <v>185249.32000000018</v>
      </c>
      <c r="O61" s="10">
        <f t="shared" si="7"/>
        <v>-1.9999999953142833E-2</v>
      </c>
      <c r="P61" s="10">
        <f t="shared" si="5"/>
        <v>-1.9999999953142833E-2</v>
      </c>
      <c r="S61" s="14"/>
    </row>
    <row r="62" spans="1:19" x14ac:dyDescent="0.25">
      <c r="A62" s="9">
        <v>60</v>
      </c>
      <c r="B62" s="10">
        <v>0</v>
      </c>
      <c r="C62" s="10">
        <v>0</v>
      </c>
      <c r="D62" s="10">
        <v>840000</v>
      </c>
      <c r="E62" s="10">
        <v>577640</v>
      </c>
      <c r="F62" s="10">
        <v>0</v>
      </c>
      <c r="G62" s="10">
        <v>0</v>
      </c>
      <c r="H62" s="10">
        <v>83955.199999999997</v>
      </c>
      <c r="I62" s="10">
        <v>0</v>
      </c>
      <c r="J62" s="10">
        <v>178404.8</v>
      </c>
      <c r="K62" s="10">
        <v>360000</v>
      </c>
      <c r="L62" s="10">
        <v>-181595.2</v>
      </c>
      <c r="M62" s="10">
        <f t="shared" si="6"/>
        <v>185249.32000000018</v>
      </c>
      <c r="N62" s="10">
        <f t="shared" si="4"/>
        <v>3654.12000000017</v>
      </c>
      <c r="O62" s="10">
        <f t="shared" si="7"/>
        <v>-1.9999999953142833E-2</v>
      </c>
      <c r="P62" s="10">
        <f t="shared" si="5"/>
        <v>-1.9999999953142833E-2</v>
      </c>
      <c r="S62" s="14"/>
    </row>
    <row r="63" spans="1:19" ht="15" customHeight="1" x14ac:dyDescent="0.25">
      <c r="J63" s="14"/>
    </row>
  </sheetData>
  <mergeCells count="1">
    <mergeCell ref="A1:P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62"/>
  <sheetViews>
    <sheetView showGridLines="0" tabSelected="1" zoomScale="130" zoomScaleNormal="130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I2" sqref="I2"/>
    </sheetView>
  </sheetViews>
  <sheetFormatPr defaultColWidth="8.7109375" defaultRowHeight="15" customHeight="1" x14ac:dyDescent="0.25"/>
  <cols>
    <col min="2" max="2" width="10" customWidth="1"/>
    <col min="3" max="3" width="12" customWidth="1"/>
    <col min="4" max="4" width="14.140625" bestFit="1" customWidth="1"/>
    <col min="5" max="5" width="17.7109375" customWidth="1"/>
    <col min="6" max="7" width="12" customWidth="1"/>
    <col min="8" max="8" width="20" customWidth="1"/>
    <col min="9" max="9" width="18.85546875" customWidth="1"/>
    <col min="10" max="10" width="17.5703125" customWidth="1"/>
    <col min="11" max="11" width="11.140625" bestFit="1" customWidth="1"/>
    <col min="12" max="12" width="14.85546875" bestFit="1" customWidth="1"/>
    <col min="13" max="13" width="15.28515625" customWidth="1"/>
    <col min="14" max="14" width="13.7109375" customWidth="1"/>
    <col min="15" max="15" width="20.42578125" customWidth="1"/>
    <col min="16" max="16" width="12" customWidth="1"/>
    <col min="17" max="17" width="12.7109375" bestFit="1" customWidth="1"/>
    <col min="18" max="18" width="19.7109375" customWidth="1"/>
    <col min="19" max="19" width="12" customWidth="1"/>
    <col min="20" max="20" width="15.28515625" customWidth="1"/>
    <col min="21" max="21" width="14.42578125" customWidth="1"/>
    <col min="22" max="25" width="12" customWidth="1"/>
  </cols>
  <sheetData>
    <row r="1" spans="1:25" ht="17.25" customHeight="1" x14ac:dyDescent="0.3">
      <c r="A1" s="22" t="s">
        <v>105</v>
      </c>
      <c r="B1" s="21"/>
      <c r="C1" s="21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</row>
    <row r="2" spans="1:25" ht="31.5" customHeight="1" x14ac:dyDescent="0.25">
      <c r="A2" s="19" t="s">
        <v>106</v>
      </c>
      <c r="B2" s="2" t="s">
        <v>1</v>
      </c>
      <c r="C2" s="2" t="s">
        <v>107</v>
      </c>
      <c r="D2" s="2" t="s">
        <v>108</v>
      </c>
      <c r="E2" s="2" t="s">
        <v>109</v>
      </c>
      <c r="F2" s="2" t="s">
        <v>110</v>
      </c>
      <c r="G2" s="2" t="s">
        <v>111</v>
      </c>
      <c r="H2" s="2" t="s">
        <v>112</v>
      </c>
      <c r="I2" s="2" t="s">
        <v>113</v>
      </c>
      <c r="J2" s="2" t="s">
        <v>114</v>
      </c>
      <c r="K2" s="2" t="s">
        <v>115</v>
      </c>
      <c r="L2" s="2" t="s">
        <v>116</v>
      </c>
      <c r="M2" s="15" t="s">
        <v>117</v>
      </c>
      <c r="N2" s="2" t="s">
        <v>118</v>
      </c>
      <c r="O2" s="2" t="s">
        <v>119</v>
      </c>
      <c r="P2" s="2" t="s">
        <v>120</v>
      </c>
      <c r="Q2" s="15" t="s">
        <v>121</v>
      </c>
      <c r="R2" s="2" t="s">
        <v>122</v>
      </c>
      <c r="S2" s="2" t="s">
        <v>123</v>
      </c>
      <c r="T2" s="2"/>
      <c r="U2" s="2"/>
      <c r="V2" s="2"/>
      <c r="W2" s="2"/>
      <c r="X2" s="2"/>
      <c r="Y2" s="2"/>
    </row>
    <row r="3" spans="1:25" x14ac:dyDescent="0.25">
      <c r="A3" s="9">
        <v>1</v>
      </c>
      <c r="B3" s="9">
        <v>1</v>
      </c>
      <c r="C3" s="8">
        <v>4</v>
      </c>
      <c r="D3" s="10">
        <v>120000</v>
      </c>
      <c r="E3" s="10">
        <v>52000</v>
      </c>
      <c r="F3" s="10">
        <v>1160</v>
      </c>
      <c r="G3" s="10">
        <v>960</v>
      </c>
      <c r="H3" s="10">
        <v>5000</v>
      </c>
      <c r="I3" s="10">
        <v>5600</v>
      </c>
      <c r="J3" s="10">
        <v>2000</v>
      </c>
      <c r="K3" s="10">
        <v>3800</v>
      </c>
      <c r="L3" s="10">
        <v>70520</v>
      </c>
      <c r="M3" s="10">
        <v>49480</v>
      </c>
      <c r="N3" s="10">
        <v>12000</v>
      </c>
      <c r="O3" s="10">
        <v>12000</v>
      </c>
      <c r="P3" s="10">
        <v>37480</v>
      </c>
      <c r="Q3" s="10">
        <v>11993.6</v>
      </c>
      <c r="R3" s="10">
        <v>25486.400000000001</v>
      </c>
      <c r="S3" s="10">
        <f t="shared" ref="S3:S34" si="0">$Q3-$R3</f>
        <v>-13492.800000000001</v>
      </c>
      <c r="T3" s="10"/>
      <c r="U3" s="10"/>
      <c r="V3" s="10"/>
      <c r="W3" s="10"/>
      <c r="X3" s="10"/>
      <c r="Y3" s="10"/>
    </row>
    <row r="4" spans="1:25" x14ac:dyDescent="0.25">
      <c r="A4" s="9">
        <v>1</v>
      </c>
      <c r="B4" s="9">
        <v>2</v>
      </c>
      <c r="C4" s="8">
        <v>4</v>
      </c>
      <c r="D4" s="10">
        <v>120000</v>
      </c>
      <c r="E4" s="10">
        <v>52000</v>
      </c>
      <c r="F4" s="10">
        <v>1160</v>
      </c>
      <c r="G4" s="10">
        <v>960</v>
      </c>
      <c r="H4" s="10">
        <v>5000</v>
      </c>
      <c r="I4" s="10">
        <v>5600</v>
      </c>
      <c r="J4" s="10">
        <v>2000</v>
      </c>
      <c r="K4" s="10">
        <v>3800</v>
      </c>
      <c r="L4" s="10">
        <v>70520</v>
      </c>
      <c r="M4" s="10">
        <v>49480</v>
      </c>
      <c r="N4" s="10">
        <v>12000</v>
      </c>
      <c r="O4" s="10">
        <v>12000</v>
      </c>
      <c r="P4" s="10">
        <v>37480</v>
      </c>
      <c r="Q4" s="10">
        <v>11993.6</v>
      </c>
      <c r="R4" s="10">
        <v>25486.400000000001</v>
      </c>
      <c r="S4" s="10">
        <f t="shared" si="0"/>
        <v>-13492.800000000001</v>
      </c>
      <c r="T4" s="10"/>
      <c r="U4" s="10"/>
      <c r="V4" s="10"/>
      <c r="W4" s="10"/>
      <c r="X4" s="10"/>
      <c r="Y4" s="10"/>
    </row>
    <row r="5" spans="1:25" x14ac:dyDescent="0.25">
      <c r="A5" s="9">
        <v>1</v>
      </c>
      <c r="B5" s="9">
        <v>3</v>
      </c>
      <c r="C5" s="8">
        <v>4</v>
      </c>
      <c r="D5" s="10">
        <v>120000</v>
      </c>
      <c r="E5" s="10">
        <v>52000</v>
      </c>
      <c r="F5" s="10">
        <v>1160</v>
      </c>
      <c r="G5" s="10">
        <v>960</v>
      </c>
      <c r="H5" s="10">
        <v>5000</v>
      </c>
      <c r="I5" s="10">
        <v>5600</v>
      </c>
      <c r="J5" s="10">
        <v>2000</v>
      </c>
      <c r="K5" s="10">
        <v>3800</v>
      </c>
      <c r="L5" s="10">
        <v>70520</v>
      </c>
      <c r="M5" s="10">
        <v>49480</v>
      </c>
      <c r="N5" s="10">
        <v>12000</v>
      </c>
      <c r="O5" s="10">
        <v>12000</v>
      </c>
      <c r="P5" s="10">
        <v>37480</v>
      </c>
      <c r="Q5" s="10">
        <v>11993.6</v>
      </c>
      <c r="R5" s="10">
        <v>25486.400000000001</v>
      </c>
      <c r="S5" s="10">
        <f t="shared" si="0"/>
        <v>-13492.800000000001</v>
      </c>
      <c r="T5" s="10"/>
      <c r="U5" s="10"/>
      <c r="V5" s="10"/>
      <c r="W5" s="10"/>
      <c r="X5" s="10"/>
      <c r="Y5" s="10"/>
    </row>
    <row r="6" spans="1:25" x14ac:dyDescent="0.25">
      <c r="A6" s="9">
        <v>1</v>
      </c>
      <c r="B6" s="9">
        <v>4</v>
      </c>
      <c r="C6" s="8">
        <v>4</v>
      </c>
      <c r="D6" s="10">
        <v>120000</v>
      </c>
      <c r="E6" s="10">
        <v>52000</v>
      </c>
      <c r="F6" s="10">
        <v>1160</v>
      </c>
      <c r="G6" s="10">
        <v>960</v>
      </c>
      <c r="H6" s="10">
        <v>5000</v>
      </c>
      <c r="I6" s="10">
        <v>5600</v>
      </c>
      <c r="J6" s="10">
        <v>2000</v>
      </c>
      <c r="K6" s="10">
        <v>3800</v>
      </c>
      <c r="L6" s="10">
        <v>70520</v>
      </c>
      <c r="M6" s="10">
        <v>49480</v>
      </c>
      <c r="N6" s="10">
        <v>12000</v>
      </c>
      <c r="O6" s="10">
        <v>12000</v>
      </c>
      <c r="P6" s="10">
        <v>37480</v>
      </c>
      <c r="Q6" s="10">
        <v>11993.6</v>
      </c>
      <c r="R6" s="10">
        <v>25486.400000000001</v>
      </c>
      <c r="S6" s="10">
        <f t="shared" si="0"/>
        <v>-13492.800000000001</v>
      </c>
      <c r="T6" s="10"/>
      <c r="U6" s="10"/>
      <c r="V6" s="10"/>
      <c r="W6" s="10"/>
      <c r="X6" s="10"/>
      <c r="Y6" s="10"/>
    </row>
    <row r="7" spans="1:25" x14ac:dyDescent="0.25">
      <c r="A7" s="9">
        <v>1</v>
      </c>
      <c r="B7" s="9">
        <v>5</v>
      </c>
      <c r="C7" s="8">
        <v>4</v>
      </c>
      <c r="D7" s="10">
        <v>120000</v>
      </c>
      <c r="E7" s="10">
        <v>52000</v>
      </c>
      <c r="F7" s="10">
        <v>1160</v>
      </c>
      <c r="G7" s="10">
        <v>960</v>
      </c>
      <c r="H7" s="10">
        <v>5000</v>
      </c>
      <c r="I7" s="10">
        <v>5600</v>
      </c>
      <c r="J7" s="10">
        <v>2000</v>
      </c>
      <c r="K7" s="10">
        <v>3800</v>
      </c>
      <c r="L7" s="10">
        <v>70520</v>
      </c>
      <c r="M7" s="10">
        <v>49480</v>
      </c>
      <c r="N7" s="10">
        <v>12000</v>
      </c>
      <c r="O7" s="10">
        <v>12000</v>
      </c>
      <c r="P7" s="10">
        <v>37480</v>
      </c>
      <c r="Q7" s="10">
        <v>11993.6</v>
      </c>
      <c r="R7" s="10">
        <v>25486.400000000001</v>
      </c>
      <c r="S7" s="10">
        <f t="shared" si="0"/>
        <v>-13492.800000000001</v>
      </c>
      <c r="V7" s="10"/>
      <c r="W7" s="10"/>
      <c r="X7" s="10"/>
      <c r="Y7" s="10"/>
    </row>
    <row r="8" spans="1:25" x14ac:dyDescent="0.25">
      <c r="A8" s="9">
        <v>1</v>
      </c>
      <c r="B8" s="9">
        <v>6</v>
      </c>
      <c r="C8" s="8">
        <v>4</v>
      </c>
      <c r="D8" s="10">
        <v>120000</v>
      </c>
      <c r="E8" s="10">
        <v>52000</v>
      </c>
      <c r="F8" s="10">
        <v>1160</v>
      </c>
      <c r="G8" s="10">
        <v>960</v>
      </c>
      <c r="H8" s="10">
        <v>5000</v>
      </c>
      <c r="I8" s="10">
        <v>5600</v>
      </c>
      <c r="J8" s="10">
        <v>2000</v>
      </c>
      <c r="K8" s="10">
        <v>3800</v>
      </c>
      <c r="L8" s="10">
        <v>70520</v>
      </c>
      <c r="M8" s="10">
        <v>49480</v>
      </c>
      <c r="N8" s="10">
        <v>12000</v>
      </c>
      <c r="O8" s="10">
        <v>12000</v>
      </c>
      <c r="P8" s="10">
        <v>37480</v>
      </c>
      <c r="Q8" s="10">
        <v>11993.6</v>
      </c>
      <c r="R8" s="10">
        <v>25486.400000000001</v>
      </c>
      <c r="S8" s="10">
        <f t="shared" si="0"/>
        <v>-13492.800000000001</v>
      </c>
      <c r="V8" s="10"/>
      <c r="W8" s="10"/>
      <c r="X8" s="10"/>
      <c r="Y8" s="10"/>
    </row>
    <row r="9" spans="1:25" x14ac:dyDescent="0.25">
      <c r="A9" s="9">
        <v>1</v>
      </c>
      <c r="B9" s="9">
        <v>7</v>
      </c>
      <c r="C9" s="8">
        <v>4</v>
      </c>
      <c r="D9" s="10">
        <v>120000</v>
      </c>
      <c r="E9" s="10">
        <v>52000</v>
      </c>
      <c r="F9" s="10">
        <v>1160</v>
      </c>
      <c r="G9" s="10">
        <v>960</v>
      </c>
      <c r="H9" s="10">
        <v>5000</v>
      </c>
      <c r="I9" s="10">
        <v>5600</v>
      </c>
      <c r="J9" s="10">
        <v>2000</v>
      </c>
      <c r="K9" s="10">
        <v>3800</v>
      </c>
      <c r="L9" s="10">
        <v>70520</v>
      </c>
      <c r="M9" s="10">
        <v>49480</v>
      </c>
      <c r="N9" s="10">
        <v>12000</v>
      </c>
      <c r="O9" s="10">
        <v>12000</v>
      </c>
      <c r="P9" s="10">
        <v>37480</v>
      </c>
      <c r="Q9" s="10">
        <v>11993.6</v>
      </c>
      <c r="R9" s="10">
        <v>25486.400000000001</v>
      </c>
      <c r="S9" s="10">
        <f t="shared" si="0"/>
        <v>-13492.800000000001</v>
      </c>
      <c r="T9" s="10"/>
      <c r="U9" s="10"/>
      <c r="V9" s="10"/>
      <c r="W9" s="10"/>
      <c r="X9" s="10"/>
      <c r="Y9" s="10"/>
    </row>
    <row r="10" spans="1:25" x14ac:dyDescent="0.25">
      <c r="A10" s="9">
        <v>1</v>
      </c>
      <c r="B10" s="9">
        <v>8</v>
      </c>
      <c r="C10" s="8">
        <v>13</v>
      </c>
      <c r="D10" s="10">
        <v>390000</v>
      </c>
      <c r="E10" s="10">
        <v>169000</v>
      </c>
      <c r="F10" s="10">
        <v>3770</v>
      </c>
      <c r="G10" s="10">
        <v>3120</v>
      </c>
      <c r="H10" s="10">
        <v>16250</v>
      </c>
      <c r="I10" s="10">
        <v>18200</v>
      </c>
      <c r="J10" s="10">
        <v>6500</v>
      </c>
      <c r="K10" s="10">
        <v>12350</v>
      </c>
      <c r="L10" s="10">
        <v>229190</v>
      </c>
      <c r="M10" s="10">
        <v>160810</v>
      </c>
      <c r="N10" s="10">
        <v>39000</v>
      </c>
      <c r="O10" s="10">
        <v>39000</v>
      </c>
      <c r="P10" s="10">
        <v>121810</v>
      </c>
      <c r="Q10" s="10">
        <v>38979.199999999997</v>
      </c>
      <c r="R10" s="10">
        <v>82830.8</v>
      </c>
      <c r="S10" s="10">
        <f t="shared" si="0"/>
        <v>-43851.600000000006</v>
      </c>
      <c r="T10" s="10"/>
      <c r="U10" s="10"/>
      <c r="V10" s="10"/>
      <c r="W10" s="10"/>
      <c r="X10" s="10"/>
      <c r="Y10" s="10"/>
    </row>
    <row r="11" spans="1:25" x14ac:dyDescent="0.25">
      <c r="A11" s="9">
        <v>1</v>
      </c>
      <c r="B11" s="9">
        <v>9</v>
      </c>
      <c r="C11" s="8">
        <v>13</v>
      </c>
      <c r="D11" s="10">
        <v>390000</v>
      </c>
      <c r="E11" s="10">
        <v>169000</v>
      </c>
      <c r="F11" s="10">
        <v>3770</v>
      </c>
      <c r="G11" s="10">
        <v>3120</v>
      </c>
      <c r="H11" s="10">
        <v>16250</v>
      </c>
      <c r="I11" s="10">
        <v>18200</v>
      </c>
      <c r="J11" s="10">
        <v>6500</v>
      </c>
      <c r="K11" s="10">
        <v>12350</v>
      </c>
      <c r="L11" s="10">
        <v>229190</v>
      </c>
      <c r="M11" s="10">
        <v>160810</v>
      </c>
      <c r="N11" s="10">
        <v>39000</v>
      </c>
      <c r="O11" s="10">
        <v>39000</v>
      </c>
      <c r="P11" s="10">
        <v>121810</v>
      </c>
      <c r="Q11" s="10">
        <v>38979.199999999997</v>
      </c>
      <c r="R11" s="10">
        <v>82830.8</v>
      </c>
      <c r="S11" s="10">
        <f t="shared" si="0"/>
        <v>-43851.600000000006</v>
      </c>
      <c r="T11" s="10"/>
      <c r="U11" s="10"/>
      <c r="V11" s="10"/>
      <c r="W11" s="10"/>
      <c r="X11" s="10"/>
      <c r="Y11" s="10"/>
    </row>
    <row r="12" spans="1:25" x14ac:dyDescent="0.25">
      <c r="A12" s="9">
        <v>1</v>
      </c>
      <c r="B12" s="9">
        <v>10</v>
      </c>
      <c r="C12" s="8">
        <v>13</v>
      </c>
      <c r="D12" s="10">
        <v>390000</v>
      </c>
      <c r="E12" s="10">
        <v>169000</v>
      </c>
      <c r="F12" s="10">
        <v>3770</v>
      </c>
      <c r="G12" s="10">
        <v>3120</v>
      </c>
      <c r="H12" s="10">
        <v>16250</v>
      </c>
      <c r="I12" s="10">
        <v>18200</v>
      </c>
      <c r="J12" s="10">
        <v>6500</v>
      </c>
      <c r="K12" s="10">
        <v>12350</v>
      </c>
      <c r="L12" s="10">
        <v>229190</v>
      </c>
      <c r="M12" s="10">
        <v>160810</v>
      </c>
      <c r="N12" s="10">
        <v>39000</v>
      </c>
      <c r="O12" s="10">
        <v>39000</v>
      </c>
      <c r="P12" s="10">
        <v>121810</v>
      </c>
      <c r="Q12" s="10">
        <v>38979.199999999997</v>
      </c>
      <c r="R12" s="10">
        <v>82830.8</v>
      </c>
      <c r="S12" s="10">
        <f t="shared" si="0"/>
        <v>-43851.600000000006</v>
      </c>
      <c r="T12" s="10"/>
      <c r="U12" s="10"/>
      <c r="V12" s="10"/>
      <c r="W12" s="10"/>
      <c r="X12" s="10"/>
      <c r="Y12" s="10"/>
    </row>
    <row r="13" spans="1:25" x14ac:dyDescent="0.25">
      <c r="A13" s="9">
        <v>1</v>
      </c>
      <c r="B13" s="9">
        <v>11</v>
      </c>
      <c r="C13" s="8">
        <v>13</v>
      </c>
      <c r="D13" s="10">
        <v>390000</v>
      </c>
      <c r="E13" s="10">
        <v>169000</v>
      </c>
      <c r="F13" s="10">
        <v>3770</v>
      </c>
      <c r="G13" s="10">
        <v>3120</v>
      </c>
      <c r="H13" s="10">
        <v>16250</v>
      </c>
      <c r="I13" s="10">
        <v>18200</v>
      </c>
      <c r="J13" s="10">
        <v>6500</v>
      </c>
      <c r="K13" s="10">
        <v>12350</v>
      </c>
      <c r="L13" s="10">
        <v>229190</v>
      </c>
      <c r="M13" s="10">
        <v>160810</v>
      </c>
      <c r="N13" s="10">
        <v>39000</v>
      </c>
      <c r="O13" s="10">
        <v>39000</v>
      </c>
      <c r="P13" s="10">
        <v>121810</v>
      </c>
      <c r="Q13" s="10">
        <v>38979.199999999997</v>
      </c>
      <c r="R13" s="10">
        <v>82830.8</v>
      </c>
      <c r="S13" s="10">
        <f t="shared" si="0"/>
        <v>-43851.600000000006</v>
      </c>
      <c r="T13" s="10"/>
      <c r="U13" s="10"/>
      <c r="V13" s="10"/>
      <c r="W13" s="10"/>
      <c r="X13" s="10"/>
      <c r="Y13" s="10"/>
    </row>
    <row r="14" spans="1:25" x14ac:dyDescent="0.25">
      <c r="A14" s="9">
        <v>1</v>
      </c>
      <c r="B14" s="9">
        <v>12</v>
      </c>
      <c r="C14" s="8">
        <v>9</v>
      </c>
      <c r="D14" s="10">
        <v>270000</v>
      </c>
      <c r="E14" s="10">
        <v>117000</v>
      </c>
      <c r="F14" s="10">
        <v>2610</v>
      </c>
      <c r="G14" s="10">
        <v>2160</v>
      </c>
      <c r="H14" s="10">
        <v>11250</v>
      </c>
      <c r="I14" s="10">
        <v>12600</v>
      </c>
      <c r="J14" s="10">
        <v>4500</v>
      </c>
      <c r="K14" s="10">
        <v>8550</v>
      </c>
      <c r="L14" s="10">
        <v>158670</v>
      </c>
      <c r="M14" s="10">
        <v>111330</v>
      </c>
      <c r="N14" s="10">
        <v>27000</v>
      </c>
      <c r="O14" s="10">
        <v>27000</v>
      </c>
      <c r="P14" s="10">
        <v>84330</v>
      </c>
      <c r="Q14" s="10">
        <v>26985.599999999999</v>
      </c>
      <c r="R14" s="10">
        <v>57344.4</v>
      </c>
      <c r="S14" s="10">
        <f t="shared" si="0"/>
        <v>-30358.800000000003</v>
      </c>
      <c r="T14" s="10"/>
      <c r="U14" s="10"/>
      <c r="V14" s="10"/>
      <c r="W14" s="10"/>
      <c r="X14" s="10"/>
      <c r="Y14" s="10"/>
    </row>
    <row r="15" spans="1:25" x14ac:dyDescent="0.25">
      <c r="A15" s="9">
        <v>2</v>
      </c>
      <c r="B15" s="9">
        <v>13</v>
      </c>
      <c r="C15" s="8">
        <v>13</v>
      </c>
      <c r="D15" s="10">
        <v>390000</v>
      </c>
      <c r="E15" s="10">
        <v>169000</v>
      </c>
      <c r="F15" s="10">
        <v>3770</v>
      </c>
      <c r="G15" s="10">
        <v>3120</v>
      </c>
      <c r="H15" s="10">
        <v>16250</v>
      </c>
      <c r="I15" s="10">
        <v>18200</v>
      </c>
      <c r="J15" s="10">
        <v>6500</v>
      </c>
      <c r="K15" s="10">
        <v>12350</v>
      </c>
      <c r="L15" s="10">
        <v>229190</v>
      </c>
      <c r="M15" s="10">
        <v>160810</v>
      </c>
      <c r="N15" s="10">
        <v>39000</v>
      </c>
      <c r="O15" s="10">
        <v>39000</v>
      </c>
      <c r="P15" s="10">
        <v>121810</v>
      </c>
      <c r="Q15" s="10">
        <v>38979.199999999997</v>
      </c>
      <c r="R15" s="10">
        <v>82830.8</v>
      </c>
      <c r="S15" s="10">
        <f t="shared" si="0"/>
        <v>-43851.600000000006</v>
      </c>
      <c r="T15" s="10"/>
      <c r="U15" s="10"/>
      <c r="V15" s="10"/>
      <c r="W15" s="10"/>
      <c r="X15" s="10"/>
      <c r="Y15" s="10"/>
    </row>
    <row r="16" spans="1:25" x14ac:dyDescent="0.25">
      <c r="A16" s="9">
        <v>2</v>
      </c>
      <c r="B16" s="9">
        <v>14</v>
      </c>
      <c r="C16" s="8">
        <v>13</v>
      </c>
      <c r="D16" s="10">
        <v>390000</v>
      </c>
      <c r="E16" s="10">
        <v>169000</v>
      </c>
      <c r="F16" s="10">
        <v>3770</v>
      </c>
      <c r="G16" s="10">
        <v>3120</v>
      </c>
      <c r="H16" s="10">
        <v>16250</v>
      </c>
      <c r="I16" s="10">
        <v>18200</v>
      </c>
      <c r="J16" s="10">
        <v>6500</v>
      </c>
      <c r="K16" s="10">
        <v>12350</v>
      </c>
      <c r="L16" s="10">
        <v>229190</v>
      </c>
      <c r="M16" s="10">
        <v>160810</v>
      </c>
      <c r="N16" s="10">
        <v>39000</v>
      </c>
      <c r="O16" s="10">
        <v>39000</v>
      </c>
      <c r="P16" s="10">
        <v>121810</v>
      </c>
      <c r="Q16" s="10">
        <v>38979.199999999997</v>
      </c>
      <c r="R16" s="10">
        <v>82830.8</v>
      </c>
      <c r="S16" s="10">
        <f t="shared" si="0"/>
        <v>-43851.600000000006</v>
      </c>
      <c r="T16" s="10"/>
      <c r="U16" s="10"/>
      <c r="V16" s="10"/>
      <c r="W16" s="10"/>
      <c r="X16" s="10"/>
      <c r="Y16" s="10"/>
    </row>
    <row r="17" spans="1:25" x14ac:dyDescent="0.25">
      <c r="A17" s="9">
        <v>2</v>
      </c>
      <c r="B17" s="9">
        <v>15</v>
      </c>
      <c r="C17" s="8">
        <v>13</v>
      </c>
      <c r="D17" s="10">
        <v>390000</v>
      </c>
      <c r="E17" s="10">
        <v>169000</v>
      </c>
      <c r="F17" s="10">
        <v>3770</v>
      </c>
      <c r="G17" s="10">
        <v>3120</v>
      </c>
      <c r="H17" s="10">
        <v>16250</v>
      </c>
      <c r="I17" s="10">
        <v>18200</v>
      </c>
      <c r="J17" s="10">
        <v>6500</v>
      </c>
      <c r="K17" s="10">
        <v>12350</v>
      </c>
      <c r="L17" s="10">
        <v>229190</v>
      </c>
      <c r="M17" s="10">
        <v>160810</v>
      </c>
      <c r="N17" s="10">
        <v>39000</v>
      </c>
      <c r="O17" s="10">
        <v>39000</v>
      </c>
      <c r="P17" s="10">
        <v>121810</v>
      </c>
      <c r="Q17" s="10">
        <v>38979.199999999997</v>
      </c>
      <c r="R17" s="10">
        <v>82830.8</v>
      </c>
      <c r="S17" s="10">
        <f t="shared" si="0"/>
        <v>-43851.600000000006</v>
      </c>
      <c r="T17" s="10"/>
      <c r="U17" s="10"/>
      <c r="V17" s="10"/>
      <c r="W17" s="10"/>
      <c r="X17" s="10"/>
      <c r="Y17" s="10"/>
    </row>
    <row r="18" spans="1:25" x14ac:dyDescent="0.25">
      <c r="A18" s="9">
        <v>2</v>
      </c>
      <c r="B18" s="9">
        <v>16</v>
      </c>
      <c r="C18" s="8">
        <v>17</v>
      </c>
      <c r="D18" s="10">
        <v>510000</v>
      </c>
      <c r="E18" s="10">
        <v>221000</v>
      </c>
      <c r="F18" s="10">
        <v>4930</v>
      </c>
      <c r="G18" s="10">
        <v>4080</v>
      </c>
      <c r="H18" s="10">
        <v>21250</v>
      </c>
      <c r="I18" s="10">
        <v>23800</v>
      </c>
      <c r="J18" s="10">
        <v>8500</v>
      </c>
      <c r="K18" s="10">
        <v>16150</v>
      </c>
      <c r="L18" s="10">
        <v>299710</v>
      </c>
      <c r="M18" s="10">
        <v>210290</v>
      </c>
      <c r="N18" s="10">
        <v>51000</v>
      </c>
      <c r="O18" s="10">
        <v>51000</v>
      </c>
      <c r="P18" s="10">
        <v>159290</v>
      </c>
      <c r="Q18" s="10">
        <v>50972.800000000003</v>
      </c>
      <c r="R18" s="10">
        <v>108317.2</v>
      </c>
      <c r="S18" s="10">
        <f t="shared" si="0"/>
        <v>-57344.399999999994</v>
      </c>
      <c r="T18" s="10"/>
      <c r="U18" s="10"/>
      <c r="V18" s="10"/>
      <c r="W18" s="10"/>
      <c r="X18" s="10"/>
      <c r="Y18" s="10"/>
    </row>
    <row r="19" spans="1:25" x14ac:dyDescent="0.25">
      <c r="A19" s="9">
        <v>2</v>
      </c>
      <c r="B19" s="9">
        <v>17</v>
      </c>
      <c r="C19" s="8">
        <v>17</v>
      </c>
      <c r="D19" s="10">
        <v>510000</v>
      </c>
      <c r="E19" s="10">
        <v>221000</v>
      </c>
      <c r="F19" s="10">
        <v>4930</v>
      </c>
      <c r="G19" s="10">
        <v>4080</v>
      </c>
      <c r="H19" s="10">
        <v>21250</v>
      </c>
      <c r="I19" s="10">
        <v>23800</v>
      </c>
      <c r="J19" s="10">
        <v>8500</v>
      </c>
      <c r="K19" s="10">
        <v>16150</v>
      </c>
      <c r="L19" s="10">
        <v>299710</v>
      </c>
      <c r="M19" s="10">
        <v>210290</v>
      </c>
      <c r="N19" s="10">
        <v>51000</v>
      </c>
      <c r="O19" s="10">
        <v>51000</v>
      </c>
      <c r="P19" s="10">
        <v>159290</v>
      </c>
      <c r="Q19" s="10">
        <v>50972.800000000003</v>
      </c>
      <c r="R19" s="10">
        <v>108317.2</v>
      </c>
      <c r="S19" s="10">
        <f t="shared" si="0"/>
        <v>-57344.399999999994</v>
      </c>
      <c r="T19" s="10"/>
      <c r="U19" s="10"/>
      <c r="V19" s="10"/>
      <c r="W19" s="10"/>
      <c r="X19" s="10"/>
      <c r="Y19" s="10"/>
    </row>
    <row r="20" spans="1:25" x14ac:dyDescent="0.25">
      <c r="A20" s="9">
        <v>2</v>
      </c>
      <c r="B20" s="9">
        <v>18</v>
      </c>
      <c r="C20" s="8">
        <v>17</v>
      </c>
      <c r="D20" s="10">
        <v>510000</v>
      </c>
      <c r="E20" s="10">
        <v>221000</v>
      </c>
      <c r="F20" s="10">
        <v>4930</v>
      </c>
      <c r="G20" s="10">
        <v>4080</v>
      </c>
      <c r="H20" s="10">
        <v>21250</v>
      </c>
      <c r="I20" s="10">
        <v>23800</v>
      </c>
      <c r="J20" s="10">
        <v>8500</v>
      </c>
      <c r="K20" s="10">
        <v>16150</v>
      </c>
      <c r="L20" s="10">
        <v>299710</v>
      </c>
      <c r="M20" s="10">
        <v>210290</v>
      </c>
      <c r="N20" s="10">
        <v>51000</v>
      </c>
      <c r="O20" s="10">
        <v>51000</v>
      </c>
      <c r="P20" s="10">
        <v>159290</v>
      </c>
      <c r="Q20" s="10">
        <v>50972.800000000003</v>
      </c>
      <c r="R20" s="10">
        <v>108317.2</v>
      </c>
      <c r="S20" s="10">
        <f t="shared" si="0"/>
        <v>-57344.399999999994</v>
      </c>
      <c r="T20" s="10"/>
      <c r="U20" s="10"/>
      <c r="V20" s="10"/>
      <c r="W20" s="10"/>
      <c r="X20" s="10"/>
      <c r="Y20" s="10"/>
    </row>
    <row r="21" spans="1:25" x14ac:dyDescent="0.25">
      <c r="A21" s="9">
        <v>2</v>
      </c>
      <c r="B21" s="9">
        <v>19</v>
      </c>
      <c r="C21" s="8">
        <v>12</v>
      </c>
      <c r="D21" s="10">
        <v>360000</v>
      </c>
      <c r="E21" s="10">
        <v>156000</v>
      </c>
      <c r="F21" s="10">
        <v>3480</v>
      </c>
      <c r="G21" s="10">
        <v>2880</v>
      </c>
      <c r="H21" s="10">
        <v>15000</v>
      </c>
      <c r="I21" s="10">
        <v>16800</v>
      </c>
      <c r="J21" s="10">
        <v>6000</v>
      </c>
      <c r="K21" s="10">
        <v>11400</v>
      </c>
      <c r="L21" s="10">
        <v>211560</v>
      </c>
      <c r="M21" s="10">
        <v>148440</v>
      </c>
      <c r="N21" s="10">
        <v>36000</v>
      </c>
      <c r="O21" s="10">
        <v>36000</v>
      </c>
      <c r="P21" s="10">
        <v>112440</v>
      </c>
      <c r="Q21" s="10">
        <v>35980.800000000003</v>
      </c>
      <c r="R21" s="10">
        <v>76459.199999999997</v>
      </c>
      <c r="S21" s="10">
        <f t="shared" si="0"/>
        <v>-40478.399999999994</v>
      </c>
      <c r="T21" s="10"/>
      <c r="U21" s="10"/>
      <c r="V21" s="10"/>
      <c r="W21" s="10"/>
      <c r="X21" s="10"/>
      <c r="Y21" s="10"/>
    </row>
    <row r="22" spans="1:25" x14ac:dyDescent="0.25">
      <c r="A22" s="9">
        <v>2</v>
      </c>
      <c r="B22" s="9">
        <v>20</v>
      </c>
      <c r="C22" s="8">
        <v>12</v>
      </c>
      <c r="D22" s="10">
        <v>360000</v>
      </c>
      <c r="E22" s="10">
        <v>156000</v>
      </c>
      <c r="F22" s="10">
        <v>3480</v>
      </c>
      <c r="G22" s="10">
        <v>2880</v>
      </c>
      <c r="H22" s="10">
        <v>15000</v>
      </c>
      <c r="I22" s="10">
        <v>16800</v>
      </c>
      <c r="J22" s="10">
        <v>6000</v>
      </c>
      <c r="K22" s="10">
        <v>11400</v>
      </c>
      <c r="L22" s="10">
        <v>211560</v>
      </c>
      <c r="M22" s="10">
        <v>148440</v>
      </c>
      <c r="N22" s="10">
        <v>36000</v>
      </c>
      <c r="O22" s="10">
        <v>36000</v>
      </c>
      <c r="P22" s="10">
        <v>112440</v>
      </c>
      <c r="Q22" s="10">
        <v>35980.800000000003</v>
      </c>
      <c r="R22" s="10">
        <v>76459.199999999997</v>
      </c>
      <c r="S22" s="10">
        <f t="shared" si="0"/>
        <v>-40478.399999999994</v>
      </c>
      <c r="T22" s="10"/>
      <c r="U22" s="10"/>
      <c r="V22" s="10"/>
      <c r="W22" s="10"/>
      <c r="X22" s="10"/>
      <c r="Y22" s="10"/>
    </row>
    <row r="23" spans="1:25" x14ac:dyDescent="0.25">
      <c r="A23" s="9">
        <v>2</v>
      </c>
      <c r="B23" s="9">
        <v>21</v>
      </c>
      <c r="C23" s="8">
        <v>16</v>
      </c>
      <c r="D23" s="10">
        <v>480000</v>
      </c>
      <c r="E23" s="10">
        <v>208000</v>
      </c>
      <c r="F23" s="10">
        <v>4640</v>
      </c>
      <c r="G23" s="10">
        <v>3840</v>
      </c>
      <c r="H23" s="10">
        <v>20000</v>
      </c>
      <c r="I23" s="10">
        <v>22400</v>
      </c>
      <c r="J23" s="10">
        <v>8000</v>
      </c>
      <c r="K23" s="10">
        <v>15200</v>
      </c>
      <c r="L23" s="10">
        <v>282080</v>
      </c>
      <c r="M23" s="10">
        <v>197920</v>
      </c>
      <c r="N23" s="10">
        <v>48000</v>
      </c>
      <c r="O23" s="10">
        <v>48000</v>
      </c>
      <c r="P23" s="10">
        <v>149920</v>
      </c>
      <c r="Q23" s="10">
        <v>47974.400000000001</v>
      </c>
      <c r="R23" s="10">
        <v>101945.60000000001</v>
      </c>
      <c r="S23" s="10">
        <f t="shared" si="0"/>
        <v>-53971.200000000004</v>
      </c>
      <c r="T23" s="10"/>
      <c r="U23" s="10"/>
      <c r="V23" s="10"/>
      <c r="W23" s="10"/>
      <c r="X23" s="10"/>
      <c r="Y23" s="10"/>
    </row>
    <row r="24" spans="1:25" x14ac:dyDescent="0.25">
      <c r="A24" s="9">
        <v>2</v>
      </c>
      <c r="B24" s="9">
        <v>22</v>
      </c>
      <c r="C24" s="8">
        <v>16</v>
      </c>
      <c r="D24" s="10">
        <v>480000</v>
      </c>
      <c r="E24" s="10">
        <v>208000</v>
      </c>
      <c r="F24" s="10">
        <v>4640</v>
      </c>
      <c r="G24" s="10">
        <v>3840</v>
      </c>
      <c r="H24" s="10">
        <v>20000</v>
      </c>
      <c r="I24" s="10">
        <v>22400</v>
      </c>
      <c r="J24" s="10">
        <v>8000</v>
      </c>
      <c r="K24" s="10">
        <v>15200</v>
      </c>
      <c r="L24" s="10">
        <v>282080</v>
      </c>
      <c r="M24" s="10">
        <v>197920</v>
      </c>
      <c r="N24" s="10">
        <v>48000</v>
      </c>
      <c r="O24" s="10">
        <v>48000</v>
      </c>
      <c r="P24" s="10">
        <v>149920</v>
      </c>
      <c r="Q24" s="10">
        <v>47974.400000000001</v>
      </c>
      <c r="R24" s="10">
        <v>101945.60000000001</v>
      </c>
      <c r="S24" s="10">
        <f t="shared" si="0"/>
        <v>-53971.200000000004</v>
      </c>
      <c r="T24" s="10"/>
      <c r="U24" s="10"/>
      <c r="V24" s="10"/>
      <c r="W24" s="10"/>
      <c r="X24" s="10"/>
      <c r="Y24" s="10"/>
    </row>
    <row r="25" spans="1:25" x14ac:dyDescent="0.25">
      <c r="A25" s="9">
        <v>2</v>
      </c>
      <c r="B25" s="9">
        <v>23</v>
      </c>
      <c r="C25" s="8">
        <v>16</v>
      </c>
      <c r="D25" s="10">
        <v>480000</v>
      </c>
      <c r="E25" s="10">
        <v>208000</v>
      </c>
      <c r="F25" s="10">
        <v>4640</v>
      </c>
      <c r="G25" s="10">
        <v>3840</v>
      </c>
      <c r="H25" s="10">
        <v>20000</v>
      </c>
      <c r="I25" s="10">
        <v>22400</v>
      </c>
      <c r="J25" s="10">
        <v>8000</v>
      </c>
      <c r="K25" s="10">
        <v>15200</v>
      </c>
      <c r="L25" s="10">
        <v>282080</v>
      </c>
      <c r="M25" s="10">
        <v>197920</v>
      </c>
      <c r="N25" s="10">
        <v>48000</v>
      </c>
      <c r="O25" s="10">
        <v>48000</v>
      </c>
      <c r="P25" s="10">
        <v>149920</v>
      </c>
      <c r="Q25" s="10">
        <v>47974.400000000001</v>
      </c>
      <c r="R25" s="10">
        <v>101945.60000000001</v>
      </c>
      <c r="S25" s="10">
        <f t="shared" si="0"/>
        <v>-53971.200000000004</v>
      </c>
      <c r="T25" s="10"/>
      <c r="U25" s="10"/>
      <c r="V25" s="10"/>
      <c r="W25" s="10"/>
      <c r="X25" s="10"/>
      <c r="Y25" s="10"/>
    </row>
    <row r="26" spans="1:25" x14ac:dyDescent="0.25">
      <c r="A26" s="9">
        <v>2</v>
      </c>
      <c r="B26" s="9">
        <v>24</v>
      </c>
      <c r="C26" s="8">
        <v>16</v>
      </c>
      <c r="D26" s="10">
        <v>480000</v>
      </c>
      <c r="E26" s="10">
        <v>208000</v>
      </c>
      <c r="F26" s="10">
        <v>4640</v>
      </c>
      <c r="G26" s="10">
        <v>3840</v>
      </c>
      <c r="H26" s="10">
        <v>20000</v>
      </c>
      <c r="I26" s="10">
        <v>22400</v>
      </c>
      <c r="J26" s="10">
        <v>8000</v>
      </c>
      <c r="K26" s="10">
        <v>15200</v>
      </c>
      <c r="L26" s="10">
        <v>282080</v>
      </c>
      <c r="M26" s="10">
        <v>197920</v>
      </c>
      <c r="N26" s="10">
        <v>48000</v>
      </c>
      <c r="O26" s="10">
        <v>48000</v>
      </c>
      <c r="P26" s="10">
        <v>149920</v>
      </c>
      <c r="Q26" s="10">
        <v>47974.400000000001</v>
      </c>
      <c r="R26" s="10">
        <v>101945.60000000001</v>
      </c>
      <c r="S26" s="10">
        <f t="shared" si="0"/>
        <v>-53971.200000000004</v>
      </c>
      <c r="T26" s="10"/>
      <c r="U26" s="10"/>
      <c r="V26" s="10"/>
      <c r="W26" s="10"/>
      <c r="X26" s="10"/>
      <c r="Y26" s="10"/>
    </row>
    <row r="27" spans="1:25" x14ac:dyDescent="0.25">
      <c r="A27" s="9">
        <v>3</v>
      </c>
      <c r="B27" s="9">
        <v>25</v>
      </c>
      <c r="C27" s="8">
        <v>16</v>
      </c>
      <c r="D27" s="10">
        <v>480000</v>
      </c>
      <c r="E27" s="10">
        <v>208000</v>
      </c>
      <c r="F27" s="10">
        <v>4640</v>
      </c>
      <c r="G27" s="10">
        <v>3840</v>
      </c>
      <c r="H27" s="10">
        <v>20000</v>
      </c>
      <c r="I27" s="10">
        <v>22400</v>
      </c>
      <c r="J27" s="10">
        <v>8000</v>
      </c>
      <c r="K27" s="10">
        <v>15200</v>
      </c>
      <c r="L27" s="10">
        <v>282080</v>
      </c>
      <c r="M27" s="10">
        <v>197920</v>
      </c>
      <c r="N27" s="10">
        <v>48000</v>
      </c>
      <c r="O27" s="10">
        <v>48000</v>
      </c>
      <c r="P27" s="10">
        <v>149920</v>
      </c>
      <c r="Q27" s="10">
        <v>47974.400000000001</v>
      </c>
      <c r="R27" s="10">
        <v>101945.60000000001</v>
      </c>
      <c r="S27" s="10">
        <f t="shared" si="0"/>
        <v>-53971.200000000004</v>
      </c>
      <c r="T27" s="10"/>
      <c r="U27" s="10"/>
      <c r="V27" s="10"/>
      <c r="W27" s="10"/>
      <c r="X27" s="10"/>
      <c r="Y27" s="10"/>
    </row>
    <row r="28" spans="1:25" x14ac:dyDescent="0.25">
      <c r="A28" s="9">
        <v>3</v>
      </c>
      <c r="B28" s="9">
        <v>26</v>
      </c>
      <c r="C28" s="8">
        <v>20</v>
      </c>
      <c r="D28" s="10">
        <v>600000</v>
      </c>
      <c r="E28" s="10">
        <v>260000</v>
      </c>
      <c r="F28" s="10">
        <v>5800</v>
      </c>
      <c r="G28" s="10">
        <v>4800</v>
      </c>
      <c r="H28" s="10">
        <v>25000</v>
      </c>
      <c r="I28" s="10">
        <v>28000</v>
      </c>
      <c r="J28" s="10">
        <v>10000</v>
      </c>
      <c r="K28" s="10">
        <v>19000</v>
      </c>
      <c r="L28" s="10">
        <v>352600</v>
      </c>
      <c r="M28" s="10">
        <v>247400</v>
      </c>
      <c r="N28" s="10">
        <v>60000</v>
      </c>
      <c r="O28" s="10">
        <v>60000</v>
      </c>
      <c r="P28" s="10">
        <v>187400</v>
      </c>
      <c r="Q28" s="10">
        <v>59968</v>
      </c>
      <c r="R28" s="10">
        <v>127432</v>
      </c>
      <c r="S28" s="10">
        <f t="shared" si="0"/>
        <v>-67464</v>
      </c>
      <c r="T28" s="10"/>
      <c r="U28" s="10"/>
      <c r="V28" s="10"/>
      <c r="W28" s="10"/>
      <c r="X28" s="10"/>
      <c r="Y28" s="10"/>
    </row>
    <row r="29" spans="1:25" x14ac:dyDescent="0.25">
      <c r="A29" s="9">
        <v>3</v>
      </c>
      <c r="B29" s="9">
        <v>27</v>
      </c>
      <c r="C29" s="8">
        <v>16</v>
      </c>
      <c r="D29" s="10">
        <v>480000</v>
      </c>
      <c r="E29" s="10">
        <v>208000</v>
      </c>
      <c r="F29" s="10">
        <v>4640</v>
      </c>
      <c r="G29" s="10">
        <v>3840</v>
      </c>
      <c r="H29" s="10">
        <v>20000</v>
      </c>
      <c r="I29" s="10">
        <v>22400</v>
      </c>
      <c r="J29" s="10">
        <v>8000</v>
      </c>
      <c r="K29" s="10">
        <v>15200</v>
      </c>
      <c r="L29" s="10">
        <v>282080</v>
      </c>
      <c r="M29" s="10">
        <v>197920</v>
      </c>
      <c r="N29" s="10">
        <v>48000</v>
      </c>
      <c r="O29" s="10">
        <v>48000</v>
      </c>
      <c r="P29" s="10">
        <v>149920</v>
      </c>
      <c r="Q29" s="10">
        <v>47974.400000000001</v>
      </c>
      <c r="R29" s="10">
        <v>101945.60000000001</v>
      </c>
      <c r="S29" s="10">
        <f t="shared" si="0"/>
        <v>-53971.200000000004</v>
      </c>
      <c r="T29" s="10"/>
      <c r="U29" s="10"/>
      <c r="V29" s="10"/>
      <c r="W29" s="10"/>
      <c r="X29" s="10"/>
      <c r="Y29" s="10"/>
    </row>
    <row r="30" spans="1:25" x14ac:dyDescent="0.25">
      <c r="A30" s="9">
        <v>3</v>
      </c>
      <c r="B30" s="9">
        <v>28</v>
      </c>
      <c r="C30" s="8">
        <v>16</v>
      </c>
      <c r="D30" s="10">
        <v>480000</v>
      </c>
      <c r="E30" s="10">
        <v>208000</v>
      </c>
      <c r="F30" s="10">
        <v>4640</v>
      </c>
      <c r="G30" s="10">
        <v>3840</v>
      </c>
      <c r="H30" s="10">
        <v>20000</v>
      </c>
      <c r="I30" s="10">
        <v>22400</v>
      </c>
      <c r="J30" s="10">
        <v>8000</v>
      </c>
      <c r="K30" s="10">
        <v>15200</v>
      </c>
      <c r="L30" s="10">
        <v>282080</v>
      </c>
      <c r="M30" s="10">
        <v>197920</v>
      </c>
      <c r="N30" s="10">
        <v>48000</v>
      </c>
      <c r="O30" s="10">
        <v>48000</v>
      </c>
      <c r="P30" s="10">
        <v>149920</v>
      </c>
      <c r="Q30" s="10">
        <v>47974.400000000001</v>
      </c>
      <c r="R30" s="10">
        <v>101945.60000000001</v>
      </c>
      <c r="S30" s="10">
        <f t="shared" si="0"/>
        <v>-53971.200000000004</v>
      </c>
      <c r="T30" s="10"/>
      <c r="U30" s="10"/>
      <c r="V30" s="10"/>
      <c r="W30" s="10"/>
      <c r="X30" s="10"/>
      <c r="Y30" s="10"/>
    </row>
    <row r="31" spans="1:25" x14ac:dyDescent="0.25">
      <c r="A31" s="9">
        <v>3</v>
      </c>
      <c r="B31" s="9">
        <v>29</v>
      </c>
      <c r="C31" s="8">
        <v>21</v>
      </c>
      <c r="D31" s="10">
        <v>630000</v>
      </c>
      <c r="E31" s="10">
        <v>273000</v>
      </c>
      <c r="F31" s="10">
        <v>6090</v>
      </c>
      <c r="G31" s="10">
        <v>5040</v>
      </c>
      <c r="H31" s="10">
        <v>26250</v>
      </c>
      <c r="I31" s="10">
        <v>29400</v>
      </c>
      <c r="J31" s="10">
        <v>10500</v>
      </c>
      <c r="K31" s="10">
        <v>19950</v>
      </c>
      <c r="L31" s="10">
        <v>370230</v>
      </c>
      <c r="M31" s="10">
        <v>259770</v>
      </c>
      <c r="N31" s="10">
        <v>63000</v>
      </c>
      <c r="O31" s="10">
        <v>63000</v>
      </c>
      <c r="P31" s="10">
        <v>196770</v>
      </c>
      <c r="Q31" s="10">
        <v>62966.400000000001</v>
      </c>
      <c r="R31" s="10">
        <v>133803.6</v>
      </c>
      <c r="S31" s="10">
        <f t="shared" si="0"/>
        <v>-70837.200000000012</v>
      </c>
      <c r="T31" s="10"/>
      <c r="U31" s="10"/>
      <c r="V31" s="10"/>
      <c r="W31" s="10"/>
      <c r="X31" s="10"/>
      <c r="Y31" s="10"/>
    </row>
    <row r="32" spans="1:25" x14ac:dyDescent="0.25">
      <c r="A32" s="9">
        <v>3</v>
      </c>
      <c r="B32" s="9">
        <v>30</v>
      </c>
      <c r="C32" s="8">
        <v>17</v>
      </c>
      <c r="D32" s="10">
        <v>510000</v>
      </c>
      <c r="E32" s="10">
        <v>221000</v>
      </c>
      <c r="F32" s="10">
        <v>4930</v>
      </c>
      <c r="G32" s="10">
        <v>4080</v>
      </c>
      <c r="H32" s="10">
        <v>21250</v>
      </c>
      <c r="I32" s="10">
        <v>23800</v>
      </c>
      <c r="J32" s="10">
        <v>8500</v>
      </c>
      <c r="K32" s="10">
        <v>16150</v>
      </c>
      <c r="L32" s="10">
        <v>299710</v>
      </c>
      <c r="M32" s="10">
        <v>210290</v>
      </c>
      <c r="N32" s="10">
        <v>51000</v>
      </c>
      <c r="O32" s="10">
        <v>51000</v>
      </c>
      <c r="P32" s="10">
        <v>159290</v>
      </c>
      <c r="Q32" s="10">
        <v>50972.800000000003</v>
      </c>
      <c r="R32" s="10">
        <v>108317.2</v>
      </c>
      <c r="S32" s="10">
        <f t="shared" si="0"/>
        <v>-57344.399999999994</v>
      </c>
      <c r="T32" s="10"/>
      <c r="U32" s="10"/>
      <c r="V32" s="10"/>
      <c r="W32" s="10"/>
      <c r="X32" s="10"/>
      <c r="Y32" s="10"/>
    </row>
    <row r="33" spans="1:25" x14ac:dyDescent="0.25">
      <c r="A33" s="9">
        <v>3</v>
      </c>
      <c r="B33" s="9">
        <v>31</v>
      </c>
      <c r="C33" s="8">
        <v>21</v>
      </c>
      <c r="D33" s="10">
        <v>630000</v>
      </c>
      <c r="E33" s="10">
        <v>273000</v>
      </c>
      <c r="F33" s="10">
        <v>6090</v>
      </c>
      <c r="G33" s="10">
        <v>5040</v>
      </c>
      <c r="H33" s="10">
        <v>26250</v>
      </c>
      <c r="I33" s="10">
        <v>29400</v>
      </c>
      <c r="J33" s="10">
        <v>10500</v>
      </c>
      <c r="K33" s="10">
        <v>19950</v>
      </c>
      <c r="L33" s="10">
        <v>370230</v>
      </c>
      <c r="M33" s="10">
        <v>259770</v>
      </c>
      <c r="N33" s="10">
        <v>63000</v>
      </c>
      <c r="O33" s="10">
        <v>63000</v>
      </c>
      <c r="P33" s="10">
        <v>196770</v>
      </c>
      <c r="Q33" s="10">
        <v>62966.400000000001</v>
      </c>
      <c r="R33" s="10">
        <v>133803.6</v>
      </c>
      <c r="S33" s="10">
        <f t="shared" si="0"/>
        <v>-70837.200000000012</v>
      </c>
      <c r="T33" s="10"/>
      <c r="U33" s="10"/>
      <c r="V33" s="10"/>
      <c r="W33" s="10"/>
      <c r="X33" s="10"/>
      <c r="Y33" s="10"/>
    </row>
    <row r="34" spans="1:25" x14ac:dyDescent="0.25">
      <c r="A34" s="9">
        <v>3</v>
      </c>
      <c r="B34" s="9">
        <v>32</v>
      </c>
      <c r="C34" s="8">
        <v>17</v>
      </c>
      <c r="D34" s="10">
        <v>510000</v>
      </c>
      <c r="E34" s="10">
        <v>221000</v>
      </c>
      <c r="F34" s="10">
        <v>4930</v>
      </c>
      <c r="G34" s="10">
        <v>4080</v>
      </c>
      <c r="H34" s="10">
        <v>21250</v>
      </c>
      <c r="I34" s="10">
        <v>23800</v>
      </c>
      <c r="J34" s="10">
        <v>8500</v>
      </c>
      <c r="K34" s="10">
        <v>16150</v>
      </c>
      <c r="L34" s="10">
        <v>299710</v>
      </c>
      <c r="M34" s="10">
        <v>210290</v>
      </c>
      <c r="N34" s="10">
        <v>51000</v>
      </c>
      <c r="O34" s="10">
        <v>51000</v>
      </c>
      <c r="P34" s="10">
        <v>159290</v>
      </c>
      <c r="Q34" s="10">
        <v>50972.800000000003</v>
      </c>
      <c r="R34" s="10">
        <v>108317.2</v>
      </c>
      <c r="S34" s="10">
        <f t="shared" si="0"/>
        <v>-57344.399999999994</v>
      </c>
      <c r="T34" s="10"/>
      <c r="U34" s="10"/>
      <c r="V34" s="10"/>
      <c r="W34" s="10"/>
      <c r="X34" s="10"/>
      <c r="Y34" s="10"/>
    </row>
    <row r="35" spans="1:25" x14ac:dyDescent="0.25">
      <c r="A35" s="9">
        <v>3</v>
      </c>
      <c r="B35" s="9">
        <v>33</v>
      </c>
      <c r="C35" s="8">
        <v>21</v>
      </c>
      <c r="D35" s="10">
        <v>630000</v>
      </c>
      <c r="E35" s="10">
        <v>273000</v>
      </c>
      <c r="F35" s="10">
        <v>6090</v>
      </c>
      <c r="G35" s="10">
        <v>5040</v>
      </c>
      <c r="H35" s="10">
        <v>26250</v>
      </c>
      <c r="I35" s="10">
        <v>29400</v>
      </c>
      <c r="J35" s="10">
        <v>10500</v>
      </c>
      <c r="K35" s="10">
        <v>19950</v>
      </c>
      <c r="L35" s="10">
        <v>370230</v>
      </c>
      <c r="M35" s="10">
        <v>259770</v>
      </c>
      <c r="N35" s="10">
        <v>63000</v>
      </c>
      <c r="O35" s="10">
        <v>63000</v>
      </c>
      <c r="P35" s="10">
        <v>196770</v>
      </c>
      <c r="Q35" s="10">
        <v>62966.400000000001</v>
      </c>
      <c r="R35" s="10">
        <v>133803.6</v>
      </c>
      <c r="S35" s="10">
        <f t="shared" ref="S35:S62" si="1">$Q35-$R35</f>
        <v>-70837.200000000012</v>
      </c>
      <c r="T35" s="10"/>
      <c r="U35" s="10"/>
      <c r="V35" s="10"/>
      <c r="W35" s="10"/>
      <c r="X35" s="10"/>
      <c r="Y35" s="10"/>
    </row>
    <row r="36" spans="1:25" x14ac:dyDescent="0.25">
      <c r="A36" s="9">
        <v>3</v>
      </c>
      <c r="B36" s="9">
        <v>34</v>
      </c>
      <c r="C36" s="8">
        <v>21</v>
      </c>
      <c r="D36" s="10">
        <v>630000</v>
      </c>
      <c r="E36" s="10">
        <v>273000</v>
      </c>
      <c r="F36" s="10">
        <v>6090</v>
      </c>
      <c r="G36" s="10">
        <v>5040</v>
      </c>
      <c r="H36" s="10">
        <v>26250</v>
      </c>
      <c r="I36" s="10">
        <v>29400</v>
      </c>
      <c r="J36" s="10">
        <v>10500</v>
      </c>
      <c r="K36" s="10">
        <v>19950</v>
      </c>
      <c r="L36" s="10">
        <v>370230</v>
      </c>
      <c r="M36" s="10">
        <v>259770</v>
      </c>
      <c r="N36" s="10">
        <v>63000</v>
      </c>
      <c r="O36" s="10">
        <v>63000</v>
      </c>
      <c r="P36" s="10">
        <v>196770</v>
      </c>
      <c r="Q36" s="10">
        <v>62966.400000000001</v>
      </c>
      <c r="R36" s="10">
        <v>133803.6</v>
      </c>
      <c r="S36" s="10">
        <f t="shared" si="1"/>
        <v>-70837.200000000012</v>
      </c>
      <c r="T36" s="10"/>
      <c r="U36" s="10"/>
      <c r="V36" s="10"/>
      <c r="W36" s="10"/>
      <c r="X36" s="10"/>
      <c r="Y36" s="10"/>
    </row>
    <row r="37" spans="1:25" x14ac:dyDescent="0.25">
      <c r="A37" s="9">
        <v>3</v>
      </c>
      <c r="B37" s="9">
        <v>35</v>
      </c>
      <c r="C37" s="8">
        <v>21</v>
      </c>
      <c r="D37" s="10">
        <v>630000</v>
      </c>
      <c r="E37" s="10">
        <v>273000</v>
      </c>
      <c r="F37" s="10">
        <v>6090</v>
      </c>
      <c r="G37" s="10">
        <v>5040</v>
      </c>
      <c r="H37" s="10">
        <v>26250</v>
      </c>
      <c r="I37" s="10">
        <v>29400</v>
      </c>
      <c r="J37" s="10">
        <v>10500</v>
      </c>
      <c r="K37" s="10">
        <v>19950</v>
      </c>
      <c r="L37" s="10">
        <v>370230</v>
      </c>
      <c r="M37" s="10">
        <v>259770</v>
      </c>
      <c r="N37" s="10">
        <v>63000</v>
      </c>
      <c r="O37" s="10">
        <v>63000</v>
      </c>
      <c r="P37" s="10">
        <v>196770</v>
      </c>
      <c r="Q37" s="10">
        <v>62966.400000000001</v>
      </c>
      <c r="R37" s="10">
        <v>133803.6</v>
      </c>
      <c r="S37" s="10">
        <f t="shared" si="1"/>
        <v>-70837.200000000012</v>
      </c>
      <c r="T37" s="10"/>
      <c r="U37" s="10"/>
      <c r="V37" s="10"/>
      <c r="W37" s="10"/>
      <c r="X37" s="10"/>
      <c r="Y37" s="10"/>
    </row>
    <row r="38" spans="1:25" x14ac:dyDescent="0.25">
      <c r="A38" s="9">
        <v>3</v>
      </c>
      <c r="B38" s="9">
        <v>36</v>
      </c>
      <c r="C38" s="8">
        <v>21</v>
      </c>
      <c r="D38" s="10">
        <v>630000</v>
      </c>
      <c r="E38" s="10">
        <v>273000</v>
      </c>
      <c r="F38" s="10">
        <v>6090</v>
      </c>
      <c r="G38" s="10">
        <v>5040</v>
      </c>
      <c r="H38" s="10">
        <v>26250</v>
      </c>
      <c r="I38" s="10">
        <v>29400</v>
      </c>
      <c r="J38" s="10">
        <v>10500</v>
      </c>
      <c r="K38" s="10">
        <v>19950</v>
      </c>
      <c r="L38" s="10">
        <v>370230</v>
      </c>
      <c r="M38" s="10">
        <v>259770</v>
      </c>
      <c r="N38" s="10">
        <v>63000</v>
      </c>
      <c r="O38" s="10">
        <v>63000</v>
      </c>
      <c r="P38" s="10">
        <v>196770</v>
      </c>
      <c r="Q38" s="10">
        <v>62966.400000000001</v>
      </c>
      <c r="R38" s="10">
        <v>133803.6</v>
      </c>
      <c r="S38" s="10">
        <f t="shared" si="1"/>
        <v>-70837.200000000012</v>
      </c>
      <c r="T38" s="10"/>
      <c r="U38" s="10"/>
      <c r="V38" s="10"/>
      <c r="W38" s="10"/>
      <c r="X38" s="10"/>
      <c r="Y38" s="10"/>
    </row>
    <row r="39" spans="1:25" x14ac:dyDescent="0.25">
      <c r="A39" s="9">
        <v>4</v>
      </c>
      <c r="B39" s="9">
        <v>37</v>
      </c>
      <c r="C39" s="8">
        <v>21</v>
      </c>
      <c r="D39" s="10">
        <v>630000</v>
      </c>
      <c r="E39" s="10">
        <v>273000</v>
      </c>
      <c r="F39" s="10">
        <v>6090</v>
      </c>
      <c r="G39" s="10">
        <v>5040</v>
      </c>
      <c r="H39" s="10">
        <v>26250</v>
      </c>
      <c r="I39" s="10">
        <v>29400</v>
      </c>
      <c r="J39" s="10">
        <v>10500</v>
      </c>
      <c r="K39" s="10">
        <v>19950</v>
      </c>
      <c r="L39" s="10">
        <v>370230</v>
      </c>
      <c r="M39" s="10">
        <v>259770</v>
      </c>
      <c r="N39" s="10">
        <v>63000</v>
      </c>
      <c r="O39" s="10">
        <v>63000</v>
      </c>
      <c r="P39" s="10">
        <v>196770</v>
      </c>
      <c r="Q39" s="10">
        <v>62966.400000000001</v>
      </c>
      <c r="R39" s="10">
        <v>133803.6</v>
      </c>
      <c r="S39" s="10">
        <f t="shared" si="1"/>
        <v>-70837.200000000012</v>
      </c>
      <c r="T39" s="10"/>
      <c r="U39" s="10"/>
      <c r="V39" s="10"/>
      <c r="W39" s="10"/>
      <c r="X39" s="10"/>
      <c r="Y39" s="10"/>
    </row>
    <row r="40" spans="1:25" x14ac:dyDescent="0.25">
      <c r="A40" s="9">
        <v>4</v>
      </c>
      <c r="B40" s="9">
        <v>38</v>
      </c>
      <c r="C40" s="8">
        <v>21</v>
      </c>
      <c r="D40" s="10">
        <v>630000</v>
      </c>
      <c r="E40" s="10">
        <v>273000</v>
      </c>
      <c r="F40" s="10">
        <v>6090</v>
      </c>
      <c r="G40" s="10">
        <v>5040</v>
      </c>
      <c r="H40" s="10">
        <v>26250</v>
      </c>
      <c r="I40" s="10">
        <v>29400</v>
      </c>
      <c r="J40" s="10">
        <v>10500</v>
      </c>
      <c r="K40" s="10">
        <v>19950</v>
      </c>
      <c r="L40" s="10">
        <v>370230</v>
      </c>
      <c r="M40" s="10">
        <v>259770</v>
      </c>
      <c r="N40" s="10">
        <v>63000</v>
      </c>
      <c r="O40" s="10">
        <v>63000</v>
      </c>
      <c r="P40" s="10">
        <v>196770</v>
      </c>
      <c r="Q40" s="10">
        <v>62966.400000000001</v>
      </c>
      <c r="R40" s="10">
        <v>133803.6</v>
      </c>
      <c r="S40" s="10">
        <f t="shared" si="1"/>
        <v>-70837.200000000012</v>
      </c>
      <c r="T40" s="10"/>
      <c r="U40" s="10"/>
      <c r="V40" s="10"/>
      <c r="W40" s="10"/>
      <c r="X40" s="10"/>
      <c r="Y40" s="10"/>
    </row>
    <row r="41" spans="1:25" x14ac:dyDescent="0.25">
      <c r="A41" s="9">
        <v>4</v>
      </c>
      <c r="B41" s="9">
        <v>39</v>
      </c>
      <c r="C41" s="8">
        <v>25</v>
      </c>
      <c r="D41" s="10">
        <v>750000</v>
      </c>
      <c r="E41" s="10">
        <v>325000</v>
      </c>
      <c r="F41" s="10">
        <v>7250</v>
      </c>
      <c r="G41" s="10">
        <v>6000</v>
      </c>
      <c r="H41" s="10">
        <v>31250</v>
      </c>
      <c r="I41" s="10">
        <v>35000</v>
      </c>
      <c r="J41" s="10">
        <v>12500</v>
      </c>
      <c r="K41" s="10">
        <v>23750</v>
      </c>
      <c r="L41" s="10">
        <v>440750</v>
      </c>
      <c r="M41" s="10">
        <v>309250</v>
      </c>
      <c r="N41" s="10">
        <v>75000</v>
      </c>
      <c r="O41" s="10">
        <v>75000</v>
      </c>
      <c r="P41" s="10">
        <v>234250</v>
      </c>
      <c r="Q41" s="10">
        <v>74960</v>
      </c>
      <c r="R41" s="10">
        <v>159290</v>
      </c>
      <c r="S41" s="10">
        <f t="shared" si="1"/>
        <v>-84330</v>
      </c>
      <c r="T41" s="10"/>
      <c r="U41" s="10"/>
      <c r="V41" s="10"/>
      <c r="W41" s="10"/>
      <c r="X41" s="10"/>
      <c r="Y41" s="10"/>
    </row>
    <row r="42" spans="1:25" x14ac:dyDescent="0.25">
      <c r="A42" s="9">
        <v>4</v>
      </c>
      <c r="B42" s="9">
        <v>40</v>
      </c>
      <c r="C42" s="8">
        <v>20</v>
      </c>
      <c r="D42" s="10">
        <v>600000</v>
      </c>
      <c r="E42" s="10">
        <v>260000</v>
      </c>
      <c r="F42" s="10">
        <v>5800</v>
      </c>
      <c r="G42" s="10">
        <v>4800</v>
      </c>
      <c r="H42" s="10">
        <v>25000</v>
      </c>
      <c r="I42" s="10">
        <v>28000</v>
      </c>
      <c r="J42" s="10">
        <v>10000</v>
      </c>
      <c r="K42" s="10">
        <v>19000</v>
      </c>
      <c r="L42" s="10">
        <v>352600</v>
      </c>
      <c r="M42" s="10">
        <v>247400</v>
      </c>
      <c r="N42" s="10">
        <v>60000</v>
      </c>
      <c r="O42" s="10">
        <v>60000</v>
      </c>
      <c r="P42" s="10">
        <v>187400</v>
      </c>
      <c r="Q42" s="10">
        <v>59968</v>
      </c>
      <c r="R42" s="10">
        <v>127432</v>
      </c>
      <c r="S42" s="10">
        <f t="shared" si="1"/>
        <v>-67464</v>
      </c>
      <c r="T42" s="10"/>
      <c r="U42" s="10"/>
      <c r="V42" s="10"/>
      <c r="W42" s="10"/>
      <c r="X42" s="10"/>
      <c r="Y42" s="10"/>
    </row>
    <row r="43" spans="1:25" x14ac:dyDescent="0.25">
      <c r="A43" s="9">
        <v>4</v>
      </c>
      <c r="B43" s="9">
        <v>41</v>
      </c>
      <c r="C43" s="8">
        <v>24</v>
      </c>
      <c r="D43" s="10">
        <v>720000</v>
      </c>
      <c r="E43" s="10">
        <v>312000</v>
      </c>
      <c r="F43" s="10">
        <v>6960</v>
      </c>
      <c r="G43" s="10">
        <v>5760</v>
      </c>
      <c r="H43" s="10">
        <v>30000</v>
      </c>
      <c r="I43" s="10">
        <v>33600</v>
      </c>
      <c r="J43" s="10">
        <v>12000</v>
      </c>
      <c r="K43" s="10">
        <v>22800</v>
      </c>
      <c r="L43" s="10">
        <v>423120</v>
      </c>
      <c r="M43" s="10">
        <v>296880</v>
      </c>
      <c r="N43" s="10">
        <v>72000</v>
      </c>
      <c r="O43" s="10">
        <v>72000</v>
      </c>
      <c r="P43" s="10">
        <v>224880</v>
      </c>
      <c r="Q43" s="10">
        <v>71961.600000000006</v>
      </c>
      <c r="R43" s="10">
        <v>152918.39999999999</v>
      </c>
      <c r="S43" s="10">
        <f t="shared" si="1"/>
        <v>-80956.799999999988</v>
      </c>
      <c r="T43" s="10"/>
      <c r="U43" s="10"/>
      <c r="V43" s="10"/>
      <c r="W43" s="10"/>
      <c r="X43" s="10"/>
      <c r="Y43" s="10"/>
    </row>
    <row r="44" spans="1:25" x14ac:dyDescent="0.25">
      <c r="A44" s="9">
        <v>4</v>
      </c>
      <c r="B44" s="9">
        <v>42</v>
      </c>
      <c r="C44" s="8">
        <v>20</v>
      </c>
      <c r="D44" s="10">
        <v>600000</v>
      </c>
      <c r="E44" s="10">
        <v>260000</v>
      </c>
      <c r="F44" s="10">
        <v>5800</v>
      </c>
      <c r="G44" s="10">
        <v>4800</v>
      </c>
      <c r="H44" s="10">
        <v>25000</v>
      </c>
      <c r="I44" s="10">
        <v>28000</v>
      </c>
      <c r="J44" s="10">
        <v>10000</v>
      </c>
      <c r="K44" s="10">
        <v>19000</v>
      </c>
      <c r="L44" s="10">
        <v>352600</v>
      </c>
      <c r="M44" s="10">
        <v>247400</v>
      </c>
      <c r="N44" s="10">
        <v>60000</v>
      </c>
      <c r="O44" s="10">
        <v>60000</v>
      </c>
      <c r="P44" s="10">
        <v>187400</v>
      </c>
      <c r="Q44" s="10">
        <v>59968</v>
      </c>
      <c r="R44" s="10">
        <v>127432</v>
      </c>
      <c r="S44" s="10">
        <f t="shared" si="1"/>
        <v>-67464</v>
      </c>
      <c r="T44" s="10"/>
      <c r="U44" s="10"/>
      <c r="V44" s="10"/>
      <c r="W44" s="10"/>
      <c r="X44" s="10"/>
      <c r="Y44" s="10"/>
    </row>
    <row r="45" spans="1:25" x14ac:dyDescent="0.25">
      <c r="A45" s="9">
        <v>4</v>
      </c>
      <c r="B45" s="9">
        <v>43</v>
      </c>
      <c r="C45" s="8">
        <v>25</v>
      </c>
      <c r="D45" s="10">
        <v>750000</v>
      </c>
      <c r="E45" s="10">
        <v>325000</v>
      </c>
      <c r="F45" s="10">
        <v>7250</v>
      </c>
      <c r="G45" s="10">
        <v>6000</v>
      </c>
      <c r="H45" s="10">
        <v>31250</v>
      </c>
      <c r="I45" s="10">
        <v>35000</v>
      </c>
      <c r="J45" s="10">
        <v>12500</v>
      </c>
      <c r="K45" s="10">
        <v>23750</v>
      </c>
      <c r="L45" s="10">
        <v>440750</v>
      </c>
      <c r="M45" s="10">
        <v>309250</v>
      </c>
      <c r="N45" s="10">
        <v>75000</v>
      </c>
      <c r="O45" s="10">
        <v>75000</v>
      </c>
      <c r="P45" s="10">
        <v>234250</v>
      </c>
      <c r="Q45" s="10">
        <v>74960</v>
      </c>
      <c r="R45" s="10">
        <v>159290</v>
      </c>
      <c r="S45" s="10">
        <f t="shared" si="1"/>
        <v>-84330</v>
      </c>
      <c r="T45" s="10"/>
      <c r="U45" s="10"/>
      <c r="V45" s="10"/>
      <c r="W45" s="10"/>
      <c r="X45" s="10"/>
      <c r="Y45" s="10"/>
    </row>
    <row r="46" spans="1:25" x14ac:dyDescent="0.25">
      <c r="A46" s="9">
        <v>4</v>
      </c>
      <c r="B46" s="9">
        <v>44</v>
      </c>
      <c r="C46" s="8">
        <v>21</v>
      </c>
      <c r="D46" s="10">
        <v>630000</v>
      </c>
      <c r="E46" s="10">
        <v>273000</v>
      </c>
      <c r="F46" s="10">
        <v>6090</v>
      </c>
      <c r="G46" s="10">
        <v>5040</v>
      </c>
      <c r="H46" s="10">
        <v>26250</v>
      </c>
      <c r="I46" s="10">
        <v>29400</v>
      </c>
      <c r="J46" s="10">
        <v>10500</v>
      </c>
      <c r="K46" s="10">
        <v>19950</v>
      </c>
      <c r="L46" s="10">
        <v>370230</v>
      </c>
      <c r="M46" s="10">
        <v>259770</v>
      </c>
      <c r="N46" s="10">
        <v>63000</v>
      </c>
      <c r="O46" s="10">
        <v>63000</v>
      </c>
      <c r="P46" s="10">
        <v>196770</v>
      </c>
      <c r="Q46" s="10">
        <v>62966.400000000001</v>
      </c>
      <c r="R46" s="10">
        <v>133803.6</v>
      </c>
      <c r="S46" s="10">
        <f t="shared" si="1"/>
        <v>-70837.200000000012</v>
      </c>
      <c r="T46" s="10"/>
      <c r="U46" s="10"/>
      <c r="V46" s="10"/>
      <c r="W46" s="10"/>
      <c r="X46" s="10"/>
      <c r="Y46" s="10"/>
    </row>
    <row r="47" spans="1:25" x14ac:dyDescent="0.25">
      <c r="A47" s="9">
        <v>4</v>
      </c>
      <c r="B47" s="9">
        <v>45</v>
      </c>
      <c r="C47" s="8">
        <v>26</v>
      </c>
      <c r="D47" s="10">
        <v>780000</v>
      </c>
      <c r="E47" s="10">
        <v>338000</v>
      </c>
      <c r="F47" s="10">
        <v>7540</v>
      </c>
      <c r="G47" s="10">
        <v>6240</v>
      </c>
      <c r="H47" s="10">
        <v>32500</v>
      </c>
      <c r="I47" s="10">
        <v>36400</v>
      </c>
      <c r="J47" s="10">
        <v>13000</v>
      </c>
      <c r="K47" s="10">
        <v>24700</v>
      </c>
      <c r="L47" s="10">
        <v>458380</v>
      </c>
      <c r="M47" s="10">
        <v>321620</v>
      </c>
      <c r="N47" s="10">
        <v>78000</v>
      </c>
      <c r="O47" s="10">
        <v>78000</v>
      </c>
      <c r="P47" s="10">
        <v>243620</v>
      </c>
      <c r="Q47" s="10">
        <v>77958.399999999994</v>
      </c>
      <c r="R47" s="10">
        <v>165661.6</v>
      </c>
      <c r="S47" s="10">
        <f t="shared" si="1"/>
        <v>-87703.200000000012</v>
      </c>
      <c r="T47" s="10"/>
      <c r="U47" s="10"/>
      <c r="V47" s="10"/>
      <c r="W47" s="10"/>
      <c r="X47" s="10"/>
      <c r="Y47" s="10"/>
    </row>
    <row r="48" spans="1:25" x14ac:dyDescent="0.25">
      <c r="A48" s="9">
        <v>4</v>
      </c>
      <c r="B48" s="9">
        <v>46</v>
      </c>
      <c r="C48" s="8">
        <v>22</v>
      </c>
      <c r="D48" s="10">
        <v>660000</v>
      </c>
      <c r="E48" s="10">
        <v>286000</v>
      </c>
      <c r="F48" s="10">
        <v>6380</v>
      </c>
      <c r="G48" s="10">
        <v>5280</v>
      </c>
      <c r="H48" s="10">
        <v>27500</v>
      </c>
      <c r="I48" s="10">
        <v>30800</v>
      </c>
      <c r="J48" s="10">
        <v>11000</v>
      </c>
      <c r="K48" s="10">
        <v>20900</v>
      </c>
      <c r="L48" s="10">
        <v>387860</v>
      </c>
      <c r="M48" s="10">
        <v>272140</v>
      </c>
      <c r="N48" s="10">
        <v>66000</v>
      </c>
      <c r="O48" s="10">
        <v>66000</v>
      </c>
      <c r="P48" s="10">
        <v>206140</v>
      </c>
      <c r="Q48" s="10">
        <v>65964.800000000003</v>
      </c>
      <c r="R48" s="10">
        <v>140175.20000000001</v>
      </c>
      <c r="S48" s="10">
        <f t="shared" si="1"/>
        <v>-74210.400000000009</v>
      </c>
      <c r="T48" s="10"/>
      <c r="U48" s="10"/>
      <c r="V48" s="10"/>
      <c r="W48" s="10"/>
      <c r="X48" s="10"/>
      <c r="Y48" s="10"/>
    </row>
    <row r="49" spans="1:25" x14ac:dyDescent="0.25">
      <c r="A49" s="9">
        <v>4</v>
      </c>
      <c r="B49" s="9">
        <v>47</v>
      </c>
      <c r="C49" s="8">
        <v>27</v>
      </c>
      <c r="D49" s="10">
        <v>810000</v>
      </c>
      <c r="E49" s="10">
        <v>351000</v>
      </c>
      <c r="F49" s="10">
        <v>7830</v>
      </c>
      <c r="G49" s="10">
        <v>6480</v>
      </c>
      <c r="H49" s="10">
        <v>33750</v>
      </c>
      <c r="I49" s="10">
        <v>37800</v>
      </c>
      <c r="J49" s="10">
        <v>13500</v>
      </c>
      <c r="K49" s="10">
        <v>25650</v>
      </c>
      <c r="L49" s="10">
        <v>476010</v>
      </c>
      <c r="M49" s="10">
        <v>333990</v>
      </c>
      <c r="N49" s="10">
        <v>81000</v>
      </c>
      <c r="O49" s="10">
        <v>81000</v>
      </c>
      <c r="P49" s="10">
        <v>252990</v>
      </c>
      <c r="Q49" s="10">
        <v>80956.800000000003</v>
      </c>
      <c r="R49" s="10">
        <v>172033.2</v>
      </c>
      <c r="S49" s="10">
        <f t="shared" si="1"/>
        <v>-91076.400000000009</v>
      </c>
      <c r="T49" s="10"/>
      <c r="U49" s="10"/>
      <c r="V49" s="10"/>
      <c r="W49" s="10"/>
      <c r="X49" s="10"/>
      <c r="Y49" s="10"/>
    </row>
    <row r="50" spans="1:25" x14ac:dyDescent="0.25">
      <c r="A50" s="9">
        <v>4</v>
      </c>
      <c r="B50" s="9">
        <v>48</v>
      </c>
      <c r="C50" s="8">
        <v>23</v>
      </c>
      <c r="D50" s="10">
        <v>690000</v>
      </c>
      <c r="E50" s="10">
        <v>299000</v>
      </c>
      <c r="F50" s="10">
        <v>6670</v>
      </c>
      <c r="G50" s="10">
        <v>5520</v>
      </c>
      <c r="H50" s="10">
        <v>28750</v>
      </c>
      <c r="I50" s="10">
        <v>32200</v>
      </c>
      <c r="J50" s="10">
        <v>11500</v>
      </c>
      <c r="K50" s="10">
        <v>21850</v>
      </c>
      <c r="L50" s="10">
        <v>405490</v>
      </c>
      <c r="M50" s="10">
        <v>284510</v>
      </c>
      <c r="N50" s="10">
        <v>69000</v>
      </c>
      <c r="O50" s="10">
        <v>69000</v>
      </c>
      <c r="P50" s="10">
        <v>215510</v>
      </c>
      <c r="Q50" s="10">
        <v>68963.199999999997</v>
      </c>
      <c r="R50" s="10">
        <v>146546.79999999999</v>
      </c>
      <c r="S50" s="10">
        <f t="shared" si="1"/>
        <v>-77583.599999999991</v>
      </c>
      <c r="T50" s="10"/>
      <c r="U50" s="10"/>
      <c r="V50" s="10"/>
      <c r="W50" s="10"/>
      <c r="X50" s="10"/>
      <c r="Y50" s="10"/>
    </row>
    <row r="51" spans="1:25" x14ac:dyDescent="0.25">
      <c r="A51" s="9">
        <v>5</v>
      </c>
      <c r="B51" s="9">
        <v>49</v>
      </c>
      <c r="C51" s="8">
        <v>27</v>
      </c>
      <c r="D51" s="10">
        <v>810000</v>
      </c>
      <c r="E51" s="10">
        <v>351000</v>
      </c>
      <c r="F51" s="10">
        <v>7830</v>
      </c>
      <c r="G51" s="10">
        <v>6480</v>
      </c>
      <c r="H51" s="10">
        <v>33750</v>
      </c>
      <c r="I51" s="10">
        <v>37800</v>
      </c>
      <c r="J51" s="10">
        <v>13500</v>
      </c>
      <c r="K51" s="10">
        <v>25650</v>
      </c>
      <c r="L51" s="10">
        <v>476010</v>
      </c>
      <c r="M51" s="10">
        <v>333990</v>
      </c>
      <c r="N51" s="10">
        <v>81000</v>
      </c>
      <c r="O51" s="10">
        <v>81000</v>
      </c>
      <c r="P51" s="10">
        <v>252990</v>
      </c>
      <c r="Q51" s="10">
        <v>80956.800000000003</v>
      </c>
      <c r="R51" s="10">
        <v>172033.2</v>
      </c>
      <c r="S51" s="10">
        <f t="shared" si="1"/>
        <v>-91076.400000000009</v>
      </c>
      <c r="T51" s="10"/>
      <c r="U51" s="10"/>
      <c r="V51" s="10"/>
      <c r="W51" s="10"/>
      <c r="X51" s="10"/>
      <c r="Y51" s="10"/>
    </row>
    <row r="52" spans="1:25" x14ac:dyDescent="0.25">
      <c r="A52" s="9">
        <v>5</v>
      </c>
      <c r="B52" s="9">
        <v>50</v>
      </c>
      <c r="C52" s="8">
        <v>23</v>
      </c>
      <c r="D52" s="10">
        <v>690000</v>
      </c>
      <c r="E52" s="10">
        <v>299000</v>
      </c>
      <c r="F52" s="10">
        <v>6670</v>
      </c>
      <c r="G52" s="10">
        <v>5520</v>
      </c>
      <c r="H52" s="10">
        <v>28750</v>
      </c>
      <c r="I52" s="10">
        <v>32200</v>
      </c>
      <c r="J52" s="10">
        <v>11500</v>
      </c>
      <c r="K52" s="10">
        <v>21850</v>
      </c>
      <c r="L52" s="10">
        <v>405490</v>
      </c>
      <c r="M52" s="10">
        <v>284510</v>
      </c>
      <c r="N52" s="10">
        <v>69000</v>
      </c>
      <c r="O52" s="10">
        <v>69000</v>
      </c>
      <c r="P52" s="10">
        <v>215510</v>
      </c>
      <c r="Q52" s="10">
        <v>68963.199999999997</v>
      </c>
      <c r="R52" s="10">
        <v>146546.79999999999</v>
      </c>
      <c r="S52" s="10">
        <f t="shared" si="1"/>
        <v>-77583.599999999991</v>
      </c>
      <c r="T52" s="10"/>
      <c r="U52" s="10"/>
      <c r="V52" s="10"/>
      <c r="W52" s="10"/>
      <c r="X52" s="10"/>
      <c r="Y52" s="10"/>
    </row>
    <row r="53" spans="1:25" x14ac:dyDescent="0.25">
      <c r="A53" s="9">
        <v>5</v>
      </c>
      <c r="B53" s="9">
        <v>51</v>
      </c>
      <c r="C53" s="8">
        <v>29</v>
      </c>
      <c r="D53" s="10">
        <v>870000</v>
      </c>
      <c r="E53" s="10">
        <v>377000</v>
      </c>
      <c r="F53" s="10">
        <v>8410</v>
      </c>
      <c r="G53" s="10">
        <v>6960</v>
      </c>
      <c r="H53" s="10">
        <v>36250</v>
      </c>
      <c r="I53" s="10">
        <v>40600</v>
      </c>
      <c r="J53" s="10">
        <v>14500</v>
      </c>
      <c r="K53" s="10">
        <v>27550</v>
      </c>
      <c r="L53" s="10">
        <v>511270</v>
      </c>
      <c r="M53" s="10">
        <v>358730</v>
      </c>
      <c r="N53" s="10">
        <v>87000</v>
      </c>
      <c r="O53" s="10">
        <v>87000</v>
      </c>
      <c r="P53" s="10">
        <v>271730</v>
      </c>
      <c r="Q53" s="10">
        <v>86953.600000000006</v>
      </c>
      <c r="R53" s="10">
        <v>184776.4</v>
      </c>
      <c r="S53" s="10">
        <f t="shared" si="1"/>
        <v>-97822.799999999988</v>
      </c>
      <c r="T53" s="10"/>
      <c r="U53" s="10"/>
      <c r="V53" s="10"/>
      <c r="W53" s="10"/>
      <c r="X53" s="10"/>
      <c r="Y53" s="10"/>
    </row>
    <row r="54" spans="1:25" x14ac:dyDescent="0.25">
      <c r="A54" s="9">
        <v>5</v>
      </c>
      <c r="B54" s="9">
        <v>52</v>
      </c>
      <c r="C54" s="8">
        <v>25</v>
      </c>
      <c r="D54" s="10">
        <v>750000</v>
      </c>
      <c r="E54" s="10">
        <v>325000</v>
      </c>
      <c r="F54" s="10">
        <v>7250</v>
      </c>
      <c r="G54" s="10">
        <v>6000</v>
      </c>
      <c r="H54" s="10">
        <v>31250</v>
      </c>
      <c r="I54" s="10">
        <v>35000</v>
      </c>
      <c r="J54" s="10">
        <v>12500</v>
      </c>
      <c r="K54" s="10">
        <v>23750</v>
      </c>
      <c r="L54" s="10">
        <v>440750</v>
      </c>
      <c r="M54" s="10">
        <v>309250</v>
      </c>
      <c r="N54" s="10">
        <v>75000</v>
      </c>
      <c r="O54" s="10">
        <v>75000</v>
      </c>
      <c r="P54" s="10">
        <v>234250</v>
      </c>
      <c r="Q54" s="10">
        <v>74960</v>
      </c>
      <c r="R54" s="10">
        <v>159290</v>
      </c>
      <c r="S54" s="10">
        <f t="shared" si="1"/>
        <v>-84330</v>
      </c>
      <c r="T54" s="10"/>
      <c r="U54" s="10"/>
      <c r="V54" s="10"/>
      <c r="W54" s="10"/>
      <c r="X54" s="10"/>
      <c r="Y54" s="10"/>
    </row>
    <row r="55" spans="1:25" x14ac:dyDescent="0.25">
      <c r="A55" s="9">
        <v>5</v>
      </c>
      <c r="B55" s="9">
        <v>53</v>
      </c>
      <c r="C55" s="8">
        <v>30</v>
      </c>
      <c r="D55" s="10">
        <v>900000</v>
      </c>
      <c r="E55" s="10">
        <v>390000</v>
      </c>
      <c r="F55" s="10">
        <v>8700</v>
      </c>
      <c r="G55" s="10">
        <v>7200</v>
      </c>
      <c r="H55" s="10">
        <v>37500</v>
      </c>
      <c r="I55" s="10">
        <v>42000</v>
      </c>
      <c r="J55" s="10">
        <v>15000</v>
      </c>
      <c r="K55" s="10">
        <v>28500</v>
      </c>
      <c r="L55" s="10">
        <v>528900</v>
      </c>
      <c r="M55" s="10">
        <v>371100</v>
      </c>
      <c r="N55" s="10">
        <v>90000</v>
      </c>
      <c r="O55" s="10">
        <v>90000</v>
      </c>
      <c r="P55" s="10">
        <v>281100</v>
      </c>
      <c r="Q55" s="10">
        <v>89952</v>
      </c>
      <c r="R55" s="10">
        <v>191148</v>
      </c>
      <c r="S55" s="10">
        <f t="shared" si="1"/>
        <v>-101196</v>
      </c>
      <c r="T55" s="10"/>
      <c r="U55" s="10"/>
      <c r="V55" s="10"/>
      <c r="W55" s="10"/>
      <c r="X55" s="10"/>
      <c r="Y55" s="10"/>
    </row>
    <row r="56" spans="1:25" x14ac:dyDescent="0.25">
      <c r="A56" s="9">
        <v>5</v>
      </c>
      <c r="B56" s="9">
        <v>54</v>
      </c>
      <c r="C56" s="8">
        <v>25</v>
      </c>
      <c r="D56" s="10">
        <v>750000</v>
      </c>
      <c r="E56" s="10">
        <v>325000</v>
      </c>
      <c r="F56" s="10">
        <v>7250</v>
      </c>
      <c r="G56" s="10">
        <v>6000</v>
      </c>
      <c r="H56" s="10">
        <v>31250</v>
      </c>
      <c r="I56" s="10">
        <v>35000</v>
      </c>
      <c r="J56" s="10">
        <v>12500</v>
      </c>
      <c r="K56" s="10">
        <v>23750</v>
      </c>
      <c r="L56" s="10">
        <v>440750</v>
      </c>
      <c r="M56" s="10">
        <v>309250</v>
      </c>
      <c r="N56" s="10">
        <v>75000</v>
      </c>
      <c r="O56" s="10">
        <v>75000</v>
      </c>
      <c r="P56" s="10">
        <v>234250</v>
      </c>
      <c r="Q56" s="10">
        <v>74960</v>
      </c>
      <c r="R56" s="10">
        <v>159290</v>
      </c>
      <c r="S56" s="10">
        <f t="shared" si="1"/>
        <v>-84330</v>
      </c>
      <c r="T56" s="10"/>
      <c r="U56" s="10"/>
      <c r="V56" s="10"/>
      <c r="W56" s="10"/>
      <c r="X56" s="10"/>
      <c r="Y56" s="10"/>
    </row>
    <row r="57" spans="1:25" x14ac:dyDescent="0.25">
      <c r="A57" s="9">
        <v>5</v>
      </c>
      <c r="B57" s="9">
        <v>55</v>
      </c>
      <c r="C57" s="8">
        <v>30</v>
      </c>
      <c r="D57" s="10">
        <v>900000</v>
      </c>
      <c r="E57" s="10">
        <v>390000</v>
      </c>
      <c r="F57" s="10">
        <v>8700</v>
      </c>
      <c r="G57" s="10">
        <v>7200</v>
      </c>
      <c r="H57" s="10">
        <v>37500</v>
      </c>
      <c r="I57" s="10">
        <v>42000</v>
      </c>
      <c r="J57" s="10">
        <v>15000</v>
      </c>
      <c r="K57" s="10">
        <v>28500</v>
      </c>
      <c r="L57" s="10">
        <v>528900</v>
      </c>
      <c r="M57" s="10">
        <v>371100</v>
      </c>
      <c r="N57" s="10">
        <v>90000</v>
      </c>
      <c r="O57" s="10">
        <v>90000</v>
      </c>
      <c r="P57" s="10">
        <v>281100</v>
      </c>
      <c r="Q57" s="10">
        <v>89952</v>
      </c>
      <c r="R57" s="10">
        <v>191148</v>
      </c>
      <c r="S57" s="10">
        <f t="shared" si="1"/>
        <v>-101196</v>
      </c>
      <c r="T57" s="10"/>
      <c r="U57" s="10"/>
      <c r="V57" s="10"/>
      <c r="W57" s="10"/>
      <c r="X57" s="10"/>
      <c r="Y57" s="10"/>
    </row>
    <row r="58" spans="1:25" x14ac:dyDescent="0.25">
      <c r="A58" s="9">
        <v>5</v>
      </c>
      <c r="B58" s="9">
        <v>56</v>
      </c>
      <c r="C58" s="8">
        <v>25</v>
      </c>
      <c r="D58" s="10">
        <v>750000</v>
      </c>
      <c r="E58" s="10">
        <v>325000</v>
      </c>
      <c r="F58" s="10">
        <v>7250</v>
      </c>
      <c r="G58" s="10">
        <v>6000</v>
      </c>
      <c r="H58" s="10">
        <v>31250</v>
      </c>
      <c r="I58" s="10">
        <v>35000</v>
      </c>
      <c r="J58" s="10">
        <v>12500</v>
      </c>
      <c r="K58" s="10">
        <v>23750</v>
      </c>
      <c r="L58" s="10">
        <v>440750</v>
      </c>
      <c r="M58" s="10">
        <v>309250</v>
      </c>
      <c r="N58" s="10">
        <v>75000</v>
      </c>
      <c r="O58" s="10">
        <v>75000</v>
      </c>
      <c r="P58" s="10">
        <v>234250</v>
      </c>
      <c r="Q58" s="10">
        <v>74960</v>
      </c>
      <c r="R58" s="10">
        <v>159290</v>
      </c>
      <c r="S58" s="10">
        <f t="shared" si="1"/>
        <v>-84330</v>
      </c>
      <c r="T58" s="10"/>
      <c r="U58" s="10"/>
      <c r="V58" s="10"/>
      <c r="W58" s="10"/>
      <c r="X58" s="10"/>
      <c r="Y58" s="10"/>
    </row>
    <row r="59" spans="1:25" x14ac:dyDescent="0.25">
      <c r="A59" s="9">
        <v>5</v>
      </c>
      <c r="B59" s="9">
        <v>57</v>
      </c>
      <c r="C59" s="8">
        <v>31</v>
      </c>
      <c r="D59" s="10">
        <v>930000</v>
      </c>
      <c r="E59" s="10">
        <v>403000</v>
      </c>
      <c r="F59" s="10">
        <v>8990</v>
      </c>
      <c r="G59" s="10">
        <v>7440</v>
      </c>
      <c r="H59" s="10">
        <v>38750</v>
      </c>
      <c r="I59" s="10">
        <v>43400</v>
      </c>
      <c r="J59" s="10">
        <v>15500</v>
      </c>
      <c r="K59" s="10">
        <v>29450</v>
      </c>
      <c r="L59" s="10">
        <v>546530</v>
      </c>
      <c r="M59" s="10">
        <v>383470</v>
      </c>
      <c r="N59" s="10">
        <v>93000</v>
      </c>
      <c r="O59" s="10">
        <v>93000</v>
      </c>
      <c r="P59" s="10">
        <v>290470</v>
      </c>
      <c r="Q59" s="10">
        <v>92950.399999999994</v>
      </c>
      <c r="R59" s="10">
        <v>197519.6</v>
      </c>
      <c r="S59" s="10">
        <f t="shared" si="1"/>
        <v>-104569.20000000001</v>
      </c>
      <c r="T59" s="10"/>
      <c r="U59" s="10"/>
      <c r="V59" s="10"/>
      <c r="W59" s="10"/>
      <c r="X59" s="10"/>
      <c r="Y59" s="10"/>
    </row>
    <row r="60" spans="1:25" x14ac:dyDescent="0.25">
      <c r="A60" s="9">
        <v>5</v>
      </c>
      <c r="B60" s="9">
        <v>58</v>
      </c>
      <c r="C60" s="8">
        <v>26</v>
      </c>
      <c r="D60" s="10">
        <v>780000</v>
      </c>
      <c r="E60" s="10">
        <v>338000</v>
      </c>
      <c r="F60" s="10">
        <v>7540</v>
      </c>
      <c r="G60" s="10">
        <v>6240</v>
      </c>
      <c r="H60" s="10">
        <v>32500</v>
      </c>
      <c r="I60" s="10">
        <v>36400</v>
      </c>
      <c r="J60" s="10">
        <v>13000</v>
      </c>
      <c r="K60" s="10">
        <v>24700</v>
      </c>
      <c r="L60" s="10">
        <v>458380</v>
      </c>
      <c r="M60" s="10">
        <v>321620</v>
      </c>
      <c r="N60" s="10">
        <v>78000</v>
      </c>
      <c r="O60" s="10">
        <v>78000</v>
      </c>
      <c r="P60" s="10">
        <v>243620</v>
      </c>
      <c r="Q60" s="10">
        <v>77958.399999999994</v>
      </c>
      <c r="R60" s="10">
        <v>165661.6</v>
      </c>
      <c r="S60" s="10">
        <f t="shared" si="1"/>
        <v>-87703.200000000012</v>
      </c>
      <c r="T60" s="10"/>
      <c r="U60" s="10"/>
      <c r="V60" s="10"/>
      <c r="W60" s="10"/>
      <c r="X60" s="10"/>
      <c r="Y60" s="10"/>
    </row>
    <row r="61" spans="1:25" x14ac:dyDescent="0.25">
      <c r="A61" s="9">
        <v>5</v>
      </c>
      <c r="B61" s="9">
        <v>59</v>
      </c>
      <c r="C61" s="8">
        <v>32</v>
      </c>
      <c r="D61" s="10">
        <v>960000</v>
      </c>
      <c r="E61" s="10">
        <v>416000</v>
      </c>
      <c r="F61" s="10">
        <v>9280</v>
      </c>
      <c r="G61" s="10">
        <v>7680</v>
      </c>
      <c r="H61" s="10">
        <v>40000</v>
      </c>
      <c r="I61" s="10">
        <v>44800</v>
      </c>
      <c r="J61" s="10">
        <v>16000</v>
      </c>
      <c r="K61" s="10">
        <v>30400</v>
      </c>
      <c r="L61" s="10">
        <v>564160</v>
      </c>
      <c r="M61" s="10">
        <v>395840</v>
      </c>
      <c r="N61" s="10">
        <v>96000</v>
      </c>
      <c r="O61" s="10">
        <v>96000</v>
      </c>
      <c r="P61" s="10">
        <v>299840</v>
      </c>
      <c r="Q61" s="10">
        <v>95948.800000000003</v>
      </c>
      <c r="R61" s="10">
        <v>203891.20000000001</v>
      </c>
      <c r="S61" s="10">
        <f t="shared" si="1"/>
        <v>-107942.40000000001</v>
      </c>
      <c r="T61" s="10"/>
      <c r="U61" s="10"/>
      <c r="V61" s="10"/>
      <c r="W61" s="10"/>
      <c r="X61" s="10"/>
      <c r="Y61" s="10"/>
    </row>
    <row r="62" spans="1:25" x14ac:dyDescent="0.25">
      <c r="A62" s="9">
        <v>5</v>
      </c>
      <c r="B62" s="9">
        <v>60</v>
      </c>
      <c r="C62" s="8">
        <v>28</v>
      </c>
      <c r="D62" s="10">
        <v>840000</v>
      </c>
      <c r="E62" s="10">
        <v>364000</v>
      </c>
      <c r="F62" s="10">
        <v>8120</v>
      </c>
      <c r="G62" s="10">
        <v>6720</v>
      </c>
      <c r="H62" s="10">
        <v>35000</v>
      </c>
      <c r="I62" s="10">
        <v>39200</v>
      </c>
      <c r="J62" s="10">
        <v>14000</v>
      </c>
      <c r="K62" s="10">
        <v>26600</v>
      </c>
      <c r="L62" s="10">
        <v>493640</v>
      </c>
      <c r="M62" s="10">
        <v>346360</v>
      </c>
      <c r="N62" s="10">
        <v>84000</v>
      </c>
      <c r="O62" s="10">
        <v>84000</v>
      </c>
      <c r="P62" s="10">
        <v>262360</v>
      </c>
      <c r="Q62" s="10">
        <v>83955.199999999997</v>
      </c>
      <c r="R62" s="10">
        <v>178404.8</v>
      </c>
      <c r="S62" s="10">
        <f t="shared" si="1"/>
        <v>-94449.599999999991</v>
      </c>
      <c r="T62" s="10"/>
      <c r="U62" s="10"/>
      <c r="V62" s="10"/>
      <c r="W62" s="10"/>
      <c r="X62" s="10"/>
      <c r="Y62" s="10"/>
    </row>
  </sheetData>
  <mergeCells count="1">
    <mergeCell ref="A1:C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defaultColWidth="8.7109375" defaultRowHeight="15" customHeight="1" x14ac:dyDescent="0.25"/>
  <cols>
    <col min="2" max="2" width="10" customWidth="1"/>
    <col min="3" max="3" width="20.28515625" bestFit="1" customWidth="1"/>
    <col min="4" max="4" width="18.42578125" customWidth="1"/>
    <col min="5" max="5" width="21.42578125" customWidth="1"/>
    <col min="6" max="6" width="16" customWidth="1"/>
    <col min="7" max="7" width="21.7109375" customWidth="1"/>
    <col min="8" max="8" width="16" customWidth="1"/>
    <col min="9" max="11" width="18.140625" customWidth="1"/>
    <col min="12" max="12" width="16" customWidth="1"/>
    <col min="13" max="20" width="18.42578125" customWidth="1"/>
    <col min="21" max="22" width="23.5703125" customWidth="1"/>
    <col min="23" max="23" width="20.42578125" customWidth="1"/>
    <col min="24" max="24" width="12.5703125" bestFit="1" customWidth="1"/>
  </cols>
  <sheetData>
    <row r="1" spans="1:24" ht="17.25" customHeight="1" x14ac:dyDescent="0.3">
      <c r="B1" s="20" t="s">
        <v>124</v>
      </c>
      <c r="C1" s="21"/>
      <c r="D1" s="21"/>
      <c r="E1" s="21"/>
      <c r="F1" s="21"/>
      <c r="G1" s="21"/>
      <c r="H1" s="21"/>
      <c r="I1" s="13"/>
      <c r="J1" s="13"/>
      <c r="K1" s="13"/>
      <c r="L1" s="13"/>
    </row>
    <row r="2" spans="1:24" ht="58.5" customHeight="1" x14ac:dyDescent="0.25">
      <c r="A2" s="19" t="s">
        <v>106</v>
      </c>
      <c r="B2" s="2" t="s">
        <v>1</v>
      </c>
      <c r="C2" s="2" t="s">
        <v>125</v>
      </c>
      <c r="D2" s="2" t="s">
        <v>126</v>
      </c>
      <c r="E2" s="2" t="s">
        <v>127</v>
      </c>
      <c r="F2" s="2" t="s">
        <v>128</v>
      </c>
      <c r="G2" s="2" t="s">
        <v>129</v>
      </c>
      <c r="H2" s="2" t="s">
        <v>130</v>
      </c>
      <c r="I2" s="2" t="s">
        <v>131</v>
      </c>
      <c r="J2" s="2" t="s">
        <v>98</v>
      </c>
      <c r="K2" s="2" t="s">
        <v>99</v>
      </c>
      <c r="L2" s="2" t="s">
        <v>132</v>
      </c>
      <c r="M2" s="18" t="s">
        <v>133</v>
      </c>
      <c r="N2" s="15" t="s">
        <v>134</v>
      </c>
      <c r="O2" s="15" t="s">
        <v>135</v>
      </c>
      <c r="P2" s="15" t="s">
        <v>121</v>
      </c>
      <c r="Q2" s="15" t="s">
        <v>136</v>
      </c>
      <c r="R2" s="15" t="s">
        <v>137</v>
      </c>
      <c r="S2" s="15" t="s">
        <v>97</v>
      </c>
      <c r="T2" s="15" t="s">
        <v>138</v>
      </c>
      <c r="U2" s="15" t="s">
        <v>139</v>
      </c>
      <c r="V2" s="15" t="s">
        <v>102</v>
      </c>
      <c r="W2" s="15" t="s">
        <v>140</v>
      </c>
    </row>
    <row r="3" spans="1:24" x14ac:dyDescent="0.25">
      <c r="A3" s="9">
        <v>1</v>
      </c>
      <c r="B3" s="9">
        <v>1</v>
      </c>
      <c r="C3" s="10">
        <v>250000</v>
      </c>
      <c r="D3" s="10">
        <v>250000</v>
      </c>
      <c r="E3" s="10">
        <v>0</v>
      </c>
      <c r="F3" s="8">
        <v>4</v>
      </c>
      <c r="G3" s="8">
        <v>0</v>
      </c>
      <c r="H3" s="10">
        <v>0</v>
      </c>
      <c r="I3" s="10">
        <v>0</v>
      </c>
      <c r="J3" s="16">
        <v>275486.40000000002</v>
      </c>
      <c r="K3" s="16">
        <v>0</v>
      </c>
      <c r="L3" s="16">
        <v>120000</v>
      </c>
      <c r="M3" s="17">
        <f>Cash_Flow!$E3</f>
        <v>82520</v>
      </c>
      <c r="N3" s="17">
        <f>Income_Statement!$M3</f>
        <v>49480</v>
      </c>
      <c r="O3" s="17">
        <f>(Cash_Flow!$F3+Cash_Flow!$G3)</f>
        <v>0</v>
      </c>
      <c r="P3" s="17">
        <f>Income_Statement!$P3</f>
        <v>37480</v>
      </c>
      <c r="Q3" s="17">
        <f>Income_Statement!$P3</f>
        <v>37480</v>
      </c>
      <c r="R3" s="17">
        <f>Income_Statement!$Q3</f>
        <v>11993.6</v>
      </c>
      <c r="S3" s="17">
        <f>Income_Statement!$R3</f>
        <v>25486.400000000001</v>
      </c>
      <c r="T3" s="17">
        <f>Income_Statement!$Q3</f>
        <v>11993.6</v>
      </c>
      <c r="U3" s="17">
        <f>Cash_Flow!$I3</f>
        <v>0</v>
      </c>
      <c r="V3" s="17">
        <f>Cash_Flow!$N3</f>
        <v>275486.40000000002</v>
      </c>
      <c r="W3" s="17">
        <f>Cash_Flow!$N3</f>
        <v>275486.40000000002</v>
      </c>
      <c r="X3" s="14"/>
    </row>
    <row r="4" spans="1:24" x14ac:dyDescent="0.25">
      <c r="A4" s="9">
        <v>1</v>
      </c>
      <c r="B4" s="9">
        <v>2</v>
      </c>
      <c r="C4" s="10">
        <v>250000</v>
      </c>
      <c r="D4" s="10">
        <v>250000</v>
      </c>
      <c r="E4" s="10">
        <v>0</v>
      </c>
      <c r="F4" s="8">
        <v>4</v>
      </c>
      <c r="G4" s="8">
        <v>0</v>
      </c>
      <c r="H4" s="10">
        <v>0</v>
      </c>
      <c r="I4" s="10">
        <v>0</v>
      </c>
      <c r="J4" s="16">
        <v>25486.400000000001</v>
      </c>
      <c r="K4" s="16">
        <v>0</v>
      </c>
      <c r="L4" s="16">
        <v>240000</v>
      </c>
      <c r="M4" s="17">
        <f>$M3+Cash_Flow!$E4</f>
        <v>165040</v>
      </c>
      <c r="N4" s="17">
        <f>$N3+Income_Statement!$M4</f>
        <v>98960</v>
      </c>
      <c r="O4" s="17">
        <f>IF(Cash_Flow!$F4&lt;=0,0,$O3+(Cash_Flow!$F4+Cash_Flow!$G4))</f>
        <v>0</v>
      </c>
      <c r="P4" s="17">
        <f>Income_Statement!$P4</f>
        <v>37480</v>
      </c>
      <c r="Q4" s="17">
        <f>$Q3+Income_Statement!$P4</f>
        <v>74960</v>
      </c>
      <c r="R4" s="17">
        <f>$R3+Income_Statement!$Q4</f>
        <v>23987.200000000001</v>
      </c>
      <c r="S4" s="17">
        <f>Income_Statement!$R4</f>
        <v>25486.400000000001</v>
      </c>
      <c r="T4" s="17">
        <f>Income_Statement!$Q4</f>
        <v>11993.6</v>
      </c>
      <c r="U4" s="17">
        <f>$U3+Cash_Flow!$I4</f>
        <v>0</v>
      </c>
      <c r="V4" s="17">
        <f>Cash_Flow!$N4</f>
        <v>300972.80000000005</v>
      </c>
      <c r="W4" s="17">
        <f>($W3+Cash_Flow!$J4)-(Cash_Flow!$B4+Cash_Flow!$C4)</f>
        <v>300972.80000000005</v>
      </c>
    </row>
    <row r="5" spans="1:24" x14ac:dyDescent="0.25">
      <c r="A5" s="9">
        <v>1</v>
      </c>
      <c r="B5" s="9">
        <v>3</v>
      </c>
      <c r="C5" s="10">
        <v>250000</v>
      </c>
      <c r="D5" s="10">
        <v>250000</v>
      </c>
      <c r="E5" s="10">
        <v>0</v>
      </c>
      <c r="F5" s="8">
        <v>4</v>
      </c>
      <c r="G5" s="8">
        <v>0</v>
      </c>
      <c r="H5" s="10">
        <v>0</v>
      </c>
      <c r="I5" s="10">
        <v>0</v>
      </c>
      <c r="J5" s="16">
        <v>25486.400000000001</v>
      </c>
      <c r="K5" s="16">
        <v>0</v>
      </c>
      <c r="L5" s="16">
        <v>360000</v>
      </c>
      <c r="M5" s="17">
        <f>$M4+Cash_Flow!$E5</f>
        <v>247560</v>
      </c>
      <c r="N5" s="17">
        <f>$N4+Income_Statement!$M5</f>
        <v>148440</v>
      </c>
      <c r="O5" s="17">
        <f>IF(Cash_Flow!$F5&lt;=0,0,$O4+(Cash_Flow!$F5+Cash_Flow!$G5))</f>
        <v>0</v>
      </c>
      <c r="P5" s="17">
        <f>Income_Statement!$P5</f>
        <v>37480</v>
      </c>
      <c r="Q5" s="17">
        <f>$Q4+Income_Statement!$P5</f>
        <v>112440</v>
      </c>
      <c r="R5" s="17">
        <f>$R4+Income_Statement!$Q5</f>
        <v>35980.800000000003</v>
      </c>
      <c r="S5" s="17">
        <f>Income_Statement!$R5</f>
        <v>25486.400000000001</v>
      </c>
      <c r="T5" s="17">
        <f>Income_Statement!$Q5</f>
        <v>11993.6</v>
      </c>
      <c r="U5" s="17">
        <f>$U4+Cash_Flow!$I5</f>
        <v>0</v>
      </c>
      <c r="V5" s="17">
        <f>Cash_Flow!$N5</f>
        <v>326459.20000000007</v>
      </c>
      <c r="W5" s="17">
        <f>($W4+Cash_Flow!$J5)-(Cash_Flow!$B5+Cash_Flow!$C5)</f>
        <v>326459.20000000007</v>
      </c>
    </row>
    <row r="6" spans="1:24" x14ac:dyDescent="0.25">
      <c r="A6" s="9">
        <v>1</v>
      </c>
      <c r="B6" s="9">
        <v>4</v>
      </c>
      <c r="C6" s="10">
        <v>250000</v>
      </c>
      <c r="D6" s="10">
        <v>250000</v>
      </c>
      <c r="E6" s="10">
        <v>0</v>
      </c>
      <c r="F6" s="8">
        <v>4</v>
      </c>
      <c r="G6" s="8">
        <v>0</v>
      </c>
      <c r="H6" s="10">
        <v>0</v>
      </c>
      <c r="I6" s="10">
        <v>0</v>
      </c>
      <c r="J6" s="16">
        <v>25486.400000000001</v>
      </c>
      <c r="K6" s="16">
        <v>0</v>
      </c>
      <c r="L6" s="16">
        <v>480000</v>
      </c>
      <c r="M6" s="17">
        <f>$M5+Cash_Flow!$E6</f>
        <v>330080</v>
      </c>
      <c r="N6" s="17">
        <f>$N5+Income_Statement!$M6</f>
        <v>197920</v>
      </c>
      <c r="O6" s="17">
        <f>IF(Cash_Flow!$F6&lt;=0,0,$O5+(Cash_Flow!$F6+Cash_Flow!$G6))</f>
        <v>0</v>
      </c>
      <c r="P6" s="17">
        <f>Income_Statement!$P6</f>
        <v>37480</v>
      </c>
      <c r="Q6" s="17">
        <f>$Q5+Income_Statement!$P6</f>
        <v>149920</v>
      </c>
      <c r="R6" s="17">
        <f>$R5+Income_Statement!$Q6</f>
        <v>47974.400000000001</v>
      </c>
      <c r="S6" s="17">
        <f>Income_Statement!$R6</f>
        <v>25486.400000000001</v>
      </c>
      <c r="T6" s="17">
        <f>Income_Statement!$Q6</f>
        <v>11993.6</v>
      </c>
      <c r="U6" s="17">
        <f>$U5+Cash_Flow!$I6</f>
        <v>0</v>
      </c>
      <c r="V6" s="17">
        <f>Cash_Flow!$N6</f>
        <v>351945.60000000009</v>
      </c>
      <c r="W6" s="17">
        <f>($W5+Cash_Flow!$J6)-(Cash_Flow!$B6+Cash_Flow!$C6)</f>
        <v>351945.60000000009</v>
      </c>
    </row>
    <row r="7" spans="1:24" x14ac:dyDescent="0.25">
      <c r="A7" s="9">
        <v>1</v>
      </c>
      <c r="B7" s="9">
        <v>5</v>
      </c>
      <c r="C7" s="10">
        <v>250000</v>
      </c>
      <c r="D7" s="10">
        <v>0</v>
      </c>
      <c r="E7" s="10">
        <v>246315.23</v>
      </c>
      <c r="F7" s="8">
        <v>4</v>
      </c>
      <c r="G7" s="8">
        <v>9</v>
      </c>
      <c r="H7" s="10">
        <v>240000</v>
      </c>
      <c r="I7" s="10">
        <v>540000</v>
      </c>
      <c r="J7" s="16">
        <v>269718.3</v>
      </c>
      <c r="K7" s="16">
        <v>540000</v>
      </c>
      <c r="L7" s="16">
        <v>600000</v>
      </c>
      <c r="M7" s="17">
        <f>$M6+Cash_Flow!$E7</f>
        <v>412600</v>
      </c>
      <c r="N7" s="17">
        <f>$N6+Income_Statement!$M7</f>
        <v>247400</v>
      </c>
      <c r="O7" s="17">
        <f>IF(Cash_Flow!$F7&lt;=0,0,$O6+(Cash_Flow!$F7+Cash_Flow!$G7))</f>
        <v>5768.1</v>
      </c>
      <c r="P7" s="17">
        <f>Income_Statement!$P7</f>
        <v>37480</v>
      </c>
      <c r="Q7" s="17">
        <f>$Q6+Income_Statement!$P7</f>
        <v>187400</v>
      </c>
      <c r="R7" s="17">
        <f>$R6+Income_Statement!$Q7</f>
        <v>59968</v>
      </c>
      <c r="S7" s="17">
        <f>Income_Statement!$R7</f>
        <v>25486.400000000001</v>
      </c>
      <c r="T7" s="17">
        <f>Income_Statement!$Q7</f>
        <v>11993.6</v>
      </c>
      <c r="U7" s="17">
        <f>$U6+Cash_Flow!$I7</f>
        <v>0</v>
      </c>
      <c r="V7" s="17">
        <f>Cash_Flow!$N7</f>
        <v>81663.900000000081</v>
      </c>
      <c r="W7" s="17">
        <f>($W6+Cash_Flow!$J7)-(Cash_Flow!$B7+Cash_Flow!$C7)</f>
        <v>371663.90000000014</v>
      </c>
    </row>
    <row r="8" spans="1:24" x14ac:dyDescent="0.25">
      <c r="A8" s="9">
        <v>1</v>
      </c>
      <c r="B8" s="9">
        <v>6</v>
      </c>
      <c r="C8" s="10">
        <v>250000</v>
      </c>
      <c r="D8" s="10">
        <v>0</v>
      </c>
      <c r="E8" s="10">
        <v>242599.76</v>
      </c>
      <c r="F8" s="8">
        <v>4</v>
      </c>
      <c r="G8" s="8">
        <v>9</v>
      </c>
      <c r="H8" s="10">
        <v>240000</v>
      </c>
      <c r="I8" s="10">
        <v>540000</v>
      </c>
      <c r="J8" s="16">
        <v>19718.3</v>
      </c>
      <c r="K8" s="16">
        <v>0</v>
      </c>
      <c r="L8" s="16">
        <v>720000</v>
      </c>
      <c r="M8" s="17">
        <f>$M7+Cash_Flow!$E8</f>
        <v>495120</v>
      </c>
      <c r="N8" s="17">
        <f>$N7+Income_Statement!$M8</f>
        <v>296880</v>
      </c>
      <c r="O8" s="17">
        <f>IF(Cash_Flow!$F8&lt;=0,0,$O7+(Cash_Flow!$F8+Cash_Flow!$G8))</f>
        <v>11536.2</v>
      </c>
      <c r="P8" s="17">
        <f>Income_Statement!$P8</f>
        <v>37480</v>
      </c>
      <c r="Q8" s="17">
        <f>$Q7+Income_Statement!$P8</f>
        <v>224880</v>
      </c>
      <c r="R8" s="17">
        <f>$R7+Income_Statement!$Q8</f>
        <v>71961.600000000006</v>
      </c>
      <c r="S8" s="17">
        <f>Income_Statement!$R8</f>
        <v>25486.400000000001</v>
      </c>
      <c r="T8" s="17">
        <f>Income_Statement!$Q8</f>
        <v>11993.6</v>
      </c>
      <c r="U8" s="17">
        <f>$U7+Cash_Flow!$I8</f>
        <v>0</v>
      </c>
      <c r="V8" s="17">
        <f>Cash_Flow!$N8</f>
        <v>101382.20000000008</v>
      </c>
      <c r="W8" s="17">
        <f>($W7+Cash_Flow!$J8)-(Cash_Flow!$B8+Cash_Flow!$C8)</f>
        <v>391382.20000000013</v>
      </c>
    </row>
    <row r="9" spans="1:24" x14ac:dyDescent="0.25">
      <c r="A9" s="9">
        <v>1</v>
      </c>
      <c r="B9" s="9">
        <v>7</v>
      </c>
      <c r="C9" s="10">
        <v>250000</v>
      </c>
      <c r="D9" s="10">
        <v>0</v>
      </c>
      <c r="E9" s="10">
        <v>238853.32</v>
      </c>
      <c r="F9" s="8">
        <v>4</v>
      </c>
      <c r="G9" s="8">
        <v>9</v>
      </c>
      <c r="H9" s="10">
        <v>240000</v>
      </c>
      <c r="I9" s="10">
        <v>540000</v>
      </c>
      <c r="J9" s="16">
        <v>19718.3</v>
      </c>
      <c r="K9" s="16">
        <v>0</v>
      </c>
      <c r="L9" s="16">
        <v>840000</v>
      </c>
      <c r="M9" s="17">
        <f>$M8+Cash_Flow!$E9</f>
        <v>577640</v>
      </c>
      <c r="N9" s="17">
        <f>$N8+Income_Statement!$M9</f>
        <v>346360</v>
      </c>
      <c r="O9" s="17">
        <f>IF(Cash_Flow!$F9&lt;=0,0,$O8+(Cash_Flow!$F9+Cash_Flow!$G9))</f>
        <v>17304.300000000003</v>
      </c>
      <c r="P9" s="17">
        <f>Income_Statement!$P9</f>
        <v>37480</v>
      </c>
      <c r="Q9" s="17">
        <f>$Q8+Income_Statement!$P9</f>
        <v>262360</v>
      </c>
      <c r="R9" s="17">
        <f>$R8+Income_Statement!$Q9</f>
        <v>83955.200000000012</v>
      </c>
      <c r="S9" s="17">
        <f>Income_Statement!$R9</f>
        <v>25486.400000000001</v>
      </c>
      <c r="T9" s="17">
        <f>Income_Statement!$Q9</f>
        <v>11993.6</v>
      </c>
      <c r="U9" s="17">
        <f>$U8+Cash_Flow!$I9</f>
        <v>0</v>
      </c>
      <c r="V9" s="17">
        <f>Cash_Flow!$N9</f>
        <v>121100.50000000009</v>
      </c>
      <c r="W9" s="17">
        <f>($W8+Cash_Flow!$J9)-(Cash_Flow!$B9+Cash_Flow!$C9)</f>
        <v>411100.50000000012</v>
      </c>
    </row>
    <row r="10" spans="1:24" x14ac:dyDescent="0.25">
      <c r="A10" s="9">
        <v>1</v>
      </c>
      <c r="B10" s="9">
        <v>8</v>
      </c>
      <c r="C10" s="10">
        <v>250000</v>
      </c>
      <c r="D10" s="10">
        <v>0</v>
      </c>
      <c r="E10" s="10">
        <v>235075.66</v>
      </c>
      <c r="F10" s="8">
        <v>13</v>
      </c>
      <c r="G10" s="8">
        <v>9</v>
      </c>
      <c r="H10" s="10">
        <v>780000</v>
      </c>
      <c r="I10" s="10">
        <v>540000</v>
      </c>
      <c r="J10" s="16">
        <v>77062.7</v>
      </c>
      <c r="K10" s="16">
        <v>0</v>
      </c>
      <c r="L10" s="16">
        <v>1230000</v>
      </c>
      <c r="M10" s="17">
        <f>$M9+Cash_Flow!$E10</f>
        <v>845830</v>
      </c>
      <c r="N10" s="17">
        <f>$N9+Income_Statement!$M10</f>
        <v>507170</v>
      </c>
      <c r="O10" s="17">
        <f>IF(Cash_Flow!$F10&lt;=0,0,$O9+(Cash_Flow!$F10+Cash_Flow!$G10))</f>
        <v>23072.400000000001</v>
      </c>
      <c r="P10" s="17">
        <f>Income_Statement!$P10</f>
        <v>121810</v>
      </c>
      <c r="Q10" s="17">
        <f>$Q9+Income_Statement!$P10</f>
        <v>384170</v>
      </c>
      <c r="R10" s="17">
        <f>$R9+Income_Statement!$Q10</f>
        <v>122934.40000000001</v>
      </c>
      <c r="S10" s="17">
        <f>Income_Statement!$R10</f>
        <v>82830.8</v>
      </c>
      <c r="T10" s="17">
        <f>Income_Statement!$Q10</f>
        <v>38979.199999999997</v>
      </c>
      <c r="U10" s="17">
        <f>$U9+Cash_Flow!$I10</f>
        <v>0</v>
      </c>
      <c r="V10" s="17">
        <f>Cash_Flow!$N10</f>
        <v>198163.20000000007</v>
      </c>
      <c r="W10" s="17">
        <f>($W9+Cash_Flow!$J10)-(Cash_Flow!$B10+Cash_Flow!$C10)</f>
        <v>488163.20000000013</v>
      </c>
    </row>
    <row r="11" spans="1:24" x14ac:dyDescent="0.25">
      <c r="A11" s="9">
        <v>1</v>
      </c>
      <c r="B11" s="9">
        <v>9</v>
      </c>
      <c r="C11" s="10">
        <v>250000</v>
      </c>
      <c r="D11" s="10">
        <v>0</v>
      </c>
      <c r="E11" s="10">
        <v>231266.52</v>
      </c>
      <c r="F11" s="8">
        <v>13</v>
      </c>
      <c r="G11" s="8">
        <v>9</v>
      </c>
      <c r="H11" s="10">
        <v>780000</v>
      </c>
      <c r="I11" s="10">
        <v>540000</v>
      </c>
      <c r="J11" s="16">
        <v>77062.7</v>
      </c>
      <c r="K11" s="16">
        <v>0</v>
      </c>
      <c r="L11" s="16">
        <v>1620000</v>
      </c>
      <c r="M11" s="17">
        <f>$M10+Cash_Flow!$E11</f>
        <v>1114020</v>
      </c>
      <c r="N11" s="17">
        <f>$N10+Income_Statement!$M11</f>
        <v>667980</v>
      </c>
      <c r="O11" s="17">
        <f>IF(Cash_Flow!$F11&lt;=0,0,$O10+(Cash_Flow!$F11+Cash_Flow!$G11))</f>
        <v>28840.5</v>
      </c>
      <c r="P11" s="17">
        <f>Income_Statement!$P11</f>
        <v>121810</v>
      </c>
      <c r="Q11" s="17">
        <f>$Q10+Income_Statement!$P11</f>
        <v>505980</v>
      </c>
      <c r="R11" s="17">
        <f>$R10+Income_Statement!$Q11</f>
        <v>161913.60000000001</v>
      </c>
      <c r="S11" s="17">
        <f>Income_Statement!$R11</f>
        <v>82830.8</v>
      </c>
      <c r="T11" s="17">
        <f>Income_Statement!$Q11</f>
        <v>38979.199999999997</v>
      </c>
      <c r="U11" s="17">
        <f>$U10+Cash_Flow!$I11</f>
        <v>0</v>
      </c>
      <c r="V11" s="17">
        <f>Cash_Flow!$N11</f>
        <v>275225.90000000008</v>
      </c>
      <c r="W11" s="17">
        <f>($W10+Cash_Flow!$J11)-(Cash_Flow!$B11+Cash_Flow!$C11)</f>
        <v>565225.90000000014</v>
      </c>
    </row>
    <row r="12" spans="1:24" x14ac:dyDescent="0.25">
      <c r="A12" s="9">
        <v>1</v>
      </c>
      <c r="B12" s="9">
        <v>10</v>
      </c>
      <c r="C12" s="10">
        <v>250000</v>
      </c>
      <c r="D12" s="10">
        <v>0</v>
      </c>
      <c r="E12" s="10">
        <v>227425.64</v>
      </c>
      <c r="F12" s="8">
        <v>13</v>
      </c>
      <c r="G12" s="8">
        <v>13</v>
      </c>
      <c r="H12" s="10">
        <v>780000</v>
      </c>
      <c r="I12" s="10">
        <v>780000</v>
      </c>
      <c r="J12" s="16">
        <v>77062.7</v>
      </c>
      <c r="K12" s="16">
        <v>240000</v>
      </c>
      <c r="L12" s="16">
        <v>2010000</v>
      </c>
      <c r="M12" s="17">
        <f>$M11+Cash_Flow!$E12</f>
        <v>1382210</v>
      </c>
      <c r="N12" s="17">
        <f>$N11+Income_Statement!$M12</f>
        <v>828790</v>
      </c>
      <c r="O12" s="17">
        <f>IF(Cash_Flow!$F12&lt;=0,0,$O11+(Cash_Flow!$F12+Cash_Flow!$G12))</f>
        <v>34608.6</v>
      </c>
      <c r="P12" s="17">
        <f>Income_Statement!$P12</f>
        <v>121810</v>
      </c>
      <c r="Q12" s="17">
        <f>$Q11+Income_Statement!$P12</f>
        <v>627790</v>
      </c>
      <c r="R12" s="17">
        <f>$R11+Income_Statement!$Q12</f>
        <v>200892.79999999999</v>
      </c>
      <c r="S12" s="17">
        <f>Income_Statement!$R12</f>
        <v>82830.8</v>
      </c>
      <c r="T12" s="17">
        <f>Income_Statement!$Q12</f>
        <v>38979.199999999997</v>
      </c>
      <c r="U12" s="17">
        <f>$U11+Cash_Flow!$I12</f>
        <v>0</v>
      </c>
      <c r="V12" s="17">
        <f>Cash_Flow!$N12</f>
        <v>112288.60000000009</v>
      </c>
      <c r="W12" s="17">
        <f>($W11+Cash_Flow!$J12)-(Cash_Flow!$B12+Cash_Flow!$C12)</f>
        <v>642288.60000000009</v>
      </c>
    </row>
    <row r="13" spans="1:24" x14ac:dyDescent="0.25">
      <c r="A13" s="9">
        <v>1</v>
      </c>
      <c r="B13" s="9">
        <v>11</v>
      </c>
      <c r="C13" s="10">
        <v>250000</v>
      </c>
      <c r="D13" s="10">
        <v>0</v>
      </c>
      <c r="E13" s="10">
        <v>223552.75</v>
      </c>
      <c r="F13" s="8">
        <v>13</v>
      </c>
      <c r="G13" s="8">
        <v>13</v>
      </c>
      <c r="H13" s="10">
        <v>780000</v>
      </c>
      <c r="I13" s="10">
        <v>780000</v>
      </c>
      <c r="J13" s="16">
        <v>77062.7</v>
      </c>
      <c r="K13" s="16">
        <v>0</v>
      </c>
      <c r="L13" s="16">
        <v>2400000</v>
      </c>
      <c r="M13" s="17">
        <f>$M12+Cash_Flow!$E13</f>
        <v>1650400</v>
      </c>
      <c r="N13" s="17">
        <f>$N12+Income_Statement!$M13</f>
        <v>989600</v>
      </c>
      <c r="O13" s="17">
        <f>IF(Cash_Flow!$F13&lt;=0,0,$O12+(Cash_Flow!$F13+Cash_Flow!$G13))</f>
        <v>40376.699999999997</v>
      </c>
      <c r="P13" s="17">
        <f>Income_Statement!$P13</f>
        <v>121810</v>
      </c>
      <c r="Q13" s="17">
        <f>$Q12+Income_Statement!$P13</f>
        <v>749600</v>
      </c>
      <c r="R13" s="17">
        <f>$R12+Income_Statement!$Q13</f>
        <v>239872</v>
      </c>
      <c r="S13" s="17">
        <f>Income_Statement!$R13</f>
        <v>82830.8</v>
      </c>
      <c r="T13" s="17">
        <f>Income_Statement!$Q13</f>
        <v>38979.199999999997</v>
      </c>
      <c r="U13" s="17">
        <f>$U12+Cash_Flow!$I13</f>
        <v>0</v>
      </c>
      <c r="V13" s="17">
        <f>Cash_Flow!$N13</f>
        <v>189351.3000000001</v>
      </c>
      <c r="W13" s="17">
        <f>($W12+Cash_Flow!$J13)-(Cash_Flow!$B13+Cash_Flow!$C13)</f>
        <v>719351.3</v>
      </c>
    </row>
    <row r="14" spans="1:24" x14ac:dyDescent="0.25">
      <c r="A14" s="9">
        <v>1</v>
      </c>
      <c r="B14" s="9">
        <v>12</v>
      </c>
      <c r="C14" s="10">
        <v>250000</v>
      </c>
      <c r="D14" s="10">
        <v>0</v>
      </c>
      <c r="E14" s="10">
        <v>219647.59</v>
      </c>
      <c r="F14" s="8">
        <v>9</v>
      </c>
      <c r="G14" s="8">
        <v>13</v>
      </c>
      <c r="H14" s="10">
        <v>540000</v>
      </c>
      <c r="I14" s="10">
        <v>780000</v>
      </c>
      <c r="J14" s="16">
        <v>51576.3</v>
      </c>
      <c r="K14" s="16">
        <v>0</v>
      </c>
      <c r="L14" s="16">
        <v>2670000</v>
      </c>
      <c r="M14" s="17">
        <f>$M13+Cash_Flow!$E14</f>
        <v>1836070</v>
      </c>
      <c r="N14" s="17">
        <f>$N13+Income_Statement!$M14</f>
        <v>1100930</v>
      </c>
      <c r="O14" s="17">
        <f>IF(Cash_Flow!$F14&lt;=0,0,$O13+(Cash_Flow!$F14+Cash_Flow!$G14))</f>
        <v>46144.799999999996</v>
      </c>
      <c r="P14" s="17">
        <f>Income_Statement!$P14</f>
        <v>84330</v>
      </c>
      <c r="Q14" s="17">
        <f>$Q13+Income_Statement!$P14</f>
        <v>833930</v>
      </c>
      <c r="R14" s="17">
        <f>$R13+Income_Statement!$Q14</f>
        <v>266857.59999999998</v>
      </c>
      <c r="S14" s="17">
        <f>Income_Statement!$R14</f>
        <v>57344.4</v>
      </c>
      <c r="T14" s="17">
        <f>Income_Statement!$Q14</f>
        <v>26985.599999999999</v>
      </c>
      <c r="U14" s="17">
        <f>$U13+Cash_Flow!$I14</f>
        <v>0</v>
      </c>
      <c r="V14" s="17">
        <f>Cash_Flow!$N14</f>
        <v>240927.60000000009</v>
      </c>
      <c r="W14" s="17">
        <f>($W13+Cash_Flow!$J14)-(Cash_Flow!$B14+Cash_Flow!$C14)</f>
        <v>770927.60000000009</v>
      </c>
    </row>
    <row r="15" spans="1:24" x14ac:dyDescent="0.25">
      <c r="A15" s="9">
        <v>2</v>
      </c>
      <c r="B15" s="9">
        <v>13</v>
      </c>
      <c r="C15" s="10">
        <v>250000</v>
      </c>
      <c r="D15" s="10">
        <v>0</v>
      </c>
      <c r="E15" s="10">
        <v>215709.89</v>
      </c>
      <c r="F15" s="8">
        <v>13</v>
      </c>
      <c r="G15" s="8">
        <v>17</v>
      </c>
      <c r="H15" s="10">
        <v>780000</v>
      </c>
      <c r="I15" s="10">
        <v>1020000</v>
      </c>
      <c r="J15" s="16">
        <v>77062.69</v>
      </c>
      <c r="K15" s="16">
        <v>240000</v>
      </c>
      <c r="L15" s="16">
        <v>3060000</v>
      </c>
      <c r="M15" s="17">
        <f>$M14+Cash_Flow!$E15</f>
        <v>2104260</v>
      </c>
      <c r="N15" s="17">
        <f>$N14+Income_Statement!$M15</f>
        <v>1261740</v>
      </c>
      <c r="O15" s="17">
        <f>IF(Cash_Flow!$F15&lt;=0,0,$O14+(Cash_Flow!$F15+Cash_Flow!$G15))</f>
        <v>51912.909999999996</v>
      </c>
      <c r="P15" s="17">
        <f>Income_Statement!$P15</f>
        <v>121810</v>
      </c>
      <c r="Q15" s="17">
        <f>$Q14+Income_Statement!$P15</f>
        <v>955740</v>
      </c>
      <c r="R15" s="17">
        <f>$R14+Income_Statement!$Q15</f>
        <v>305836.79999999999</v>
      </c>
      <c r="S15" s="17">
        <f>Income_Statement!$R15</f>
        <v>82830.8</v>
      </c>
      <c r="T15" s="17">
        <f>Income_Statement!$Q15</f>
        <v>38979.199999999997</v>
      </c>
      <c r="U15" s="17">
        <f>$U14+Cash_Flow!$I15</f>
        <v>0</v>
      </c>
      <c r="V15" s="17">
        <f>Cash_Flow!$N15</f>
        <v>77990.290000000095</v>
      </c>
      <c r="W15" s="17">
        <f>($W14+Cash_Flow!$J15)-(Cash_Flow!$B15+Cash_Flow!$C15)</f>
        <v>847990.29</v>
      </c>
    </row>
    <row r="16" spans="1:24" x14ac:dyDescent="0.25">
      <c r="A16" s="9">
        <v>2</v>
      </c>
      <c r="B16" s="9">
        <v>14</v>
      </c>
      <c r="C16" s="10">
        <v>250000</v>
      </c>
      <c r="D16" s="10">
        <v>0</v>
      </c>
      <c r="E16" s="10">
        <v>211739.37</v>
      </c>
      <c r="F16" s="8">
        <v>13</v>
      </c>
      <c r="G16" s="8">
        <v>17</v>
      </c>
      <c r="H16" s="10">
        <v>780000</v>
      </c>
      <c r="I16" s="10">
        <v>1020000</v>
      </c>
      <c r="J16" s="16">
        <v>77062.7</v>
      </c>
      <c r="K16" s="16">
        <v>0</v>
      </c>
      <c r="L16" s="16">
        <v>3450000</v>
      </c>
      <c r="M16" s="17">
        <f>$M15+Cash_Flow!$E16</f>
        <v>2372450</v>
      </c>
      <c r="N16" s="17">
        <f>$N15+Income_Statement!$M16</f>
        <v>1422550</v>
      </c>
      <c r="O16" s="17">
        <f>IF(Cash_Flow!$F16&lt;=0,0,$O15+(Cash_Flow!$F16+Cash_Flow!$G16))</f>
        <v>57681.009999999995</v>
      </c>
      <c r="P16" s="17">
        <f>Income_Statement!$P16</f>
        <v>121810</v>
      </c>
      <c r="Q16" s="17">
        <f>$Q15+Income_Statement!$P16</f>
        <v>1077550</v>
      </c>
      <c r="R16" s="17">
        <f>$R15+Income_Statement!$Q16</f>
        <v>344816</v>
      </c>
      <c r="S16" s="17">
        <f>Income_Statement!$R16</f>
        <v>82830.8</v>
      </c>
      <c r="T16" s="17">
        <f>Income_Statement!$Q16</f>
        <v>38979.199999999997</v>
      </c>
      <c r="U16" s="17">
        <f>$U15+Cash_Flow!$I16</f>
        <v>0</v>
      </c>
      <c r="V16" s="17">
        <f>Cash_Flow!$N16</f>
        <v>155052.99000000011</v>
      </c>
      <c r="W16" s="17">
        <f>($W15+Cash_Flow!$J16)-(Cash_Flow!$B16+Cash_Flow!$C16)</f>
        <v>925052.99</v>
      </c>
    </row>
    <row r="17" spans="1:23" x14ac:dyDescent="0.25">
      <c r="A17" s="9">
        <v>2</v>
      </c>
      <c r="B17" s="9">
        <v>15</v>
      </c>
      <c r="C17" s="10">
        <v>250000</v>
      </c>
      <c r="D17" s="10">
        <v>0</v>
      </c>
      <c r="E17" s="10">
        <v>207735.76</v>
      </c>
      <c r="F17" s="8">
        <v>13</v>
      </c>
      <c r="G17" s="8">
        <v>17</v>
      </c>
      <c r="H17" s="10">
        <v>780000</v>
      </c>
      <c r="I17" s="10">
        <v>1020000</v>
      </c>
      <c r="J17" s="16">
        <v>77062.7</v>
      </c>
      <c r="K17" s="16">
        <v>0</v>
      </c>
      <c r="L17" s="16">
        <v>3840000</v>
      </c>
      <c r="M17" s="17">
        <f>$M16+Cash_Flow!$E17</f>
        <v>2640640</v>
      </c>
      <c r="N17" s="17">
        <f>$N16+Income_Statement!$M17</f>
        <v>1583360</v>
      </c>
      <c r="O17" s="17">
        <f>IF(Cash_Flow!$F17&lt;=0,0,$O16+(Cash_Flow!$F17+Cash_Flow!$G17))</f>
        <v>63449.109999999993</v>
      </c>
      <c r="P17" s="17">
        <f>Income_Statement!$P17</f>
        <v>121810</v>
      </c>
      <c r="Q17" s="17">
        <f>$Q16+Income_Statement!$P17</f>
        <v>1199360</v>
      </c>
      <c r="R17" s="17">
        <f>$R16+Income_Statement!$Q17</f>
        <v>383795.20000000001</v>
      </c>
      <c r="S17" s="17">
        <f>Income_Statement!$R17</f>
        <v>82830.8</v>
      </c>
      <c r="T17" s="17">
        <f>Income_Statement!$Q17</f>
        <v>38979.199999999997</v>
      </c>
      <c r="U17" s="17">
        <f>$U16+Cash_Flow!$I17</f>
        <v>0</v>
      </c>
      <c r="V17" s="17">
        <f>Cash_Flow!$N17</f>
        <v>232115.69000000012</v>
      </c>
      <c r="W17" s="17">
        <f>($W16+Cash_Flow!$J17)-(Cash_Flow!$B17+Cash_Flow!$C17)</f>
        <v>1002115.69</v>
      </c>
    </row>
    <row r="18" spans="1:23" x14ac:dyDescent="0.25">
      <c r="A18" s="9">
        <v>2</v>
      </c>
      <c r="B18" s="9">
        <v>16</v>
      </c>
      <c r="C18" s="10">
        <v>250000</v>
      </c>
      <c r="D18" s="10">
        <v>0</v>
      </c>
      <c r="E18" s="10">
        <v>203698.79</v>
      </c>
      <c r="F18" s="8">
        <v>17</v>
      </c>
      <c r="G18" s="8">
        <v>21</v>
      </c>
      <c r="H18" s="10">
        <v>1020000</v>
      </c>
      <c r="I18" s="10">
        <v>1260000</v>
      </c>
      <c r="J18" s="16">
        <v>102549.1</v>
      </c>
      <c r="K18" s="16">
        <v>240000</v>
      </c>
      <c r="L18" s="16">
        <v>4350000</v>
      </c>
      <c r="M18" s="17">
        <f>$M17+Cash_Flow!$E18</f>
        <v>2991350</v>
      </c>
      <c r="N18" s="17">
        <f>$N17+Income_Statement!$M18</f>
        <v>1793650</v>
      </c>
      <c r="O18" s="17">
        <f>IF(Cash_Flow!$F18&lt;=0,0,$O17+(Cash_Flow!$F18+Cash_Flow!$G18))</f>
        <v>69217.209999999992</v>
      </c>
      <c r="P18" s="17">
        <f>Income_Statement!$P18</f>
        <v>159290</v>
      </c>
      <c r="Q18" s="17">
        <f>$Q17+Income_Statement!$P18</f>
        <v>1358650</v>
      </c>
      <c r="R18" s="17">
        <f>$R17+Income_Statement!$Q18</f>
        <v>434768</v>
      </c>
      <c r="S18" s="17">
        <f>Income_Statement!$R18</f>
        <v>108317.2</v>
      </c>
      <c r="T18" s="17">
        <f>Income_Statement!$Q18</f>
        <v>50972.800000000003</v>
      </c>
      <c r="U18" s="17">
        <f>$U17+Cash_Flow!$I18</f>
        <v>0</v>
      </c>
      <c r="V18" s="17">
        <f>Cash_Flow!$N18</f>
        <v>94664.790000000125</v>
      </c>
      <c r="W18" s="17">
        <f>($W17+Cash_Flow!$J18)-(Cash_Flow!$B18+Cash_Flow!$C18)</f>
        <v>1104664.79</v>
      </c>
    </row>
    <row r="19" spans="1:23" x14ac:dyDescent="0.25">
      <c r="A19" s="9">
        <v>2</v>
      </c>
      <c r="B19" s="9">
        <v>17</v>
      </c>
      <c r="C19" s="10">
        <v>250000</v>
      </c>
      <c r="D19" s="10">
        <v>0</v>
      </c>
      <c r="E19" s="10">
        <v>199628.18</v>
      </c>
      <c r="F19" s="8">
        <v>17</v>
      </c>
      <c r="G19" s="8">
        <v>21</v>
      </c>
      <c r="H19" s="10">
        <v>1020000</v>
      </c>
      <c r="I19" s="10">
        <v>1260000</v>
      </c>
      <c r="J19" s="16">
        <v>102549.1</v>
      </c>
      <c r="K19" s="16">
        <v>0</v>
      </c>
      <c r="L19" s="16">
        <v>4860000</v>
      </c>
      <c r="M19" s="17">
        <f>$M18+Cash_Flow!$E19</f>
        <v>3342060</v>
      </c>
      <c r="N19" s="17">
        <f>$N18+Income_Statement!$M19</f>
        <v>2003940</v>
      </c>
      <c r="O19" s="17">
        <f>IF(Cash_Flow!$F19&lt;=0,0,$O18+(Cash_Flow!$F19+Cash_Flow!$G19))</f>
        <v>74985.31</v>
      </c>
      <c r="P19" s="17">
        <f>Income_Statement!$P19</f>
        <v>159290</v>
      </c>
      <c r="Q19" s="17">
        <f>$Q18+Income_Statement!$P19</f>
        <v>1517940</v>
      </c>
      <c r="R19" s="17">
        <f>$R18+Income_Statement!$Q19</f>
        <v>485740.79999999999</v>
      </c>
      <c r="S19" s="17">
        <f>Income_Statement!$R19</f>
        <v>108317.2</v>
      </c>
      <c r="T19" s="17">
        <f>Income_Statement!$Q19</f>
        <v>50972.800000000003</v>
      </c>
      <c r="U19" s="17">
        <f>$U18+Cash_Flow!$I19</f>
        <v>0</v>
      </c>
      <c r="V19" s="17">
        <f>Cash_Flow!$N19</f>
        <v>197213.89000000013</v>
      </c>
      <c r="W19" s="17">
        <f>($W18+Cash_Flow!$J19)-(Cash_Flow!$B19+Cash_Flow!$C19)</f>
        <v>1207213.8900000001</v>
      </c>
    </row>
    <row r="20" spans="1:23" x14ac:dyDescent="0.25">
      <c r="A20" s="9">
        <v>2</v>
      </c>
      <c r="B20" s="9">
        <v>18</v>
      </c>
      <c r="C20" s="10">
        <v>250000</v>
      </c>
      <c r="D20" s="10">
        <v>0</v>
      </c>
      <c r="E20" s="10">
        <v>195523.64</v>
      </c>
      <c r="F20" s="8">
        <v>17</v>
      </c>
      <c r="G20" s="8">
        <v>25</v>
      </c>
      <c r="H20" s="10">
        <v>1020000</v>
      </c>
      <c r="I20" s="10">
        <v>1500000</v>
      </c>
      <c r="J20" s="16">
        <v>102549.1</v>
      </c>
      <c r="K20" s="16">
        <v>240000</v>
      </c>
      <c r="L20" s="16">
        <v>5370000</v>
      </c>
      <c r="M20" s="17">
        <f>$M19+Cash_Flow!$E20</f>
        <v>3692770</v>
      </c>
      <c r="N20" s="17">
        <f>$N19+Income_Statement!$M20</f>
        <v>2214230</v>
      </c>
      <c r="O20" s="17">
        <f>IF(Cash_Flow!$F20&lt;=0,0,$O19+(Cash_Flow!$F20+Cash_Flow!$G20))</f>
        <v>80753.41</v>
      </c>
      <c r="P20" s="17">
        <f>Income_Statement!$P20</f>
        <v>159290</v>
      </c>
      <c r="Q20" s="17">
        <f>$Q19+Income_Statement!$P20</f>
        <v>1677230</v>
      </c>
      <c r="R20" s="17">
        <f>$R19+Income_Statement!$Q20</f>
        <v>536713.6</v>
      </c>
      <c r="S20" s="17">
        <f>Income_Statement!$R20</f>
        <v>108317.2</v>
      </c>
      <c r="T20" s="17">
        <f>Income_Statement!$Q20</f>
        <v>50972.800000000003</v>
      </c>
      <c r="U20" s="17">
        <f>$U19+Cash_Flow!$I20</f>
        <v>0</v>
      </c>
      <c r="V20" s="17">
        <f>Cash_Flow!$N20</f>
        <v>59762.990000000136</v>
      </c>
      <c r="W20" s="17">
        <f>($W19+Cash_Flow!$J20)-(Cash_Flow!$B20+Cash_Flow!$C20)</f>
        <v>1309762.9900000002</v>
      </c>
    </row>
    <row r="21" spans="1:23" x14ac:dyDescent="0.25">
      <c r="A21" s="9">
        <v>2</v>
      </c>
      <c r="B21" s="9">
        <v>19</v>
      </c>
      <c r="C21" s="10">
        <v>250000</v>
      </c>
      <c r="D21" s="10">
        <v>0</v>
      </c>
      <c r="E21" s="10">
        <v>191384.91</v>
      </c>
      <c r="F21" s="8">
        <v>12</v>
      </c>
      <c r="G21" s="8">
        <v>25</v>
      </c>
      <c r="H21" s="10">
        <v>720000</v>
      </c>
      <c r="I21" s="10">
        <v>1500000</v>
      </c>
      <c r="J21" s="16">
        <v>70691.100000000006</v>
      </c>
      <c r="K21" s="16">
        <v>0</v>
      </c>
      <c r="L21" s="16">
        <v>5730000</v>
      </c>
      <c r="M21" s="17">
        <f>$M20+Cash_Flow!$E21</f>
        <v>3940330</v>
      </c>
      <c r="N21" s="17">
        <f>$N20+Income_Statement!$M21</f>
        <v>2362670</v>
      </c>
      <c r="O21" s="17">
        <f>IF(Cash_Flow!$F21&lt;=0,0,$O20+(Cash_Flow!$F21+Cash_Flow!$G21))</f>
        <v>86521.510000000009</v>
      </c>
      <c r="P21" s="17">
        <f>Income_Statement!$P21</f>
        <v>112440</v>
      </c>
      <c r="Q21" s="17">
        <f>$Q20+Income_Statement!$P21</f>
        <v>1789670</v>
      </c>
      <c r="R21" s="17">
        <f>$R20+Income_Statement!$Q21</f>
        <v>572694.4</v>
      </c>
      <c r="S21" s="17">
        <f>Income_Statement!$R21</f>
        <v>76459.199999999997</v>
      </c>
      <c r="T21" s="17">
        <f>Income_Statement!$Q21</f>
        <v>35980.800000000003</v>
      </c>
      <c r="U21" s="17">
        <f>$U20+Cash_Flow!$I21</f>
        <v>0</v>
      </c>
      <c r="V21" s="17">
        <f>Cash_Flow!$N21</f>
        <v>130454.09000000014</v>
      </c>
      <c r="W21" s="17">
        <f>($W20+Cash_Flow!$J21)-(Cash_Flow!$B21+Cash_Flow!$C21)</f>
        <v>1380454.0900000003</v>
      </c>
    </row>
    <row r="22" spans="1:23" x14ac:dyDescent="0.25">
      <c r="A22" s="9">
        <v>2</v>
      </c>
      <c r="B22" s="9">
        <v>20</v>
      </c>
      <c r="C22" s="10">
        <v>250000</v>
      </c>
      <c r="D22" s="10">
        <v>0</v>
      </c>
      <c r="E22" s="10">
        <v>187211.68</v>
      </c>
      <c r="F22" s="8">
        <v>12</v>
      </c>
      <c r="G22" s="8">
        <v>25</v>
      </c>
      <c r="H22" s="10">
        <v>720000</v>
      </c>
      <c r="I22" s="10">
        <v>1500000</v>
      </c>
      <c r="J22" s="16">
        <v>70691.100000000006</v>
      </c>
      <c r="K22" s="16">
        <v>0</v>
      </c>
      <c r="L22" s="16">
        <v>6090000</v>
      </c>
      <c r="M22" s="17">
        <f>$M21+Cash_Flow!$E22</f>
        <v>4187890</v>
      </c>
      <c r="N22" s="17">
        <f>$N21+Income_Statement!$M22</f>
        <v>2511110</v>
      </c>
      <c r="O22" s="17">
        <f>IF(Cash_Flow!$F22&lt;=0,0,$O21+(Cash_Flow!$F22+Cash_Flow!$G22))</f>
        <v>92289.610000000015</v>
      </c>
      <c r="P22" s="17">
        <f>Income_Statement!$P22</f>
        <v>112440</v>
      </c>
      <c r="Q22" s="17">
        <f>$Q21+Income_Statement!$P22</f>
        <v>1902110</v>
      </c>
      <c r="R22" s="17">
        <f>$R21+Income_Statement!$Q22</f>
        <v>608675.20000000007</v>
      </c>
      <c r="S22" s="17">
        <f>Income_Statement!$R22</f>
        <v>76459.199999999997</v>
      </c>
      <c r="T22" s="17">
        <f>Income_Statement!$Q22</f>
        <v>35980.800000000003</v>
      </c>
      <c r="U22" s="17">
        <f>$U21+Cash_Flow!$I22</f>
        <v>0</v>
      </c>
      <c r="V22" s="17">
        <f>Cash_Flow!$N22</f>
        <v>201145.19000000015</v>
      </c>
      <c r="W22" s="17">
        <f>($W21+Cash_Flow!$J22)-(Cash_Flow!$B22+Cash_Flow!$C22)</f>
        <v>1451145.1900000004</v>
      </c>
    </row>
    <row r="23" spans="1:23" x14ac:dyDescent="0.25">
      <c r="A23" s="9">
        <v>2</v>
      </c>
      <c r="B23" s="9">
        <v>21</v>
      </c>
      <c r="C23" s="10">
        <v>250000</v>
      </c>
      <c r="D23" s="10">
        <v>0</v>
      </c>
      <c r="E23" s="10">
        <v>183003.67</v>
      </c>
      <c r="F23" s="8">
        <v>16</v>
      </c>
      <c r="G23" s="8">
        <v>29</v>
      </c>
      <c r="H23" s="10">
        <v>960000</v>
      </c>
      <c r="I23" s="10">
        <v>1740000</v>
      </c>
      <c r="J23" s="16">
        <v>96177.5</v>
      </c>
      <c r="K23" s="16">
        <v>240000</v>
      </c>
      <c r="L23" s="16">
        <v>6570000</v>
      </c>
      <c r="M23" s="17">
        <f>$M22+Cash_Flow!$E23</f>
        <v>4517970</v>
      </c>
      <c r="N23" s="17">
        <f>$N22+Income_Statement!$M23</f>
        <v>2709030</v>
      </c>
      <c r="O23" s="17">
        <f>IF(Cash_Flow!$F23&lt;=0,0,$O22+(Cash_Flow!$F23+Cash_Flow!$G23))</f>
        <v>98057.710000000021</v>
      </c>
      <c r="P23" s="17">
        <f>Income_Statement!$P23</f>
        <v>149920</v>
      </c>
      <c r="Q23" s="17">
        <f>$Q22+Income_Statement!$P23</f>
        <v>2052030</v>
      </c>
      <c r="R23" s="17">
        <f>$R22+Income_Statement!$Q23</f>
        <v>656649.60000000009</v>
      </c>
      <c r="S23" s="17">
        <f>Income_Statement!$R23</f>
        <v>101945.60000000001</v>
      </c>
      <c r="T23" s="17">
        <f>Income_Statement!$Q23</f>
        <v>47974.400000000001</v>
      </c>
      <c r="U23" s="17">
        <f>$U22+Cash_Flow!$I23</f>
        <v>0</v>
      </c>
      <c r="V23" s="17">
        <f>Cash_Flow!$N23</f>
        <v>57322.690000000148</v>
      </c>
      <c r="W23" s="17">
        <f>($W22+Cash_Flow!$J23)-(Cash_Flow!$B23+Cash_Flow!$C23)</f>
        <v>1547322.6900000004</v>
      </c>
    </row>
    <row r="24" spans="1:23" x14ac:dyDescent="0.25">
      <c r="A24" s="9">
        <v>2</v>
      </c>
      <c r="B24" s="9">
        <v>22</v>
      </c>
      <c r="C24" s="10">
        <v>250000</v>
      </c>
      <c r="D24" s="10">
        <v>0</v>
      </c>
      <c r="E24" s="10">
        <v>178760.6</v>
      </c>
      <c r="F24" s="8">
        <v>16</v>
      </c>
      <c r="G24" s="8">
        <v>29</v>
      </c>
      <c r="H24" s="10">
        <v>960000</v>
      </c>
      <c r="I24" s="10">
        <v>1740000</v>
      </c>
      <c r="J24" s="16">
        <v>96177.5</v>
      </c>
      <c r="K24" s="16">
        <v>0</v>
      </c>
      <c r="L24" s="16">
        <v>7050000</v>
      </c>
      <c r="M24" s="17">
        <f>$M23+Cash_Flow!$E24</f>
        <v>4848050</v>
      </c>
      <c r="N24" s="17">
        <f>$N23+Income_Statement!$M24</f>
        <v>2906950</v>
      </c>
      <c r="O24" s="17">
        <f>IF(Cash_Flow!$F24&lt;=0,0,$O23+(Cash_Flow!$F24+Cash_Flow!$G24))</f>
        <v>103825.81000000003</v>
      </c>
      <c r="P24" s="17">
        <f>Income_Statement!$P24</f>
        <v>149920</v>
      </c>
      <c r="Q24" s="17">
        <f>$Q23+Income_Statement!$P24</f>
        <v>2201950</v>
      </c>
      <c r="R24" s="17">
        <f>$R23+Income_Statement!$Q24</f>
        <v>704624.00000000012</v>
      </c>
      <c r="S24" s="17">
        <f>Income_Statement!$R24</f>
        <v>101945.60000000001</v>
      </c>
      <c r="T24" s="17">
        <f>Income_Statement!$Q24</f>
        <v>47974.400000000001</v>
      </c>
      <c r="U24" s="17">
        <f>$U23+Cash_Flow!$I24</f>
        <v>0</v>
      </c>
      <c r="V24" s="17">
        <f>Cash_Flow!$N24</f>
        <v>153500.19000000015</v>
      </c>
      <c r="W24" s="17">
        <f>($W23+Cash_Flow!$J24)-(Cash_Flow!$B24+Cash_Flow!$C24)</f>
        <v>1643500.1900000004</v>
      </c>
    </row>
    <row r="25" spans="1:23" x14ac:dyDescent="0.25">
      <c r="A25" s="9">
        <v>2</v>
      </c>
      <c r="B25" s="9">
        <v>23</v>
      </c>
      <c r="C25" s="10">
        <v>250000</v>
      </c>
      <c r="D25" s="10">
        <v>0</v>
      </c>
      <c r="E25" s="10">
        <v>174482.17</v>
      </c>
      <c r="F25" s="8">
        <v>16</v>
      </c>
      <c r="G25" s="8">
        <v>33</v>
      </c>
      <c r="H25" s="10">
        <v>960000</v>
      </c>
      <c r="I25" s="10">
        <v>1980000</v>
      </c>
      <c r="J25" s="16">
        <v>96177.5</v>
      </c>
      <c r="K25" s="16">
        <v>240000</v>
      </c>
      <c r="L25" s="16">
        <v>7530000</v>
      </c>
      <c r="M25" s="17">
        <f>$M24+Cash_Flow!$E25</f>
        <v>5178130</v>
      </c>
      <c r="N25" s="17">
        <f>$N24+Income_Statement!$M25</f>
        <v>3104870</v>
      </c>
      <c r="O25" s="17">
        <f>IF(Cash_Flow!$F25&lt;=0,0,$O24+(Cash_Flow!$F25+Cash_Flow!$G25))</f>
        <v>109593.91000000003</v>
      </c>
      <c r="P25" s="17">
        <f>Income_Statement!$P25</f>
        <v>149920</v>
      </c>
      <c r="Q25" s="17">
        <f>$Q24+Income_Statement!$P25</f>
        <v>2351870</v>
      </c>
      <c r="R25" s="17">
        <f>$R24+Income_Statement!$Q25</f>
        <v>752598.40000000014</v>
      </c>
      <c r="S25" s="17">
        <f>Income_Statement!$R25</f>
        <v>101945.60000000001</v>
      </c>
      <c r="T25" s="17">
        <f>Income_Statement!$Q25</f>
        <v>47974.400000000001</v>
      </c>
      <c r="U25" s="17">
        <f>$U24+Cash_Flow!$I25</f>
        <v>0</v>
      </c>
      <c r="V25" s="17">
        <f>Cash_Flow!$N25</f>
        <v>9677.6900000001478</v>
      </c>
      <c r="W25" s="17">
        <f>($W24+Cash_Flow!$J25)-(Cash_Flow!$B25+Cash_Flow!$C25)</f>
        <v>1739677.6900000004</v>
      </c>
    </row>
    <row r="26" spans="1:23" x14ac:dyDescent="0.25">
      <c r="A26" s="9">
        <v>2</v>
      </c>
      <c r="B26" s="9">
        <v>24</v>
      </c>
      <c r="C26" s="10">
        <v>250000</v>
      </c>
      <c r="D26" s="10">
        <v>0</v>
      </c>
      <c r="E26" s="10">
        <v>170168.09</v>
      </c>
      <c r="F26" s="8">
        <v>16</v>
      </c>
      <c r="G26" s="8">
        <v>33</v>
      </c>
      <c r="H26" s="10">
        <v>960000</v>
      </c>
      <c r="I26" s="10">
        <v>1980000</v>
      </c>
      <c r="J26" s="16">
        <v>96177.5</v>
      </c>
      <c r="K26" s="16">
        <v>0</v>
      </c>
      <c r="L26" s="16">
        <v>8010000</v>
      </c>
      <c r="M26" s="17">
        <f>$M25+Cash_Flow!$E26</f>
        <v>5508210</v>
      </c>
      <c r="N26" s="17">
        <f>$N25+Income_Statement!$M26</f>
        <v>3302790</v>
      </c>
      <c r="O26" s="17">
        <f>IF(Cash_Flow!$F26&lt;=0,0,$O25+(Cash_Flow!$F26+Cash_Flow!$G26))</f>
        <v>115362.01000000004</v>
      </c>
      <c r="P26" s="17">
        <f>Income_Statement!$P26</f>
        <v>149920</v>
      </c>
      <c r="Q26" s="17">
        <f>$Q25+Income_Statement!$P26</f>
        <v>2501790</v>
      </c>
      <c r="R26" s="17">
        <f>$R25+Income_Statement!$Q26</f>
        <v>800572.80000000016</v>
      </c>
      <c r="S26" s="17">
        <f>Income_Statement!$R26</f>
        <v>101945.60000000001</v>
      </c>
      <c r="T26" s="17">
        <f>Income_Statement!$Q26</f>
        <v>47974.400000000001</v>
      </c>
      <c r="U26" s="17">
        <f>$U25+Cash_Flow!$I26</f>
        <v>0</v>
      </c>
      <c r="V26" s="17">
        <f>Cash_Flow!$N26</f>
        <v>105855.19000000015</v>
      </c>
      <c r="W26" s="17">
        <f>($W25+Cash_Flow!$J26)-(Cash_Flow!$B26+Cash_Flow!$C26)</f>
        <v>1835855.1900000004</v>
      </c>
    </row>
    <row r="27" spans="1:23" x14ac:dyDescent="0.25">
      <c r="A27" s="9">
        <v>3</v>
      </c>
      <c r="B27" s="9">
        <v>25</v>
      </c>
      <c r="C27" s="10">
        <v>250000</v>
      </c>
      <c r="D27" s="10">
        <v>0</v>
      </c>
      <c r="E27" s="10">
        <v>165818.04999999999</v>
      </c>
      <c r="F27" s="8">
        <v>16</v>
      </c>
      <c r="G27" s="8">
        <v>33</v>
      </c>
      <c r="H27" s="10">
        <v>960000</v>
      </c>
      <c r="I27" s="10">
        <v>1980000</v>
      </c>
      <c r="J27" s="16">
        <v>96177.5</v>
      </c>
      <c r="K27" s="16">
        <v>0</v>
      </c>
      <c r="L27" s="16">
        <v>8490000</v>
      </c>
      <c r="M27" s="17">
        <f>$M26+Cash_Flow!$E27</f>
        <v>5838290</v>
      </c>
      <c r="N27" s="17">
        <f>$N26+Income_Statement!$M27</f>
        <v>3500710</v>
      </c>
      <c r="O27" s="17">
        <f>IF(Cash_Flow!$F27&lt;=0,0,$O26+(Cash_Flow!$F27+Cash_Flow!$G27))</f>
        <v>121130.11000000004</v>
      </c>
      <c r="P27" s="17">
        <f>Income_Statement!$P27</f>
        <v>149920</v>
      </c>
      <c r="Q27" s="17">
        <f>$Q26+Income_Statement!$P27</f>
        <v>2651710</v>
      </c>
      <c r="R27" s="17">
        <f>$R26+Income_Statement!$Q27</f>
        <v>848547.20000000019</v>
      </c>
      <c r="S27" s="17">
        <f>Income_Statement!$R27</f>
        <v>101945.60000000001</v>
      </c>
      <c r="T27" s="17">
        <f>Income_Statement!$Q27</f>
        <v>47974.400000000001</v>
      </c>
      <c r="U27" s="17">
        <f>$U26+Cash_Flow!$I27</f>
        <v>0</v>
      </c>
      <c r="V27" s="17">
        <f>Cash_Flow!$N27</f>
        <v>202032.69000000015</v>
      </c>
      <c r="W27" s="17">
        <f>($W26+Cash_Flow!$J27)-(Cash_Flow!$B27+Cash_Flow!$C27)</f>
        <v>1932032.6900000004</v>
      </c>
    </row>
    <row r="28" spans="1:23" x14ac:dyDescent="0.25">
      <c r="A28" s="9">
        <v>3</v>
      </c>
      <c r="B28" s="9">
        <v>26</v>
      </c>
      <c r="C28" s="10">
        <v>250000</v>
      </c>
      <c r="D28" s="10">
        <v>0</v>
      </c>
      <c r="E28" s="10">
        <v>161431.76999999999</v>
      </c>
      <c r="F28" s="8">
        <v>20</v>
      </c>
      <c r="G28" s="8">
        <v>38</v>
      </c>
      <c r="H28" s="10">
        <v>1200000</v>
      </c>
      <c r="I28" s="10">
        <v>2280000</v>
      </c>
      <c r="J28" s="16">
        <v>121663.9</v>
      </c>
      <c r="K28" s="16">
        <v>300000</v>
      </c>
      <c r="L28" s="16">
        <v>9090000</v>
      </c>
      <c r="M28" s="17">
        <f>$M27+Cash_Flow!$E28</f>
        <v>6250890</v>
      </c>
      <c r="N28" s="17">
        <f>$N27+Income_Statement!$M28</f>
        <v>3748110</v>
      </c>
      <c r="O28" s="17">
        <f>IF(Cash_Flow!$F28&lt;=0,0,$O27+(Cash_Flow!$F28+Cash_Flow!$G28))</f>
        <v>126898.21000000005</v>
      </c>
      <c r="P28" s="17">
        <f>Income_Statement!$P28</f>
        <v>187400</v>
      </c>
      <c r="Q28" s="17">
        <f>$Q27+Income_Statement!$P28</f>
        <v>2839110</v>
      </c>
      <c r="R28" s="17">
        <f>$R27+Income_Statement!$Q28</f>
        <v>908515.20000000019</v>
      </c>
      <c r="S28" s="17">
        <f>Income_Statement!$R28</f>
        <v>127432</v>
      </c>
      <c r="T28" s="17">
        <f>Income_Statement!$Q28</f>
        <v>59968</v>
      </c>
      <c r="U28" s="17">
        <f>$U27+Cash_Flow!$I28</f>
        <v>0</v>
      </c>
      <c r="V28" s="17">
        <f>Cash_Flow!$N28</f>
        <v>23696.590000000142</v>
      </c>
      <c r="W28" s="17">
        <f>($W27+Cash_Flow!$J28)-(Cash_Flow!$B28+Cash_Flow!$C28)</f>
        <v>2053696.5900000003</v>
      </c>
    </row>
    <row r="29" spans="1:23" x14ac:dyDescent="0.25">
      <c r="A29" s="9">
        <v>3</v>
      </c>
      <c r="B29" s="9">
        <v>27</v>
      </c>
      <c r="C29" s="10">
        <v>250000</v>
      </c>
      <c r="D29" s="10">
        <v>0</v>
      </c>
      <c r="E29" s="10">
        <v>157008.93</v>
      </c>
      <c r="F29" s="8">
        <v>16</v>
      </c>
      <c r="G29" s="8">
        <v>38</v>
      </c>
      <c r="H29" s="10">
        <v>960000</v>
      </c>
      <c r="I29" s="10">
        <v>2280000</v>
      </c>
      <c r="J29" s="16">
        <v>96177.5</v>
      </c>
      <c r="K29" s="16">
        <v>0</v>
      </c>
      <c r="L29" s="16">
        <v>9570000</v>
      </c>
      <c r="M29" s="17">
        <f>$M28+Cash_Flow!$E29</f>
        <v>6580970</v>
      </c>
      <c r="N29" s="17">
        <f>$N28+Income_Statement!$M29</f>
        <v>3946030</v>
      </c>
      <c r="O29" s="17">
        <f>IF(Cash_Flow!$F29&lt;=0,0,$O28+(Cash_Flow!$F29+Cash_Flow!$G29))</f>
        <v>132666.31000000006</v>
      </c>
      <c r="P29" s="17">
        <f>Income_Statement!$P29</f>
        <v>149920</v>
      </c>
      <c r="Q29" s="17">
        <f>$Q28+Income_Statement!$P29</f>
        <v>2989030</v>
      </c>
      <c r="R29" s="17">
        <f>$R28+Income_Statement!$Q29</f>
        <v>956489.60000000021</v>
      </c>
      <c r="S29" s="17">
        <f>Income_Statement!$R29</f>
        <v>101945.60000000001</v>
      </c>
      <c r="T29" s="17">
        <f>Income_Statement!$Q29</f>
        <v>47974.400000000001</v>
      </c>
      <c r="U29" s="17">
        <f>$U28+Cash_Flow!$I29</f>
        <v>0</v>
      </c>
      <c r="V29" s="17">
        <f>Cash_Flow!$N29</f>
        <v>119874.09000000014</v>
      </c>
      <c r="W29" s="17">
        <f>($W28+Cash_Flow!$J29)-(Cash_Flow!$B29+Cash_Flow!$C29)</f>
        <v>2149874.0900000003</v>
      </c>
    </row>
    <row r="30" spans="1:23" x14ac:dyDescent="0.25">
      <c r="A30" s="9">
        <v>3</v>
      </c>
      <c r="B30" s="9">
        <v>28</v>
      </c>
      <c r="C30" s="10">
        <v>250000</v>
      </c>
      <c r="D30" s="10">
        <v>0</v>
      </c>
      <c r="E30" s="10">
        <v>152549.24</v>
      </c>
      <c r="F30" s="8">
        <v>16</v>
      </c>
      <c r="G30" s="8">
        <v>42</v>
      </c>
      <c r="H30" s="10">
        <v>960000</v>
      </c>
      <c r="I30" s="10">
        <v>2520000</v>
      </c>
      <c r="J30" s="16">
        <v>96177.5</v>
      </c>
      <c r="K30" s="16">
        <v>240000</v>
      </c>
      <c r="L30" s="16">
        <v>10050000</v>
      </c>
      <c r="M30" s="17">
        <f>$M29+Cash_Flow!$E30</f>
        <v>6911050</v>
      </c>
      <c r="N30" s="17">
        <f>$N29+Income_Statement!$M30</f>
        <v>4143950</v>
      </c>
      <c r="O30" s="17">
        <f>IF(Cash_Flow!$F30&lt;=0,0,$O29+(Cash_Flow!$F30+Cash_Flow!$G30))</f>
        <v>138434.41000000006</v>
      </c>
      <c r="P30" s="17">
        <f>Income_Statement!$P30</f>
        <v>149920</v>
      </c>
      <c r="Q30" s="17">
        <f>$Q29+Income_Statement!$P30</f>
        <v>3138950</v>
      </c>
      <c r="R30" s="17">
        <f>$R29+Income_Statement!$Q30</f>
        <v>1004464.0000000002</v>
      </c>
      <c r="S30" s="17">
        <f>Income_Statement!$R30</f>
        <v>101945.60000000001</v>
      </c>
      <c r="T30" s="17">
        <f>Income_Statement!$Q30</f>
        <v>47974.400000000001</v>
      </c>
      <c r="U30" s="17">
        <f>$U29+Cash_Flow!$I30</f>
        <v>0</v>
      </c>
      <c r="V30" s="17">
        <f>Cash_Flow!$N30</f>
        <v>-23948.409999999858</v>
      </c>
      <c r="W30" s="17">
        <f>($W29+Cash_Flow!$J30)-(Cash_Flow!$B30+Cash_Flow!$C30)</f>
        <v>2246051.5900000003</v>
      </c>
    </row>
    <row r="31" spans="1:23" x14ac:dyDescent="0.25">
      <c r="A31" s="9">
        <v>3</v>
      </c>
      <c r="B31" s="9">
        <v>29</v>
      </c>
      <c r="C31" s="10">
        <v>250000</v>
      </c>
      <c r="D31" s="10">
        <v>0</v>
      </c>
      <c r="E31" s="10">
        <v>148052.38</v>
      </c>
      <c r="F31" s="8">
        <v>21</v>
      </c>
      <c r="G31" s="8">
        <v>42</v>
      </c>
      <c r="H31" s="10">
        <v>1260000</v>
      </c>
      <c r="I31" s="10">
        <v>2520000</v>
      </c>
      <c r="J31" s="16">
        <v>128035.5</v>
      </c>
      <c r="K31" s="16">
        <v>0</v>
      </c>
      <c r="L31" s="16">
        <v>10680000</v>
      </c>
      <c r="M31" s="17">
        <f>$M30+Cash_Flow!$E31</f>
        <v>7344280</v>
      </c>
      <c r="N31" s="17">
        <f>$N30+Income_Statement!$M31</f>
        <v>4403720</v>
      </c>
      <c r="O31" s="17">
        <f>IF(Cash_Flow!$F31&lt;=0,0,$O30+(Cash_Flow!$F31+Cash_Flow!$G31))</f>
        <v>144202.51000000007</v>
      </c>
      <c r="P31" s="17">
        <f>Income_Statement!$P31</f>
        <v>196770</v>
      </c>
      <c r="Q31" s="17">
        <f>$Q30+Income_Statement!$P31</f>
        <v>3335720</v>
      </c>
      <c r="R31" s="17">
        <f>$R30+Income_Statement!$Q31</f>
        <v>1067430.4000000001</v>
      </c>
      <c r="S31" s="17">
        <f>Income_Statement!$R31</f>
        <v>133803.6</v>
      </c>
      <c r="T31" s="17">
        <f>Income_Statement!$Q31</f>
        <v>62966.400000000001</v>
      </c>
      <c r="U31" s="17">
        <f>$U30+Cash_Flow!$I31</f>
        <v>0</v>
      </c>
      <c r="V31" s="17">
        <f>Cash_Flow!$N31</f>
        <v>104087.09000000014</v>
      </c>
      <c r="W31" s="17">
        <f>($W30+Cash_Flow!$J31)-(Cash_Flow!$B31+Cash_Flow!$C31)</f>
        <v>2374087.0900000003</v>
      </c>
    </row>
    <row r="32" spans="1:23" x14ac:dyDescent="0.25">
      <c r="A32" s="9">
        <v>3</v>
      </c>
      <c r="B32" s="9">
        <v>30</v>
      </c>
      <c r="C32" s="10">
        <v>250000</v>
      </c>
      <c r="D32" s="10">
        <v>0</v>
      </c>
      <c r="E32" s="10">
        <v>143518.04999999999</v>
      </c>
      <c r="F32" s="8">
        <v>17</v>
      </c>
      <c r="G32" s="8">
        <v>46</v>
      </c>
      <c r="H32" s="10">
        <v>1020000</v>
      </c>
      <c r="I32" s="10">
        <v>2760000</v>
      </c>
      <c r="J32" s="16">
        <v>102549.1</v>
      </c>
      <c r="K32" s="16">
        <v>240000</v>
      </c>
      <c r="L32" s="16">
        <v>11190000</v>
      </c>
      <c r="M32" s="17">
        <f>$M31+Cash_Flow!$E32</f>
        <v>7694990</v>
      </c>
      <c r="N32" s="17">
        <f>$N31+Income_Statement!$M32</f>
        <v>4614010</v>
      </c>
      <c r="O32" s="17">
        <f>IF(Cash_Flow!$F32&lt;=0,0,$O31+(Cash_Flow!$F32+Cash_Flow!$G32))</f>
        <v>149970.61000000007</v>
      </c>
      <c r="P32" s="17">
        <f>Income_Statement!$P32</f>
        <v>159290</v>
      </c>
      <c r="Q32" s="17">
        <f>$Q31+Income_Statement!$P32</f>
        <v>3495010</v>
      </c>
      <c r="R32" s="17">
        <f>$R31+Income_Statement!$Q32</f>
        <v>1118403.2000000002</v>
      </c>
      <c r="S32" s="17">
        <f>Income_Statement!$R32</f>
        <v>108317.2</v>
      </c>
      <c r="T32" s="17">
        <f>Income_Statement!$Q32</f>
        <v>50972.800000000003</v>
      </c>
      <c r="U32" s="17">
        <f>$U31+Cash_Flow!$I32</f>
        <v>0</v>
      </c>
      <c r="V32" s="17">
        <f>Cash_Flow!$N32</f>
        <v>-33363.809999999852</v>
      </c>
      <c r="W32" s="17">
        <f>($W31+Cash_Flow!$J32)-(Cash_Flow!$B32+Cash_Flow!$C32)</f>
        <v>2476636.1900000004</v>
      </c>
    </row>
    <row r="33" spans="1:23" x14ac:dyDescent="0.25">
      <c r="A33" s="9">
        <v>3</v>
      </c>
      <c r="B33" s="9">
        <v>31</v>
      </c>
      <c r="C33" s="10">
        <v>250000</v>
      </c>
      <c r="D33" s="10">
        <v>0</v>
      </c>
      <c r="E33" s="10">
        <v>138945.93</v>
      </c>
      <c r="F33" s="8">
        <v>21</v>
      </c>
      <c r="G33" s="8">
        <v>46</v>
      </c>
      <c r="H33" s="10">
        <v>1260000</v>
      </c>
      <c r="I33" s="10">
        <v>2760000</v>
      </c>
      <c r="J33" s="16">
        <v>128035.5</v>
      </c>
      <c r="K33" s="16">
        <v>0</v>
      </c>
      <c r="L33" s="16">
        <v>11820000</v>
      </c>
      <c r="M33" s="17">
        <f>$M32+Cash_Flow!$E33</f>
        <v>8128220</v>
      </c>
      <c r="N33" s="17">
        <f>$N32+Income_Statement!$M33</f>
        <v>4873780</v>
      </c>
      <c r="O33" s="17">
        <f>IF(Cash_Flow!$F33&lt;=0,0,$O32+(Cash_Flow!$F33+Cash_Flow!$G33))</f>
        <v>155738.71000000008</v>
      </c>
      <c r="P33" s="17">
        <f>Income_Statement!$P33</f>
        <v>196770</v>
      </c>
      <c r="Q33" s="17">
        <f>$Q32+Income_Statement!$P33</f>
        <v>3691780</v>
      </c>
      <c r="R33" s="17">
        <f>$R32+Income_Statement!$Q33</f>
        <v>1181369.6000000001</v>
      </c>
      <c r="S33" s="17">
        <f>Income_Statement!$R33</f>
        <v>133803.6</v>
      </c>
      <c r="T33" s="17">
        <f>Income_Statement!$Q33</f>
        <v>62966.400000000001</v>
      </c>
      <c r="U33" s="17">
        <f>$U32+Cash_Flow!$I33</f>
        <v>0</v>
      </c>
      <c r="V33" s="17">
        <f>Cash_Flow!$N33</f>
        <v>94671.690000000148</v>
      </c>
      <c r="W33" s="17">
        <f>($W32+Cash_Flow!$J33)-(Cash_Flow!$B33+Cash_Flow!$C33)</f>
        <v>2604671.6900000004</v>
      </c>
    </row>
    <row r="34" spans="1:23" x14ac:dyDescent="0.25">
      <c r="A34" s="9">
        <v>3</v>
      </c>
      <c r="B34" s="9">
        <v>32</v>
      </c>
      <c r="C34" s="10">
        <v>250000</v>
      </c>
      <c r="D34" s="10">
        <v>0</v>
      </c>
      <c r="E34" s="10">
        <v>134335.71</v>
      </c>
      <c r="F34" s="8">
        <v>17</v>
      </c>
      <c r="G34" s="8">
        <v>50</v>
      </c>
      <c r="H34" s="10">
        <v>1020000</v>
      </c>
      <c r="I34" s="10">
        <v>3000000</v>
      </c>
      <c r="J34" s="16">
        <v>102549.1</v>
      </c>
      <c r="K34" s="16">
        <v>240000</v>
      </c>
      <c r="L34" s="16">
        <v>12330000</v>
      </c>
      <c r="M34" s="17">
        <f>$M33+Cash_Flow!$E34</f>
        <v>8478930</v>
      </c>
      <c r="N34" s="17">
        <f>$N33+Income_Statement!$M34</f>
        <v>5084070</v>
      </c>
      <c r="O34" s="17">
        <f>IF(Cash_Flow!$F34&lt;=0,0,$O33+(Cash_Flow!$F34+Cash_Flow!$G34))</f>
        <v>161506.81000000008</v>
      </c>
      <c r="P34" s="17">
        <f>Income_Statement!$P34</f>
        <v>159290</v>
      </c>
      <c r="Q34" s="17">
        <f>$Q33+Income_Statement!$P34</f>
        <v>3851070</v>
      </c>
      <c r="R34" s="17">
        <f>$R33+Income_Statement!$Q34</f>
        <v>1232342.4000000001</v>
      </c>
      <c r="S34" s="17">
        <f>Income_Statement!$R34</f>
        <v>108317.2</v>
      </c>
      <c r="T34" s="17">
        <f>Income_Statement!$Q34</f>
        <v>50972.800000000003</v>
      </c>
      <c r="U34" s="17">
        <f>$U33+Cash_Flow!$I34</f>
        <v>0</v>
      </c>
      <c r="V34" s="17">
        <f>Cash_Flow!$N34</f>
        <v>-42779.209999999846</v>
      </c>
      <c r="W34" s="17">
        <f>($W33+Cash_Flow!$J34)-(Cash_Flow!$B34+Cash_Flow!$C34)</f>
        <v>2707220.7900000005</v>
      </c>
    </row>
    <row r="35" spans="1:23" x14ac:dyDescent="0.25">
      <c r="A35" s="9">
        <v>3</v>
      </c>
      <c r="B35" s="9">
        <v>33</v>
      </c>
      <c r="C35" s="10">
        <v>250000</v>
      </c>
      <c r="D35" s="10">
        <v>0</v>
      </c>
      <c r="E35" s="10">
        <v>129687.07</v>
      </c>
      <c r="F35" s="8">
        <v>21</v>
      </c>
      <c r="G35" s="8">
        <v>50</v>
      </c>
      <c r="H35" s="10">
        <v>1260000</v>
      </c>
      <c r="I35" s="10">
        <v>3000000</v>
      </c>
      <c r="J35" s="16">
        <v>128035.5</v>
      </c>
      <c r="K35" s="16">
        <v>0</v>
      </c>
      <c r="L35" s="16">
        <v>12960000</v>
      </c>
      <c r="M35" s="17">
        <f>$M34+Cash_Flow!$E35</f>
        <v>8912160</v>
      </c>
      <c r="N35" s="17">
        <f>$N34+Income_Statement!$M35</f>
        <v>5343840</v>
      </c>
      <c r="O35" s="17">
        <f>IF(Cash_Flow!$F35&lt;=0,0,$O34+(Cash_Flow!$F35+Cash_Flow!$G35))</f>
        <v>167274.91000000009</v>
      </c>
      <c r="P35" s="17">
        <f>Income_Statement!$P35</f>
        <v>196770</v>
      </c>
      <c r="Q35" s="17">
        <f>$Q34+Income_Statement!$P35</f>
        <v>4047840</v>
      </c>
      <c r="R35" s="17">
        <f>$R34+Income_Statement!$Q35</f>
        <v>1295308.8</v>
      </c>
      <c r="S35" s="17">
        <f>Income_Statement!$R35</f>
        <v>133803.6</v>
      </c>
      <c r="T35" s="17">
        <f>Income_Statement!$Q35</f>
        <v>62966.400000000001</v>
      </c>
      <c r="U35" s="17">
        <f>$U34+Cash_Flow!$I35</f>
        <v>0</v>
      </c>
      <c r="V35" s="17">
        <f>Cash_Flow!$N35</f>
        <v>85256.290000000154</v>
      </c>
      <c r="W35" s="17">
        <f>($W34+Cash_Flow!$J35)-(Cash_Flow!$B35+Cash_Flow!$C35)</f>
        <v>2835256.2900000005</v>
      </c>
    </row>
    <row r="36" spans="1:23" x14ac:dyDescent="0.25">
      <c r="A36" s="9">
        <v>3</v>
      </c>
      <c r="B36" s="9">
        <v>34</v>
      </c>
      <c r="C36" s="10">
        <v>250000</v>
      </c>
      <c r="D36" s="10">
        <v>0</v>
      </c>
      <c r="E36" s="10">
        <v>124999.7</v>
      </c>
      <c r="F36" s="8">
        <v>21</v>
      </c>
      <c r="G36" s="8">
        <v>54</v>
      </c>
      <c r="H36" s="10">
        <v>1260000</v>
      </c>
      <c r="I36" s="10">
        <v>3240000</v>
      </c>
      <c r="J36" s="16">
        <v>128035.49</v>
      </c>
      <c r="K36" s="16">
        <v>240000</v>
      </c>
      <c r="L36" s="16">
        <v>13590000</v>
      </c>
      <c r="M36" s="17">
        <f>$M35+Cash_Flow!$E36</f>
        <v>9345390</v>
      </c>
      <c r="N36" s="17">
        <f>$N35+Income_Statement!$M36</f>
        <v>5603610</v>
      </c>
      <c r="O36" s="17">
        <f>IF(Cash_Flow!$F36&lt;=0,0,$O35+(Cash_Flow!$F36+Cash_Flow!$G36))</f>
        <v>173043.02000000008</v>
      </c>
      <c r="P36" s="17">
        <f>Income_Statement!$P36</f>
        <v>196770</v>
      </c>
      <c r="Q36" s="17">
        <f>$Q35+Income_Statement!$P36</f>
        <v>4244610</v>
      </c>
      <c r="R36" s="17">
        <f>$R35+Income_Statement!$Q36</f>
        <v>1358275.2</v>
      </c>
      <c r="S36" s="17">
        <f>Income_Statement!$R36</f>
        <v>133803.6</v>
      </c>
      <c r="T36" s="17">
        <f>Income_Statement!$Q36</f>
        <v>62966.400000000001</v>
      </c>
      <c r="U36" s="17">
        <f>$U35+Cash_Flow!$I36</f>
        <v>0</v>
      </c>
      <c r="V36" s="17">
        <f>Cash_Flow!$N36</f>
        <v>-26708.219999999841</v>
      </c>
      <c r="W36" s="17">
        <f>($W35+Cash_Flow!$J36)-(Cash_Flow!$B36+Cash_Flow!$C36)</f>
        <v>2963291.7800000007</v>
      </c>
    </row>
    <row r="37" spans="1:23" x14ac:dyDescent="0.25">
      <c r="A37" s="9">
        <v>3</v>
      </c>
      <c r="B37" s="9">
        <v>35</v>
      </c>
      <c r="C37" s="10">
        <v>250000</v>
      </c>
      <c r="D37" s="10">
        <v>0</v>
      </c>
      <c r="E37" s="10">
        <v>120273.26</v>
      </c>
      <c r="F37" s="8">
        <v>21</v>
      </c>
      <c r="G37" s="8">
        <v>54</v>
      </c>
      <c r="H37" s="10">
        <v>1260000</v>
      </c>
      <c r="I37" s="10">
        <v>3240000</v>
      </c>
      <c r="J37" s="16">
        <v>128035.5</v>
      </c>
      <c r="K37" s="16">
        <v>0</v>
      </c>
      <c r="L37" s="16">
        <v>14220000</v>
      </c>
      <c r="M37" s="17">
        <f>$M36+Cash_Flow!$E37</f>
        <v>9778620</v>
      </c>
      <c r="N37" s="17">
        <f>$N36+Income_Statement!$M37</f>
        <v>5863380</v>
      </c>
      <c r="O37" s="17">
        <f>IF(Cash_Flow!$F37&lt;=0,0,$O36+(Cash_Flow!$F37+Cash_Flow!$G37))</f>
        <v>178811.12000000008</v>
      </c>
      <c r="P37" s="17">
        <f>Income_Statement!$P37</f>
        <v>196770</v>
      </c>
      <c r="Q37" s="17">
        <f>$Q36+Income_Statement!$P37</f>
        <v>4441380</v>
      </c>
      <c r="R37" s="17">
        <f>$R36+Income_Statement!$Q37</f>
        <v>1421241.5999999999</v>
      </c>
      <c r="S37" s="17">
        <f>Income_Statement!$R37</f>
        <v>133803.6</v>
      </c>
      <c r="T37" s="17">
        <f>Income_Statement!$Q37</f>
        <v>62966.400000000001</v>
      </c>
      <c r="U37" s="17">
        <f>$U36+Cash_Flow!$I37</f>
        <v>0</v>
      </c>
      <c r="V37" s="17">
        <f>Cash_Flow!$N37</f>
        <v>101327.28000000016</v>
      </c>
      <c r="W37" s="17">
        <f>($W36+Cash_Flow!$J37)-(Cash_Flow!$B37+Cash_Flow!$C37)</f>
        <v>3091327.2800000007</v>
      </c>
    </row>
    <row r="38" spans="1:23" x14ac:dyDescent="0.25">
      <c r="A38" s="9">
        <v>3</v>
      </c>
      <c r="B38" s="9">
        <v>36</v>
      </c>
      <c r="C38" s="10">
        <v>250000</v>
      </c>
      <c r="D38" s="10">
        <v>0</v>
      </c>
      <c r="E38" s="10">
        <v>115507.44</v>
      </c>
      <c r="F38" s="8">
        <v>21</v>
      </c>
      <c r="G38" s="8">
        <v>58</v>
      </c>
      <c r="H38" s="10">
        <v>1260000</v>
      </c>
      <c r="I38" s="10">
        <v>3480000</v>
      </c>
      <c r="J38" s="16">
        <v>128035.5</v>
      </c>
      <c r="K38" s="16">
        <v>240000</v>
      </c>
      <c r="L38" s="16">
        <v>14850000</v>
      </c>
      <c r="M38" s="17">
        <f>$M37+Cash_Flow!$E38</f>
        <v>10211850</v>
      </c>
      <c r="N38" s="17">
        <f>$N37+Income_Statement!$M38</f>
        <v>6123150</v>
      </c>
      <c r="O38" s="17">
        <f>IF(Cash_Flow!$F38&lt;=0,0,$O37+(Cash_Flow!$F38+Cash_Flow!$G38))</f>
        <v>184579.22000000009</v>
      </c>
      <c r="P38" s="17">
        <f>Income_Statement!$P38</f>
        <v>196770</v>
      </c>
      <c r="Q38" s="17">
        <f>$Q37+Income_Statement!$P38</f>
        <v>4638150</v>
      </c>
      <c r="R38" s="17">
        <f>$R37+Income_Statement!$Q38</f>
        <v>1484207.9999999998</v>
      </c>
      <c r="S38" s="17">
        <f>Income_Statement!$R38</f>
        <v>133803.6</v>
      </c>
      <c r="T38" s="17">
        <f>Income_Statement!$Q38</f>
        <v>62966.400000000001</v>
      </c>
      <c r="U38" s="17">
        <f>$U37+Cash_Flow!$I38</f>
        <v>0</v>
      </c>
      <c r="V38" s="17">
        <f>Cash_Flow!$N38</f>
        <v>-10637.219999999841</v>
      </c>
      <c r="W38" s="17">
        <f>($W37+Cash_Flow!$J38)-(Cash_Flow!$B38+Cash_Flow!$C38)</f>
        <v>3219362.7800000007</v>
      </c>
    </row>
    <row r="39" spans="1:23" x14ac:dyDescent="0.25">
      <c r="A39" s="9">
        <v>4</v>
      </c>
      <c r="B39" s="9">
        <v>37</v>
      </c>
      <c r="C39" s="10">
        <v>250000</v>
      </c>
      <c r="D39" s="10">
        <v>0</v>
      </c>
      <c r="E39" s="10">
        <v>110701.9</v>
      </c>
      <c r="F39" s="8">
        <v>21</v>
      </c>
      <c r="G39" s="8">
        <v>58</v>
      </c>
      <c r="H39" s="10">
        <v>1260000</v>
      </c>
      <c r="I39" s="10">
        <v>3480000</v>
      </c>
      <c r="J39" s="16">
        <v>128035.5</v>
      </c>
      <c r="K39" s="16">
        <v>0</v>
      </c>
      <c r="L39" s="16">
        <v>15480000</v>
      </c>
      <c r="M39" s="17">
        <f>$M38+Cash_Flow!$E39</f>
        <v>10645080</v>
      </c>
      <c r="N39" s="17">
        <f>$N38+Income_Statement!$M39</f>
        <v>6382920</v>
      </c>
      <c r="O39" s="17">
        <f>IF(Cash_Flow!$F39&lt;=0,0,$O38+(Cash_Flow!$F39+Cash_Flow!$G39))</f>
        <v>190347.32000000009</v>
      </c>
      <c r="P39" s="17">
        <f>Income_Statement!$P39</f>
        <v>196770</v>
      </c>
      <c r="Q39" s="17">
        <f>$Q38+Income_Statement!$P39</f>
        <v>4834920</v>
      </c>
      <c r="R39" s="17">
        <f>$R38+Income_Statement!$Q39</f>
        <v>1547174.3999999997</v>
      </c>
      <c r="S39" s="17">
        <f>Income_Statement!$R39</f>
        <v>133803.6</v>
      </c>
      <c r="T39" s="17">
        <f>Income_Statement!$Q39</f>
        <v>62966.400000000001</v>
      </c>
      <c r="U39" s="17">
        <f>$U38+Cash_Flow!$I39</f>
        <v>0</v>
      </c>
      <c r="V39" s="17">
        <f>Cash_Flow!$N39</f>
        <v>117398.28000000016</v>
      </c>
      <c r="W39" s="17">
        <f>($W38+Cash_Flow!$J39)-(Cash_Flow!$B39+Cash_Flow!$C39)</f>
        <v>3347398.2800000007</v>
      </c>
    </row>
    <row r="40" spans="1:23" x14ac:dyDescent="0.25">
      <c r="A40" s="9">
        <v>4</v>
      </c>
      <c r="B40" s="9">
        <v>38</v>
      </c>
      <c r="C40" s="10">
        <v>250000</v>
      </c>
      <c r="D40" s="10">
        <v>0</v>
      </c>
      <c r="E40" s="10">
        <v>105856.31</v>
      </c>
      <c r="F40" s="8">
        <v>21</v>
      </c>
      <c r="G40" s="8">
        <v>62</v>
      </c>
      <c r="H40" s="10">
        <v>1260000</v>
      </c>
      <c r="I40" s="10">
        <v>3720000</v>
      </c>
      <c r="J40" s="16">
        <v>128035.49</v>
      </c>
      <c r="K40" s="16">
        <v>240000</v>
      </c>
      <c r="L40" s="16">
        <v>16110000</v>
      </c>
      <c r="M40" s="17">
        <f>$M39+Cash_Flow!$E40</f>
        <v>11078310</v>
      </c>
      <c r="N40" s="17">
        <f>$N39+Income_Statement!$M40</f>
        <v>6642690</v>
      </c>
      <c r="O40" s="17">
        <f>IF(Cash_Flow!$F40&lt;=0,0,$O39+(Cash_Flow!$F40+Cash_Flow!$G40))</f>
        <v>196115.43000000011</v>
      </c>
      <c r="P40" s="17">
        <f>Income_Statement!$P40</f>
        <v>196770</v>
      </c>
      <c r="Q40" s="17">
        <f>$Q39+Income_Statement!$P40</f>
        <v>5031690</v>
      </c>
      <c r="R40" s="17">
        <f>$R39+Income_Statement!$Q40</f>
        <v>1610140.7999999996</v>
      </c>
      <c r="S40" s="17">
        <f>Income_Statement!$R40</f>
        <v>133803.6</v>
      </c>
      <c r="T40" s="17">
        <f>Income_Statement!$Q40</f>
        <v>62966.400000000001</v>
      </c>
      <c r="U40" s="17">
        <f>$U39+Cash_Flow!$I40</f>
        <v>0</v>
      </c>
      <c r="V40" s="17">
        <f>Cash_Flow!$N40</f>
        <v>5433.7700000001641</v>
      </c>
      <c r="W40" s="17">
        <f>($W39+Cash_Flow!$J40)-(Cash_Flow!$B40+Cash_Flow!$C40)</f>
        <v>3475433.7700000009</v>
      </c>
    </row>
    <row r="41" spans="1:23" x14ac:dyDescent="0.25">
      <c r="A41" s="9">
        <v>4</v>
      </c>
      <c r="B41" s="9">
        <v>39</v>
      </c>
      <c r="C41" s="10">
        <v>250000</v>
      </c>
      <c r="D41" s="10">
        <v>0</v>
      </c>
      <c r="E41" s="10">
        <v>100970.34</v>
      </c>
      <c r="F41" s="8">
        <v>25</v>
      </c>
      <c r="G41" s="8">
        <v>62</v>
      </c>
      <c r="H41" s="10">
        <v>1500000</v>
      </c>
      <c r="I41" s="10">
        <v>3720000</v>
      </c>
      <c r="J41" s="16">
        <v>153521.89000000001</v>
      </c>
      <c r="K41" s="16">
        <v>0</v>
      </c>
      <c r="L41" s="16">
        <v>16860000</v>
      </c>
      <c r="M41" s="17">
        <f>$M40+Cash_Flow!$E41</f>
        <v>11594060</v>
      </c>
      <c r="N41" s="17">
        <f>$N40+Income_Statement!$M41</f>
        <v>6951940</v>
      </c>
      <c r="O41" s="17">
        <f>IF(Cash_Flow!$F41&lt;=0,0,$O40+(Cash_Flow!$F41+Cash_Flow!$G41))</f>
        <v>201883.5400000001</v>
      </c>
      <c r="P41" s="17">
        <f>Income_Statement!$P41</f>
        <v>234250</v>
      </c>
      <c r="Q41" s="17">
        <f>$Q40+Income_Statement!$P41</f>
        <v>5265940</v>
      </c>
      <c r="R41" s="17">
        <f>$R40+Income_Statement!$Q41</f>
        <v>1685100.7999999996</v>
      </c>
      <c r="S41" s="17">
        <f>Income_Statement!$R41</f>
        <v>159290</v>
      </c>
      <c r="T41" s="17">
        <f>Income_Statement!$Q41</f>
        <v>74960</v>
      </c>
      <c r="U41" s="17">
        <f>$U40+Cash_Flow!$I41</f>
        <v>0</v>
      </c>
      <c r="V41" s="17">
        <f>Cash_Flow!$N41</f>
        <v>158955.66000000018</v>
      </c>
      <c r="W41" s="17">
        <f>($W40+Cash_Flow!$J41)-(Cash_Flow!$B41+Cash_Flow!$C41)</f>
        <v>3628955.6600000011</v>
      </c>
    </row>
    <row r="42" spans="1:23" x14ac:dyDescent="0.25">
      <c r="A42" s="9">
        <v>4</v>
      </c>
      <c r="B42" s="9">
        <v>40</v>
      </c>
      <c r="C42" s="10">
        <v>250000</v>
      </c>
      <c r="D42" s="10">
        <v>0</v>
      </c>
      <c r="E42" s="10">
        <v>96043.66</v>
      </c>
      <c r="F42" s="8">
        <v>20</v>
      </c>
      <c r="G42" s="8">
        <v>67</v>
      </c>
      <c r="H42" s="10">
        <v>1200000</v>
      </c>
      <c r="I42" s="10">
        <v>4020000</v>
      </c>
      <c r="J42" s="16">
        <v>121663.9</v>
      </c>
      <c r="K42" s="16">
        <v>300000</v>
      </c>
      <c r="L42" s="16">
        <v>17460000</v>
      </c>
      <c r="M42" s="17">
        <f>$M41+Cash_Flow!$E42</f>
        <v>12006660</v>
      </c>
      <c r="N42" s="17">
        <f>$N41+Income_Statement!$M42</f>
        <v>7199340</v>
      </c>
      <c r="O42" s="17">
        <f>IF(Cash_Flow!$F42&lt;=0,0,$O41+(Cash_Flow!$F42+Cash_Flow!$G42))</f>
        <v>207651.6400000001</v>
      </c>
      <c r="P42" s="17">
        <f>Income_Statement!$P42</f>
        <v>187400</v>
      </c>
      <c r="Q42" s="17">
        <f>$Q41+Income_Statement!$P42</f>
        <v>5453340</v>
      </c>
      <c r="R42" s="17">
        <f>$R41+Income_Statement!$Q42</f>
        <v>1745068.7999999996</v>
      </c>
      <c r="S42" s="17">
        <f>Income_Statement!$R42</f>
        <v>127432</v>
      </c>
      <c r="T42" s="17">
        <f>Income_Statement!$Q42</f>
        <v>59968</v>
      </c>
      <c r="U42" s="17">
        <f>$U41+Cash_Flow!$I42</f>
        <v>0</v>
      </c>
      <c r="V42" s="17">
        <f>Cash_Flow!$N42</f>
        <v>-19380.439999999828</v>
      </c>
      <c r="W42" s="17">
        <f>($W41+Cash_Flow!$J42)-(Cash_Flow!$B42+Cash_Flow!$C42)</f>
        <v>3750619.560000001</v>
      </c>
    </row>
    <row r="43" spans="1:23" x14ac:dyDescent="0.25">
      <c r="A43" s="9">
        <v>4</v>
      </c>
      <c r="B43" s="9">
        <v>41</v>
      </c>
      <c r="C43" s="10">
        <v>250000</v>
      </c>
      <c r="D43" s="10">
        <v>0</v>
      </c>
      <c r="E43" s="10">
        <v>91075.92</v>
      </c>
      <c r="F43" s="8">
        <v>24</v>
      </c>
      <c r="G43" s="8">
        <v>67</v>
      </c>
      <c r="H43" s="10">
        <v>1440000</v>
      </c>
      <c r="I43" s="10">
        <v>4020000</v>
      </c>
      <c r="J43" s="16">
        <v>147150.29999999999</v>
      </c>
      <c r="K43" s="16">
        <v>0</v>
      </c>
      <c r="L43" s="16">
        <v>18180000</v>
      </c>
      <c r="M43" s="17">
        <f>$M42+Cash_Flow!$E43</f>
        <v>12501780</v>
      </c>
      <c r="N43" s="17">
        <f>$N42+Income_Statement!$M43</f>
        <v>7496220</v>
      </c>
      <c r="O43" s="17">
        <f>IF(Cash_Flow!$F43&lt;=0,0,$O42+(Cash_Flow!$F43+Cash_Flow!$G43))</f>
        <v>213419.74000000011</v>
      </c>
      <c r="P43" s="17">
        <f>Income_Statement!$P43</f>
        <v>224880</v>
      </c>
      <c r="Q43" s="17">
        <f>$Q42+Income_Statement!$P43</f>
        <v>5678220</v>
      </c>
      <c r="R43" s="17">
        <f>$R42+Income_Statement!$Q43</f>
        <v>1817030.3999999997</v>
      </c>
      <c r="S43" s="17">
        <f>Income_Statement!$R43</f>
        <v>152918.39999999999</v>
      </c>
      <c r="T43" s="17">
        <f>Income_Statement!$Q43</f>
        <v>71961.600000000006</v>
      </c>
      <c r="U43" s="17">
        <f>$U42+Cash_Flow!$I43</f>
        <v>0</v>
      </c>
      <c r="V43" s="17">
        <f>Cash_Flow!$N43</f>
        <v>127769.86000000016</v>
      </c>
      <c r="W43" s="17">
        <f>($W42+Cash_Flow!$J43)-(Cash_Flow!$B43+Cash_Flow!$C43)</f>
        <v>3897769.8600000008</v>
      </c>
    </row>
    <row r="44" spans="1:23" x14ac:dyDescent="0.25">
      <c r="A44" s="9">
        <v>4</v>
      </c>
      <c r="B44" s="9">
        <v>42</v>
      </c>
      <c r="C44" s="10">
        <v>250000</v>
      </c>
      <c r="D44" s="10">
        <v>0</v>
      </c>
      <c r="E44" s="10">
        <v>86066.79</v>
      </c>
      <c r="F44" s="8">
        <v>20</v>
      </c>
      <c r="G44" s="8">
        <v>72</v>
      </c>
      <c r="H44" s="10">
        <v>1200000</v>
      </c>
      <c r="I44" s="10">
        <v>4320000</v>
      </c>
      <c r="J44" s="16">
        <v>121663.89</v>
      </c>
      <c r="K44" s="16">
        <v>300000</v>
      </c>
      <c r="L44" s="16">
        <v>18780000</v>
      </c>
      <c r="M44" s="17">
        <f>$M43+Cash_Flow!$E44</f>
        <v>12914380</v>
      </c>
      <c r="N44" s="17">
        <f>$N43+Income_Statement!$M44</f>
        <v>7743620</v>
      </c>
      <c r="O44" s="17">
        <f>IF(Cash_Flow!$F44&lt;=0,0,$O43+(Cash_Flow!$F44+Cash_Flow!$G44))</f>
        <v>219187.85000000009</v>
      </c>
      <c r="P44" s="17">
        <f>Income_Statement!$P44</f>
        <v>187400</v>
      </c>
      <c r="Q44" s="17">
        <f>$Q43+Income_Statement!$P44</f>
        <v>5865620</v>
      </c>
      <c r="R44" s="17">
        <f>$R43+Income_Statement!$Q44</f>
        <v>1876998.3999999997</v>
      </c>
      <c r="S44" s="17">
        <f>Income_Statement!$R44</f>
        <v>127432</v>
      </c>
      <c r="T44" s="17">
        <f>Income_Statement!$Q44</f>
        <v>59968</v>
      </c>
      <c r="U44" s="17">
        <f>$U43+Cash_Flow!$I44</f>
        <v>0</v>
      </c>
      <c r="V44" s="17">
        <f>Cash_Flow!$N44</f>
        <v>-50566.249999999825</v>
      </c>
      <c r="W44" s="17">
        <f>($W43+Cash_Flow!$J44)-(Cash_Flow!$B44+Cash_Flow!$C44)</f>
        <v>4019433.7500000009</v>
      </c>
    </row>
    <row r="45" spans="1:23" x14ac:dyDescent="0.25">
      <c r="A45" s="9">
        <v>4</v>
      </c>
      <c r="B45" s="9">
        <v>43</v>
      </c>
      <c r="C45" s="10">
        <v>250000</v>
      </c>
      <c r="D45" s="10">
        <v>0</v>
      </c>
      <c r="E45" s="10">
        <v>81015.91</v>
      </c>
      <c r="F45" s="8">
        <v>25</v>
      </c>
      <c r="G45" s="8">
        <v>72</v>
      </c>
      <c r="H45" s="10">
        <v>1500000</v>
      </c>
      <c r="I45" s="10">
        <v>4320000</v>
      </c>
      <c r="J45" s="16">
        <v>153521.9</v>
      </c>
      <c r="K45" s="16">
        <v>0</v>
      </c>
      <c r="L45" s="16">
        <v>19530000</v>
      </c>
      <c r="M45" s="17">
        <f>$M44+Cash_Flow!$E45</f>
        <v>13430130</v>
      </c>
      <c r="N45" s="17">
        <f>$N44+Income_Statement!$M45</f>
        <v>8052870</v>
      </c>
      <c r="O45" s="17">
        <f>IF(Cash_Flow!$F45&lt;=0,0,$O44+(Cash_Flow!$F45+Cash_Flow!$G45))</f>
        <v>224955.9500000001</v>
      </c>
      <c r="P45" s="17">
        <f>Income_Statement!$P45</f>
        <v>234250</v>
      </c>
      <c r="Q45" s="17">
        <f>$Q44+Income_Statement!$P45</f>
        <v>6099870</v>
      </c>
      <c r="R45" s="17">
        <f>$R44+Income_Statement!$Q45</f>
        <v>1951958.3999999997</v>
      </c>
      <c r="S45" s="17">
        <f>Income_Statement!$R45</f>
        <v>159290</v>
      </c>
      <c r="T45" s="17">
        <f>Income_Statement!$Q45</f>
        <v>74960</v>
      </c>
      <c r="U45" s="17">
        <f>$U44+Cash_Flow!$I45</f>
        <v>0</v>
      </c>
      <c r="V45" s="17">
        <f>Cash_Flow!$N45</f>
        <v>102955.65000000017</v>
      </c>
      <c r="W45" s="17">
        <f>($W44+Cash_Flow!$J45)-(Cash_Flow!$B45+Cash_Flow!$C45)</f>
        <v>4172955.6500000008</v>
      </c>
    </row>
    <row r="46" spans="1:23" x14ac:dyDescent="0.25">
      <c r="A46" s="9">
        <v>4</v>
      </c>
      <c r="B46" s="9">
        <v>44</v>
      </c>
      <c r="C46" s="10">
        <v>250000</v>
      </c>
      <c r="D46" s="10">
        <v>0</v>
      </c>
      <c r="E46" s="10">
        <v>75922.94</v>
      </c>
      <c r="F46" s="8">
        <v>21</v>
      </c>
      <c r="G46" s="8">
        <v>77</v>
      </c>
      <c r="H46" s="10">
        <v>1260000</v>
      </c>
      <c r="I46" s="10">
        <v>4620000</v>
      </c>
      <c r="J46" s="16">
        <v>128035.5</v>
      </c>
      <c r="K46" s="16">
        <v>300000</v>
      </c>
      <c r="L46" s="16">
        <v>20160000</v>
      </c>
      <c r="M46" s="17">
        <f>$M45+Cash_Flow!$E46</f>
        <v>13863360</v>
      </c>
      <c r="N46" s="17">
        <f>$N45+Income_Statement!$M46</f>
        <v>8312640</v>
      </c>
      <c r="O46" s="17">
        <f>IF(Cash_Flow!$F46&lt;=0,0,$O45+(Cash_Flow!$F46+Cash_Flow!$G46))</f>
        <v>230724.0500000001</v>
      </c>
      <c r="P46" s="17">
        <f>Income_Statement!$P46</f>
        <v>196770</v>
      </c>
      <c r="Q46" s="17">
        <f>$Q45+Income_Statement!$P46</f>
        <v>6296640</v>
      </c>
      <c r="R46" s="17">
        <f>$R45+Income_Statement!$Q46</f>
        <v>2014924.7999999996</v>
      </c>
      <c r="S46" s="17">
        <f>Income_Statement!$R46</f>
        <v>133803.6</v>
      </c>
      <c r="T46" s="17">
        <f>Income_Statement!$Q46</f>
        <v>62966.400000000001</v>
      </c>
      <c r="U46" s="17">
        <f>$U45+Cash_Flow!$I46</f>
        <v>0</v>
      </c>
      <c r="V46" s="17">
        <f>Cash_Flow!$N46</f>
        <v>-69008.849999999831</v>
      </c>
      <c r="W46" s="17">
        <f>($W45+Cash_Flow!$J46)-(Cash_Flow!$B46+Cash_Flow!$C46)</f>
        <v>4300991.1500000004</v>
      </c>
    </row>
    <row r="47" spans="1:23" x14ac:dyDescent="0.25">
      <c r="A47" s="9">
        <v>4</v>
      </c>
      <c r="B47" s="9">
        <v>45</v>
      </c>
      <c r="C47" s="10">
        <v>250000</v>
      </c>
      <c r="D47" s="10">
        <v>0</v>
      </c>
      <c r="E47" s="10">
        <v>70787.53</v>
      </c>
      <c r="F47" s="8">
        <v>26</v>
      </c>
      <c r="G47" s="8">
        <v>77</v>
      </c>
      <c r="H47" s="10">
        <v>1560000</v>
      </c>
      <c r="I47" s="10">
        <v>4620000</v>
      </c>
      <c r="J47" s="16">
        <v>159893.5</v>
      </c>
      <c r="K47" s="16">
        <v>0</v>
      </c>
      <c r="L47" s="16">
        <v>20940000</v>
      </c>
      <c r="M47" s="17">
        <f>$M46+Cash_Flow!$E47</f>
        <v>14399740</v>
      </c>
      <c r="N47" s="17">
        <f>$N46+Income_Statement!$M47</f>
        <v>8634260</v>
      </c>
      <c r="O47" s="17">
        <f>IF(Cash_Flow!$F47&lt;=0,0,$O46+(Cash_Flow!$F47+Cash_Flow!$G47))</f>
        <v>236492.15000000011</v>
      </c>
      <c r="P47" s="17">
        <f>Income_Statement!$P47</f>
        <v>243620</v>
      </c>
      <c r="Q47" s="17">
        <f>$Q46+Income_Statement!$P47</f>
        <v>6540260</v>
      </c>
      <c r="R47" s="17">
        <f>$R46+Income_Statement!$Q47</f>
        <v>2092883.1999999995</v>
      </c>
      <c r="S47" s="17">
        <f>Income_Statement!$R47</f>
        <v>165661.6</v>
      </c>
      <c r="T47" s="17">
        <f>Income_Statement!$Q47</f>
        <v>77958.399999999994</v>
      </c>
      <c r="U47" s="17">
        <f>$U46+Cash_Flow!$I47</f>
        <v>0</v>
      </c>
      <c r="V47" s="17">
        <f>Cash_Flow!$N47</f>
        <v>90884.650000000169</v>
      </c>
      <c r="W47" s="17">
        <f>($W46+Cash_Flow!$J47)-(Cash_Flow!$B47+Cash_Flow!$C47)</f>
        <v>4460884.6500000004</v>
      </c>
    </row>
    <row r="48" spans="1:23" x14ac:dyDescent="0.25">
      <c r="A48" s="9">
        <v>4</v>
      </c>
      <c r="B48" s="9">
        <v>46</v>
      </c>
      <c r="C48" s="10">
        <v>250000</v>
      </c>
      <c r="D48" s="10">
        <v>0</v>
      </c>
      <c r="E48" s="10">
        <v>65609.320000000007</v>
      </c>
      <c r="F48" s="8">
        <v>22</v>
      </c>
      <c r="G48" s="8">
        <v>81</v>
      </c>
      <c r="H48" s="10">
        <v>1320000</v>
      </c>
      <c r="I48" s="10">
        <v>4860000</v>
      </c>
      <c r="J48" s="16">
        <v>134407.09</v>
      </c>
      <c r="K48" s="16">
        <v>240000</v>
      </c>
      <c r="L48" s="16">
        <v>21600000</v>
      </c>
      <c r="M48" s="17">
        <f>$M47+Cash_Flow!$E48</f>
        <v>14853600</v>
      </c>
      <c r="N48" s="17">
        <f>$N47+Income_Statement!$M48</f>
        <v>8906400</v>
      </c>
      <c r="O48" s="17">
        <f>IF(Cash_Flow!$F48&lt;=0,0,$O47+(Cash_Flow!$F48+Cash_Flow!$G48))</f>
        <v>242260.2600000001</v>
      </c>
      <c r="P48" s="17">
        <f>Income_Statement!$P48</f>
        <v>206140</v>
      </c>
      <c r="Q48" s="17">
        <f>$Q47+Income_Statement!$P48</f>
        <v>6746400</v>
      </c>
      <c r="R48" s="17">
        <f>$R47+Income_Statement!$Q48</f>
        <v>2158847.9999999995</v>
      </c>
      <c r="S48" s="17">
        <f>Income_Statement!$R48</f>
        <v>140175.20000000001</v>
      </c>
      <c r="T48" s="17">
        <f>Income_Statement!$Q48</f>
        <v>65964.800000000003</v>
      </c>
      <c r="U48" s="17">
        <f>$U47+Cash_Flow!$I48</f>
        <v>0</v>
      </c>
      <c r="V48" s="17">
        <f>Cash_Flow!$N48</f>
        <v>-14708.259999999835</v>
      </c>
      <c r="W48" s="17">
        <f>($W47+Cash_Flow!$J48)-(Cash_Flow!$B48+Cash_Flow!$C48)</f>
        <v>4595291.74</v>
      </c>
    </row>
    <row r="49" spans="1:23" x14ac:dyDescent="0.25">
      <c r="A49" s="9">
        <v>4</v>
      </c>
      <c r="B49" s="9">
        <v>47</v>
      </c>
      <c r="C49" s="10">
        <v>250000</v>
      </c>
      <c r="D49" s="10">
        <v>0</v>
      </c>
      <c r="E49" s="10">
        <v>60387.97</v>
      </c>
      <c r="F49" s="8">
        <v>27</v>
      </c>
      <c r="G49" s="8">
        <v>81</v>
      </c>
      <c r="H49" s="10">
        <v>1620000</v>
      </c>
      <c r="I49" s="10">
        <v>4860000</v>
      </c>
      <c r="J49" s="16">
        <v>166265.1</v>
      </c>
      <c r="K49" s="16">
        <v>0</v>
      </c>
      <c r="L49" s="16">
        <v>22410000</v>
      </c>
      <c r="M49" s="17">
        <f>$M48+Cash_Flow!$E49</f>
        <v>15410610</v>
      </c>
      <c r="N49" s="17">
        <f>$N48+Income_Statement!$M49</f>
        <v>9240390</v>
      </c>
      <c r="O49" s="17">
        <f>IF(Cash_Flow!$F49&lt;=0,0,$O48+(Cash_Flow!$F49+Cash_Flow!$G49))</f>
        <v>248028.3600000001</v>
      </c>
      <c r="P49" s="17">
        <f>Income_Statement!$P49</f>
        <v>252990</v>
      </c>
      <c r="Q49" s="17">
        <f>$Q48+Income_Statement!$P49</f>
        <v>6999390</v>
      </c>
      <c r="R49" s="17">
        <f>$R48+Income_Statement!$Q49</f>
        <v>2239804.7999999993</v>
      </c>
      <c r="S49" s="17">
        <f>Income_Statement!$R49</f>
        <v>172033.2</v>
      </c>
      <c r="T49" s="17">
        <f>Income_Statement!$Q49</f>
        <v>80956.800000000003</v>
      </c>
      <c r="U49" s="17">
        <f>$U48+Cash_Flow!$I49</f>
        <v>0</v>
      </c>
      <c r="V49" s="17">
        <f>Cash_Flow!$N49</f>
        <v>151556.84000000017</v>
      </c>
      <c r="W49" s="17">
        <f>($W48+Cash_Flow!$J49)-(Cash_Flow!$B49+Cash_Flow!$C49)</f>
        <v>4761556.84</v>
      </c>
    </row>
    <row r="50" spans="1:23" x14ac:dyDescent="0.25">
      <c r="A50" s="9">
        <v>4</v>
      </c>
      <c r="B50" s="9">
        <v>48</v>
      </c>
      <c r="C50" s="10">
        <v>250000</v>
      </c>
      <c r="D50" s="10">
        <v>0</v>
      </c>
      <c r="E50" s="10">
        <v>55123.1</v>
      </c>
      <c r="F50" s="8">
        <v>23</v>
      </c>
      <c r="G50" s="8">
        <v>87</v>
      </c>
      <c r="H50" s="10">
        <v>1380000</v>
      </c>
      <c r="I50" s="10">
        <v>5220000</v>
      </c>
      <c r="J50" s="16">
        <v>140778.70000000001</v>
      </c>
      <c r="K50" s="16">
        <v>360000</v>
      </c>
      <c r="L50" s="16">
        <v>23100000</v>
      </c>
      <c r="M50" s="17">
        <f>$M49+Cash_Flow!$E50</f>
        <v>15885100</v>
      </c>
      <c r="N50" s="17">
        <f>$N49+Income_Statement!$M50</f>
        <v>9524900</v>
      </c>
      <c r="O50" s="17">
        <f>IF(Cash_Flow!$F50&lt;=0,0,$O49+(Cash_Flow!$F50+Cash_Flow!$G50))</f>
        <v>253796.46000000011</v>
      </c>
      <c r="P50" s="17">
        <f>Income_Statement!$P50</f>
        <v>215510</v>
      </c>
      <c r="Q50" s="17">
        <f>$Q49+Income_Statement!$P50</f>
        <v>7214900</v>
      </c>
      <c r="R50" s="17">
        <f>$R49+Income_Statement!$Q50</f>
        <v>2308767.9999999995</v>
      </c>
      <c r="S50" s="17">
        <f>Income_Statement!$R50</f>
        <v>146546.79999999999</v>
      </c>
      <c r="T50" s="17">
        <f>Income_Statement!$Q50</f>
        <v>68963.199999999997</v>
      </c>
      <c r="U50" s="17">
        <f>$U49+Cash_Flow!$I50</f>
        <v>0</v>
      </c>
      <c r="V50" s="17">
        <f>Cash_Flow!$N50</f>
        <v>-67664.459999999817</v>
      </c>
      <c r="W50" s="17">
        <f>($W49+Cash_Flow!$J50)-(Cash_Flow!$B50+Cash_Flow!$C50)</f>
        <v>4902335.54</v>
      </c>
    </row>
    <row r="51" spans="1:23" x14ac:dyDescent="0.25">
      <c r="A51" s="9">
        <v>5</v>
      </c>
      <c r="B51" s="9">
        <v>49</v>
      </c>
      <c r="C51" s="10">
        <v>250000</v>
      </c>
      <c r="D51" s="10">
        <v>0</v>
      </c>
      <c r="E51" s="10">
        <v>49814.35</v>
      </c>
      <c r="F51" s="8">
        <v>27</v>
      </c>
      <c r="G51" s="8">
        <v>87</v>
      </c>
      <c r="H51" s="10">
        <v>1620000</v>
      </c>
      <c r="I51" s="10">
        <v>5220000</v>
      </c>
      <c r="J51" s="16">
        <v>166265.1</v>
      </c>
      <c r="K51" s="16">
        <v>0</v>
      </c>
      <c r="L51" s="16">
        <v>23910000</v>
      </c>
      <c r="M51" s="17">
        <f>$M50+Cash_Flow!$E51</f>
        <v>16442110</v>
      </c>
      <c r="N51" s="17">
        <f>$N50+Income_Statement!$M51</f>
        <v>9858890</v>
      </c>
      <c r="O51" s="17">
        <f>IF(Cash_Flow!$F51&lt;=0,0,$O50+(Cash_Flow!$F51+Cash_Flow!$G51))</f>
        <v>259564.56000000011</v>
      </c>
      <c r="P51" s="17">
        <f>Income_Statement!$P51</f>
        <v>252990</v>
      </c>
      <c r="Q51" s="17">
        <f>$Q50+Income_Statement!$P51</f>
        <v>7467890</v>
      </c>
      <c r="R51" s="17">
        <f>$R50+Income_Statement!$Q51</f>
        <v>2389724.7999999993</v>
      </c>
      <c r="S51" s="17">
        <f>Income_Statement!$R51</f>
        <v>172033.2</v>
      </c>
      <c r="T51" s="17">
        <f>Income_Statement!$Q51</f>
        <v>80956.800000000003</v>
      </c>
      <c r="U51" s="17">
        <f>$U50+Cash_Flow!$I51</f>
        <v>0</v>
      </c>
      <c r="V51" s="17">
        <f>Cash_Flow!$N51</f>
        <v>98600.640000000189</v>
      </c>
      <c r="W51" s="17">
        <f>($W50+Cash_Flow!$J51)-(Cash_Flow!$B51+Cash_Flow!$C51)</f>
        <v>5068600.6399999997</v>
      </c>
    </row>
    <row r="52" spans="1:23" x14ac:dyDescent="0.25">
      <c r="A52" s="9">
        <v>5</v>
      </c>
      <c r="B52" s="9">
        <v>50</v>
      </c>
      <c r="C52" s="10">
        <v>250000</v>
      </c>
      <c r="D52" s="10">
        <v>0</v>
      </c>
      <c r="E52" s="10">
        <v>44461.37</v>
      </c>
      <c r="F52" s="8">
        <v>23</v>
      </c>
      <c r="G52" s="8">
        <v>92</v>
      </c>
      <c r="H52" s="10">
        <v>1380000</v>
      </c>
      <c r="I52" s="10">
        <v>5520000</v>
      </c>
      <c r="J52" s="16">
        <v>140778.70000000001</v>
      </c>
      <c r="K52" s="16">
        <v>300000</v>
      </c>
      <c r="L52" s="16">
        <v>24600000</v>
      </c>
      <c r="M52" s="17">
        <f>$M51+Cash_Flow!$E52</f>
        <v>16916600</v>
      </c>
      <c r="N52" s="17">
        <f>$N51+Income_Statement!$M52</f>
        <v>10143400</v>
      </c>
      <c r="O52" s="17">
        <f>IF(Cash_Flow!$F52&lt;=0,0,$O51+(Cash_Flow!$F52+Cash_Flow!$G52))</f>
        <v>265332.66000000009</v>
      </c>
      <c r="P52" s="17">
        <f>Income_Statement!$P52</f>
        <v>215510</v>
      </c>
      <c r="Q52" s="17">
        <f>$Q51+Income_Statement!$P52</f>
        <v>7683400</v>
      </c>
      <c r="R52" s="17">
        <f>$R51+Income_Statement!$Q52</f>
        <v>2458687.9999999995</v>
      </c>
      <c r="S52" s="17">
        <f>Income_Statement!$R52</f>
        <v>146546.79999999999</v>
      </c>
      <c r="T52" s="17">
        <f>Income_Statement!$Q52</f>
        <v>68963.199999999997</v>
      </c>
      <c r="U52" s="17">
        <f>$U51+Cash_Flow!$I52</f>
        <v>0</v>
      </c>
      <c r="V52" s="17">
        <f>Cash_Flow!$N52</f>
        <v>-60620.6599999998</v>
      </c>
      <c r="W52" s="17">
        <f>($W51+Cash_Flow!$J52)-(Cash_Flow!$B52+Cash_Flow!$C52)</f>
        <v>5209379.34</v>
      </c>
    </row>
    <row r="53" spans="1:23" x14ac:dyDescent="0.25">
      <c r="A53" s="9">
        <v>5</v>
      </c>
      <c r="B53" s="9">
        <v>51</v>
      </c>
      <c r="C53" s="10">
        <v>250000</v>
      </c>
      <c r="D53" s="10">
        <v>0</v>
      </c>
      <c r="E53" s="10">
        <v>39063.78</v>
      </c>
      <c r="F53" s="8">
        <v>29</v>
      </c>
      <c r="G53" s="8">
        <v>92</v>
      </c>
      <c r="H53" s="10">
        <v>1740000</v>
      </c>
      <c r="I53" s="10">
        <v>5520000</v>
      </c>
      <c r="J53" s="16">
        <v>179008.3</v>
      </c>
      <c r="K53" s="16">
        <v>0</v>
      </c>
      <c r="L53" s="16">
        <v>25470000</v>
      </c>
      <c r="M53" s="17">
        <f>$M52+Cash_Flow!$E53</f>
        <v>17514870</v>
      </c>
      <c r="N53" s="17">
        <f>$N52+Income_Statement!$M53</f>
        <v>10502130</v>
      </c>
      <c r="O53" s="17">
        <f>IF(Cash_Flow!$F53&lt;=0,0,$O52+(Cash_Flow!$F53+Cash_Flow!$G53))</f>
        <v>271100.76000000007</v>
      </c>
      <c r="P53" s="17">
        <f>Income_Statement!$P53</f>
        <v>271730</v>
      </c>
      <c r="Q53" s="17">
        <f>$Q52+Income_Statement!$P53</f>
        <v>7955130</v>
      </c>
      <c r="R53" s="17">
        <f>$R52+Income_Statement!$Q53</f>
        <v>2545641.5999999996</v>
      </c>
      <c r="S53" s="17">
        <f>Income_Statement!$R53</f>
        <v>184776.4</v>
      </c>
      <c r="T53" s="17">
        <f>Income_Statement!$Q53</f>
        <v>86953.600000000006</v>
      </c>
      <c r="U53" s="17">
        <f>$U52+Cash_Flow!$I53</f>
        <v>0</v>
      </c>
      <c r="V53" s="17">
        <f>Cash_Flow!$N53</f>
        <v>118387.64000000019</v>
      </c>
      <c r="W53" s="17">
        <f>($W52+Cash_Flow!$J53)-(Cash_Flow!$B53+Cash_Flow!$C53)</f>
        <v>5388387.6399999997</v>
      </c>
    </row>
    <row r="54" spans="1:23" x14ac:dyDescent="0.25">
      <c r="A54" s="9">
        <v>5</v>
      </c>
      <c r="B54" s="9">
        <v>52</v>
      </c>
      <c r="C54" s="10">
        <v>250000</v>
      </c>
      <c r="D54" s="10">
        <v>0</v>
      </c>
      <c r="E54" s="10">
        <v>33621.21</v>
      </c>
      <c r="F54" s="8">
        <v>25</v>
      </c>
      <c r="G54" s="8">
        <v>97</v>
      </c>
      <c r="H54" s="10">
        <v>1500000</v>
      </c>
      <c r="I54" s="10">
        <v>5820000</v>
      </c>
      <c r="J54" s="16">
        <v>153521.9</v>
      </c>
      <c r="K54" s="16">
        <v>300000</v>
      </c>
      <c r="L54" s="16">
        <v>26220000</v>
      </c>
      <c r="M54" s="17">
        <f>$M53+Cash_Flow!$E54</f>
        <v>18030620</v>
      </c>
      <c r="N54" s="17">
        <f>$N53+Income_Statement!$M54</f>
        <v>10811380</v>
      </c>
      <c r="O54" s="17">
        <f>IF(Cash_Flow!$F54&lt;=0,0,$O53+(Cash_Flow!$F54+Cash_Flow!$G54))</f>
        <v>276868.86000000004</v>
      </c>
      <c r="P54" s="17">
        <f>Income_Statement!$P54</f>
        <v>234250</v>
      </c>
      <c r="Q54" s="17">
        <f>$Q53+Income_Statement!$P54</f>
        <v>8189380</v>
      </c>
      <c r="R54" s="17">
        <f>$R53+Income_Statement!$Q54</f>
        <v>2620601.5999999996</v>
      </c>
      <c r="S54" s="17">
        <f>Income_Statement!$R54</f>
        <v>159290</v>
      </c>
      <c r="T54" s="17">
        <f>Income_Statement!$Q54</f>
        <v>74960</v>
      </c>
      <c r="U54" s="17">
        <f>$U53+Cash_Flow!$I54</f>
        <v>0</v>
      </c>
      <c r="V54" s="17">
        <f>Cash_Flow!$N54</f>
        <v>-28090.459999999817</v>
      </c>
      <c r="W54" s="17">
        <f>($W53+Cash_Flow!$J54)-(Cash_Flow!$B54+Cash_Flow!$C54)</f>
        <v>5541909.54</v>
      </c>
    </row>
    <row r="55" spans="1:23" x14ac:dyDescent="0.25">
      <c r="A55" s="9">
        <v>5</v>
      </c>
      <c r="B55" s="9">
        <v>53</v>
      </c>
      <c r="C55" s="10">
        <v>250000</v>
      </c>
      <c r="D55" s="10">
        <v>0</v>
      </c>
      <c r="E55" s="10">
        <v>28133.29</v>
      </c>
      <c r="F55" s="8">
        <v>30</v>
      </c>
      <c r="G55" s="8">
        <v>97</v>
      </c>
      <c r="H55" s="10">
        <v>1800000</v>
      </c>
      <c r="I55" s="10">
        <v>5820000</v>
      </c>
      <c r="J55" s="16">
        <v>185379.89</v>
      </c>
      <c r="K55" s="16">
        <v>0</v>
      </c>
      <c r="L55" s="16">
        <v>27120000</v>
      </c>
      <c r="M55" s="17">
        <f>$M54+Cash_Flow!$E55</f>
        <v>18649520</v>
      </c>
      <c r="N55" s="17">
        <f>$N54+Income_Statement!$M55</f>
        <v>11182480</v>
      </c>
      <c r="O55" s="17">
        <f>IF(Cash_Flow!$F55&lt;=0,0,$O54+(Cash_Flow!$F55+Cash_Flow!$G55))</f>
        <v>282636.97000000003</v>
      </c>
      <c r="P55" s="17">
        <f>Income_Statement!$P55</f>
        <v>281100</v>
      </c>
      <c r="Q55" s="17">
        <f>$Q54+Income_Statement!$P55</f>
        <v>8470480</v>
      </c>
      <c r="R55" s="17">
        <f>$R54+Income_Statement!$Q55</f>
        <v>2710553.5999999996</v>
      </c>
      <c r="S55" s="17">
        <f>Income_Statement!$R55</f>
        <v>191148</v>
      </c>
      <c r="T55" s="17">
        <f>Income_Statement!$Q55</f>
        <v>89952</v>
      </c>
      <c r="U55" s="17">
        <f>$U54+Cash_Flow!$I55</f>
        <v>0</v>
      </c>
      <c r="V55" s="17">
        <f>Cash_Flow!$N55</f>
        <v>157289.4300000002</v>
      </c>
      <c r="W55" s="17">
        <f>($W54+Cash_Flow!$J55)-(Cash_Flow!$B55+Cash_Flow!$C55)</f>
        <v>5727289.4299999997</v>
      </c>
    </row>
    <row r="56" spans="1:23" x14ac:dyDescent="0.25">
      <c r="A56" s="9">
        <v>5</v>
      </c>
      <c r="B56" s="9">
        <v>54</v>
      </c>
      <c r="C56" s="10">
        <v>250000</v>
      </c>
      <c r="D56" s="10">
        <v>0</v>
      </c>
      <c r="E56" s="10">
        <v>22599.63</v>
      </c>
      <c r="F56" s="8">
        <v>25</v>
      </c>
      <c r="G56" s="8">
        <v>103</v>
      </c>
      <c r="H56" s="10">
        <v>1500000</v>
      </c>
      <c r="I56" s="10">
        <v>6180000</v>
      </c>
      <c r="J56" s="16">
        <v>153521.9</v>
      </c>
      <c r="K56" s="16">
        <v>360000</v>
      </c>
      <c r="L56" s="16">
        <v>27870000</v>
      </c>
      <c r="M56" s="17">
        <f>$M55+Cash_Flow!$E56</f>
        <v>19165270</v>
      </c>
      <c r="N56" s="17">
        <f>$N55+Income_Statement!$M56</f>
        <v>11491730</v>
      </c>
      <c r="O56" s="17">
        <f>IF(Cash_Flow!$F56&lt;=0,0,$O55+(Cash_Flow!$F56+Cash_Flow!$G56))</f>
        <v>288405.07</v>
      </c>
      <c r="P56" s="17">
        <f>Income_Statement!$P56</f>
        <v>234250</v>
      </c>
      <c r="Q56" s="17">
        <f>$Q55+Income_Statement!$P56</f>
        <v>8704730</v>
      </c>
      <c r="R56" s="17">
        <f>$R55+Income_Statement!$Q56</f>
        <v>2785513.5999999996</v>
      </c>
      <c r="S56" s="17">
        <f>Income_Statement!$R56</f>
        <v>159290</v>
      </c>
      <c r="T56" s="17">
        <f>Income_Statement!$Q56</f>
        <v>74960</v>
      </c>
      <c r="U56" s="17">
        <f>$U55+Cash_Flow!$I56</f>
        <v>0</v>
      </c>
      <c r="V56" s="17">
        <f>Cash_Flow!$N56</f>
        <v>-49188.669999999809</v>
      </c>
      <c r="W56" s="17">
        <f>($W55+Cash_Flow!$J56)-(Cash_Flow!$B56+Cash_Flow!$C56)</f>
        <v>5880811.3300000001</v>
      </c>
    </row>
    <row r="57" spans="1:23" x14ac:dyDescent="0.25">
      <c r="A57" s="9">
        <v>5</v>
      </c>
      <c r="B57" s="9">
        <v>55</v>
      </c>
      <c r="C57" s="10">
        <v>250000</v>
      </c>
      <c r="D57" s="10">
        <v>0</v>
      </c>
      <c r="E57" s="10">
        <v>17019.86</v>
      </c>
      <c r="F57" s="8">
        <v>30</v>
      </c>
      <c r="G57" s="8">
        <v>103</v>
      </c>
      <c r="H57" s="10">
        <v>1800000</v>
      </c>
      <c r="I57" s="10">
        <v>6180000</v>
      </c>
      <c r="J57" s="16">
        <v>185379.9</v>
      </c>
      <c r="K57" s="16">
        <v>0</v>
      </c>
      <c r="L57" s="16">
        <v>28770000</v>
      </c>
      <c r="M57" s="17">
        <f>$M56+Cash_Flow!$E57</f>
        <v>19784170</v>
      </c>
      <c r="N57" s="17">
        <f>$N56+Income_Statement!$M57</f>
        <v>11862830</v>
      </c>
      <c r="O57" s="17">
        <f>IF(Cash_Flow!$F57&lt;=0,0,$O56+(Cash_Flow!$F57+Cash_Flow!$G57))</f>
        <v>294173.17</v>
      </c>
      <c r="P57" s="17">
        <f>Income_Statement!$P57</f>
        <v>281100</v>
      </c>
      <c r="Q57" s="17">
        <f>$Q56+Income_Statement!$P57</f>
        <v>8985830</v>
      </c>
      <c r="R57" s="17">
        <f>$R56+Income_Statement!$Q57</f>
        <v>2875465.5999999996</v>
      </c>
      <c r="S57" s="17">
        <f>Income_Statement!$R57</f>
        <v>191148</v>
      </c>
      <c r="T57" s="17">
        <f>Income_Statement!$Q57</f>
        <v>89952</v>
      </c>
      <c r="U57" s="17">
        <f>$U56+Cash_Flow!$I57</f>
        <v>0</v>
      </c>
      <c r="V57" s="17">
        <f>Cash_Flow!$N57</f>
        <v>136191.23000000019</v>
      </c>
      <c r="W57" s="17">
        <f>($W56+Cash_Flow!$J57)-(Cash_Flow!$B57+Cash_Flow!$C57)</f>
        <v>6066191.2300000004</v>
      </c>
    </row>
    <row r="58" spans="1:23" x14ac:dyDescent="0.25">
      <c r="A58" s="9">
        <v>5</v>
      </c>
      <c r="B58" s="9">
        <v>56</v>
      </c>
      <c r="C58" s="10">
        <v>250000</v>
      </c>
      <c r="D58" s="10">
        <v>0</v>
      </c>
      <c r="E58" s="10">
        <v>11393.59</v>
      </c>
      <c r="F58" s="8">
        <v>25</v>
      </c>
      <c r="G58" s="8">
        <v>109</v>
      </c>
      <c r="H58" s="10">
        <v>1500000</v>
      </c>
      <c r="I58" s="10">
        <v>6540000</v>
      </c>
      <c r="J58" s="16">
        <v>153521.9</v>
      </c>
      <c r="K58" s="16">
        <v>360000</v>
      </c>
      <c r="L58" s="16">
        <v>29520000</v>
      </c>
      <c r="M58" s="17">
        <f>$M57+Cash_Flow!$E58</f>
        <v>20299920</v>
      </c>
      <c r="N58" s="17">
        <f>$N57+Income_Statement!$M58</f>
        <v>12172080</v>
      </c>
      <c r="O58" s="17">
        <f>IF(Cash_Flow!$F58&lt;=0,0,$O57+(Cash_Flow!$F58+Cash_Flow!$G58))</f>
        <v>299941.26999999996</v>
      </c>
      <c r="P58" s="17">
        <f>Income_Statement!$P58</f>
        <v>234250</v>
      </c>
      <c r="Q58" s="17">
        <f>$Q57+Income_Statement!$P58</f>
        <v>9220080</v>
      </c>
      <c r="R58" s="17">
        <f>$R57+Income_Statement!$Q58</f>
        <v>2950425.5999999996</v>
      </c>
      <c r="S58" s="17">
        <f>Income_Statement!$R58</f>
        <v>159290</v>
      </c>
      <c r="T58" s="17">
        <f>Income_Statement!$Q58</f>
        <v>74960</v>
      </c>
      <c r="U58" s="17">
        <f>$U57+Cash_Flow!$I58</f>
        <v>0</v>
      </c>
      <c r="V58" s="17">
        <f>Cash_Flow!$N58</f>
        <v>-70286.869999999821</v>
      </c>
      <c r="W58" s="17">
        <f>($W57+Cash_Flow!$J58)-(Cash_Flow!$B58+Cash_Flow!$C58)</f>
        <v>6219713.1300000008</v>
      </c>
    </row>
    <row r="59" spans="1:23" x14ac:dyDescent="0.25">
      <c r="A59" s="9">
        <v>5</v>
      </c>
      <c r="B59" s="9">
        <v>57</v>
      </c>
      <c r="C59" s="10">
        <v>250000</v>
      </c>
      <c r="D59" s="10">
        <v>0</v>
      </c>
      <c r="E59" s="10">
        <v>5720.43</v>
      </c>
      <c r="F59" s="8">
        <v>31</v>
      </c>
      <c r="G59" s="8">
        <v>109</v>
      </c>
      <c r="H59" s="10">
        <v>1860000</v>
      </c>
      <c r="I59" s="10">
        <v>6540000</v>
      </c>
      <c r="J59" s="16">
        <v>191751.49</v>
      </c>
      <c r="K59" s="16">
        <v>0</v>
      </c>
      <c r="L59" s="16">
        <v>30450000</v>
      </c>
      <c r="M59" s="17">
        <f>$M58+Cash_Flow!$E59</f>
        <v>20939450</v>
      </c>
      <c r="N59" s="17">
        <f>$N58+Income_Statement!$M59</f>
        <v>12555550</v>
      </c>
      <c r="O59" s="17">
        <f>IF(Cash_Flow!$F59&lt;=0,0,$O58+(Cash_Flow!$F59+Cash_Flow!$G59))</f>
        <v>305709.37999999995</v>
      </c>
      <c r="P59" s="17">
        <f>Income_Statement!$P59</f>
        <v>290470</v>
      </c>
      <c r="Q59" s="17">
        <f>$Q58+Income_Statement!$P59</f>
        <v>9510550</v>
      </c>
      <c r="R59" s="17">
        <f>$R58+Income_Statement!$Q59</f>
        <v>3043375.9999999995</v>
      </c>
      <c r="S59" s="17">
        <f>Income_Statement!$R59</f>
        <v>197519.6</v>
      </c>
      <c r="T59" s="17">
        <f>Income_Statement!$Q59</f>
        <v>92950.399999999994</v>
      </c>
      <c r="U59" s="17">
        <f>$U58+Cash_Flow!$I59</f>
        <v>0</v>
      </c>
      <c r="V59" s="17">
        <f>Cash_Flow!$N59</f>
        <v>121464.62000000017</v>
      </c>
      <c r="W59" s="17">
        <f>($W58+Cash_Flow!$J59)-(Cash_Flow!$B59+Cash_Flow!$C59)</f>
        <v>6411464.620000001</v>
      </c>
    </row>
    <row r="60" spans="1:23" x14ac:dyDescent="0.25">
      <c r="A60" s="9">
        <v>5</v>
      </c>
      <c r="B60" s="9">
        <v>58</v>
      </c>
      <c r="C60" s="10">
        <v>250000</v>
      </c>
      <c r="D60" s="10">
        <v>0</v>
      </c>
      <c r="E60" s="10">
        <v>0</v>
      </c>
      <c r="F60" s="8">
        <v>26</v>
      </c>
      <c r="G60" s="8">
        <v>114</v>
      </c>
      <c r="H60" s="10">
        <v>1560000</v>
      </c>
      <c r="I60" s="10">
        <v>6840000</v>
      </c>
      <c r="J60" s="16">
        <v>159893.5</v>
      </c>
      <c r="K60" s="16">
        <v>300000</v>
      </c>
      <c r="L60" s="16">
        <v>31230000</v>
      </c>
      <c r="M60" s="17">
        <f>$M59+Cash_Flow!$E60</f>
        <v>21475830</v>
      </c>
      <c r="N60" s="17">
        <f>$N59+Income_Statement!$M60</f>
        <v>12877170</v>
      </c>
      <c r="O60" s="17">
        <f>IF(Cash_Flow!$F60&lt;=0,0,$O59+(Cash_Flow!$F60+Cash_Flow!$G60))</f>
        <v>311477.47999999992</v>
      </c>
      <c r="P60" s="17">
        <f>Income_Statement!$P60</f>
        <v>243620</v>
      </c>
      <c r="Q60" s="17">
        <f>$Q59+Income_Statement!$P60</f>
        <v>9754170</v>
      </c>
      <c r="R60" s="17">
        <f>$R59+Income_Statement!$Q60</f>
        <v>3121334.3999999994</v>
      </c>
      <c r="S60" s="17">
        <f>Income_Statement!$R60</f>
        <v>165661.6</v>
      </c>
      <c r="T60" s="17">
        <f>Income_Statement!$Q60</f>
        <v>77958.399999999994</v>
      </c>
      <c r="U60" s="17">
        <f>$U59+Cash_Flow!$I60</f>
        <v>0</v>
      </c>
      <c r="V60" s="17">
        <f>Cash_Flow!$N60</f>
        <v>-18641.87999999983</v>
      </c>
      <c r="W60" s="17">
        <f>($W59+Cash_Flow!$J60)-(Cash_Flow!$B60+Cash_Flow!$C60)</f>
        <v>6571358.120000001</v>
      </c>
    </row>
    <row r="61" spans="1:23" x14ac:dyDescent="0.25">
      <c r="A61" s="9">
        <v>5</v>
      </c>
      <c r="B61" s="9">
        <v>59</v>
      </c>
      <c r="C61" s="10">
        <v>250000</v>
      </c>
      <c r="D61" s="10">
        <v>0</v>
      </c>
      <c r="E61" s="10">
        <v>0</v>
      </c>
      <c r="F61" s="8">
        <v>32</v>
      </c>
      <c r="G61" s="8">
        <v>114</v>
      </c>
      <c r="H61" s="10">
        <v>1920000</v>
      </c>
      <c r="I61" s="10">
        <v>6840000</v>
      </c>
      <c r="J61" s="16">
        <v>203891.20000000001</v>
      </c>
      <c r="K61" s="16">
        <v>0</v>
      </c>
      <c r="L61" s="16">
        <v>32190000</v>
      </c>
      <c r="M61" s="17">
        <f>$M60+Cash_Flow!$E61</f>
        <v>22135990</v>
      </c>
      <c r="N61" s="17">
        <f>$N60+Income_Statement!$M61</f>
        <v>13273010</v>
      </c>
      <c r="O61" s="17">
        <f>IF(Cash_Flow!$F61&lt;=0,0,$O60+(Cash_Flow!$F61+Cash_Flow!$G61))</f>
        <v>0</v>
      </c>
      <c r="P61" s="17">
        <f>Income_Statement!$P61</f>
        <v>299840</v>
      </c>
      <c r="Q61" s="17">
        <f>$Q60+Income_Statement!$P61</f>
        <v>10054010</v>
      </c>
      <c r="R61" s="17">
        <f>$R60+Income_Statement!$Q61</f>
        <v>3217283.1999999993</v>
      </c>
      <c r="S61" s="17">
        <f>Income_Statement!$R61</f>
        <v>203891.20000000001</v>
      </c>
      <c r="T61" s="17">
        <f>Income_Statement!$Q61</f>
        <v>95948.800000000003</v>
      </c>
      <c r="U61" s="17">
        <f>$U60+Cash_Flow!$I61</f>
        <v>0</v>
      </c>
      <c r="V61" s="17">
        <f>Cash_Flow!$N61</f>
        <v>185249.32000000018</v>
      </c>
      <c r="W61" s="17">
        <f>($W60+Cash_Flow!$J61)-(Cash_Flow!$B61+Cash_Flow!$C61)</f>
        <v>6775249.3200000012</v>
      </c>
    </row>
    <row r="62" spans="1:23" x14ac:dyDescent="0.25">
      <c r="A62" s="9">
        <v>5</v>
      </c>
      <c r="B62" s="9">
        <v>60</v>
      </c>
      <c r="C62" s="10">
        <v>250000</v>
      </c>
      <c r="D62" s="10">
        <v>0</v>
      </c>
      <c r="E62" s="10">
        <v>0</v>
      </c>
      <c r="F62" s="8">
        <v>28</v>
      </c>
      <c r="G62" s="8">
        <v>120</v>
      </c>
      <c r="H62" s="10">
        <v>1680000</v>
      </c>
      <c r="I62" s="10">
        <v>7200000</v>
      </c>
      <c r="J62" s="16">
        <v>178404.8</v>
      </c>
      <c r="K62" s="16">
        <v>360000</v>
      </c>
      <c r="L62" s="16">
        <v>33030000</v>
      </c>
      <c r="M62" s="17">
        <f>$M61+Cash_Flow!$E62</f>
        <v>22713630</v>
      </c>
      <c r="N62" s="17">
        <f>$N61+Income_Statement!$M62</f>
        <v>13619370</v>
      </c>
      <c r="O62" s="17">
        <f>IF(Cash_Flow!$F62&lt;=0,0,$O61+(Cash_Flow!$F62+Cash_Flow!$G62))</f>
        <v>0</v>
      </c>
      <c r="P62" s="17">
        <f>Income_Statement!$P62</f>
        <v>262360</v>
      </c>
      <c r="Q62" s="17">
        <f>$Q61+Income_Statement!$P62</f>
        <v>10316370</v>
      </c>
      <c r="R62" s="17">
        <f>$R61+Income_Statement!$Q62</f>
        <v>3301238.3999999994</v>
      </c>
      <c r="S62" s="17">
        <f>Income_Statement!$R62</f>
        <v>178404.8</v>
      </c>
      <c r="T62" s="17">
        <f>Income_Statement!$Q62</f>
        <v>83955.199999999997</v>
      </c>
      <c r="U62" s="17">
        <f>$U61+Cash_Flow!$I62</f>
        <v>0</v>
      </c>
      <c r="V62" s="17">
        <f>Cash_Flow!$N62</f>
        <v>3654.12000000017</v>
      </c>
      <c r="W62" s="17">
        <f>($W61+Cash_Flow!$J62)-(Cash_Flow!$B62+Cash_Flow!$C62)</f>
        <v>6953654.120000001</v>
      </c>
    </row>
  </sheetData>
  <mergeCells count="1">
    <mergeCell ref="B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8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defaultColWidth="8.7109375" defaultRowHeight="15" customHeight="1" x14ac:dyDescent="0.25"/>
  <cols>
    <col min="1" max="1" width="12" customWidth="1"/>
    <col min="2" max="2" width="18" customWidth="1"/>
    <col min="3" max="5" width="14" customWidth="1"/>
    <col min="6" max="6" width="18" customWidth="1"/>
  </cols>
  <sheetData>
    <row r="1" spans="1:6" ht="18.75" customHeight="1" x14ac:dyDescent="0.3">
      <c r="A1" s="20" t="s">
        <v>141</v>
      </c>
      <c r="B1" s="21"/>
      <c r="C1" s="21"/>
      <c r="D1" s="21"/>
      <c r="E1" s="21"/>
      <c r="F1" s="21"/>
    </row>
    <row r="2" spans="1:6" ht="28.35" customHeight="1" x14ac:dyDescent="0.25">
      <c r="A2" s="23" t="s">
        <v>142</v>
      </c>
      <c r="B2" s="24"/>
      <c r="C2" s="24"/>
      <c r="D2" s="24"/>
      <c r="E2" s="24"/>
      <c r="F2" s="25"/>
    </row>
    <row r="4" spans="1:6" x14ac:dyDescent="0.25">
      <c r="A4" s="2" t="s">
        <v>143</v>
      </c>
      <c r="B4" s="2" t="s">
        <v>144</v>
      </c>
      <c r="C4" s="2" t="s">
        <v>94</v>
      </c>
      <c r="D4" s="2" t="s">
        <v>145</v>
      </c>
      <c r="E4" s="2" t="s">
        <v>146</v>
      </c>
      <c r="F4" s="2" t="s">
        <v>147</v>
      </c>
    </row>
    <row r="5" spans="1:6" x14ac:dyDescent="0.25">
      <c r="A5" s="8">
        <v>1</v>
      </c>
      <c r="B5" s="10">
        <v>250000</v>
      </c>
      <c r="C5" s="10">
        <v>2083.33</v>
      </c>
      <c r="D5" s="10">
        <v>3684.77</v>
      </c>
      <c r="E5" s="10">
        <v>5768.1</v>
      </c>
      <c r="F5" s="10">
        <v>246315.23</v>
      </c>
    </row>
    <row r="6" spans="1:6" x14ac:dyDescent="0.25">
      <c r="A6" s="8">
        <v>2</v>
      </c>
      <c r="B6" s="10">
        <v>246315.23</v>
      </c>
      <c r="C6" s="10">
        <v>2052.63</v>
      </c>
      <c r="D6" s="10">
        <v>3715.47</v>
      </c>
      <c r="E6" s="10">
        <v>5768.1</v>
      </c>
      <c r="F6" s="10">
        <v>242599.76</v>
      </c>
    </row>
    <row r="7" spans="1:6" x14ac:dyDescent="0.25">
      <c r="A7" s="8">
        <v>3</v>
      </c>
      <c r="B7" s="10">
        <v>242599.76</v>
      </c>
      <c r="C7" s="10">
        <v>2021.66</v>
      </c>
      <c r="D7" s="10">
        <v>3746.44</v>
      </c>
      <c r="E7" s="10">
        <v>5768.1</v>
      </c>
      <c r="F7" s="10">
        <v>238853.32</v>
      </c>
    </row>
    <row r="8" spans="1:6" x14ac:dyDescent="0.25">
      <c r="A8" s="8">
        <v>4</v>
      </c>
      <c r="B8" s="10">
        <v>238853.32</v>
      </c>
      <c r="C8" s="10">
        <v>1990.44</v>
      </c>
      <c r="D8" s="10">
        <v>3777.66</v>
      </c>
      <c r="E8" s="10">
        <v>5768.1</v>
      </c>
      <c r="F8" s="10">
        <v>235075.66</v>
      </c>
    </row>
    <row r="9" spans="1:6" x14ac:dyDescent="0.25">
      <c r="A9" s="8">
        <v>5</v>
      </c>
      <c r="B9" s="10">
        <v>235075.66</v>
      </c>
      <c r="C9" s="10">
        <v>1958.96</v>
      </c>
      <c r="D9" s="10">
        <v>3809.14</v>
      </c>
      <c r="E9" s="10">
        <v>5768.1</v>
      </c>
      <c r="F9" s="10">
        <v>231266.52</v>
      </c>
    </row>
    <row r="10" spans="1:6" x14ac:dyDescent="0.25">
      <c r="A10" s="8">
        <v>6</v>
      </c>
      <c r="B10" s="10">
        <v>231266.52</v>
      </c>
      <c r="C10" s="10">
        <v>1927.22</v>
      </c>
      <c r="D10" s="10">
        <v>3840.88</v>
      </c>
      <c r="E10" s="10">
        <v>5768.1</v>
      </c>
      <c r="F10" s="10">
        <v>227425.64</v>
      </c>
    </row>
    <row r="11" spans="1:6" x14ac:dyDescent="0.25">
      <c r="A11" s="8">
        <v>7</v>
      </c>
      <c r="B11" s="10">
        <v>227425.64</v>
      </c>
      <c r="C11" s="10">
        <v>1895.21</v>
      </c>
      <c r="D11" s="10">
        <v>3872.89</v>
      </c>
      <c r="E11" s="10">
        <v>5768.1</v>
      </c>
      <c r="F11" s="10">
        <v>223552.75</v>
      </c>
    </row>
    <row r="12" spans="1:6" x14ac:dyDescent="0.25">
      <c r="A12" s="8">
        <v>8</v>
      </c>
      <c r="B12" s="10">
        <v>223552.75</v>
      </c>
      <c r="C12" s="10">
        <v>1862.94</v>
      </c>
      <c r="D12" s="10">
        <v>3905.16</v>
      </c>
      <c r="E12" s="10">
        <v>5768.1</v>
      </c>
      <c r="F12" s="10">
        <v>219647.59</v>
      </c>
    </row>
    <row r="13" spans="1:6" x14ac:dyDescent="0.25">
      <c r="A13" s="8">
        <v>9</v>
      </c>
      <c r="B13" s="10">
        <v>219647.59</v>
      </c>
      <c r="C13" s="10">
        <v>1830.4</v>
      </c>
      <c r="D13" s="10">
        <v>3937.71</v>
      </c>
      <c r="E13" s="10">
        <v>5768.1</v>
      </c>
      <c r="F13" s="10">
        <v>215709.89</v>
      </c>
    </row>
    <row r="14" spans="1:6" x14ac:dyDescent="0.25">
      <c r="A14" s="8">
        <v>10</v>
      </c>
      <c r="B14" s="10">
        <v>215709.89</v>
      </c>
      <c r="C14" s="10">
        <v>1797.58</v>
      </c>
      <c r="D14" s="10">
        <v>3970.52</v>
      </c>
      <c r="E14" s="10">
        <v>5768.1</v>
      </c>
      <c r="F14" s="10">
        <v>211739.37</v>
      </c>
    </row>
    <row r="15" spans="1:6" x14ac:dyDescent="0.25">
      <c r="A15" s="8">
        <v>11</v>
      </c>
      <c r="B15" s="10">
        <v>211739.37</v>
      </c>
      <c r="C15" s="10">
        <v>1764.49</v>
      </c>
      <c r="D15" s="10">
        <v>4003.61</v>
      </c>
      <c r="E15" s="10">
        <v>5768.1</v>
      </c>
      <c r="F15" s="10">
        <v>207735.76</v>
      </c>
    </row>
    <row r="16" spans="1:6" x14ac:dyDescent="0.25">
      <c r="A16" s="8">
        <v>12</v>
      </c>
      <c r="B16" s="10">
        <v>207735.76</v>
      </c>
      <c r="C16" s="10">
        <v>1731.13</v>
      </c>
      <c r="D16" s="10">
        <v>4036.97</v>
      </c>
      <c r="E16" s="10">
        <v>5768.1</v>
      </c>
      <c r="F16" s="10">
        <v>203698.79</v>
      </c>
    </row>
    <row r="17" spans="1:6" x14ac:dyDescent="0.25">
      <c r="A17" s="8">
        <v>13</v>
      </c>
      <c r="B17" s="10">
        <v>203698.79</v>
      </c>
      <c r="C17" s="10">
        <v>1697.49</v>
      </c>
      <c r="D17" s="10">
        <v>4070.61</v>
      </c>
      <c r="E17" s="10">
        <v>5768.1</v>
      </c>
      <c r="F17" s="10">
        <v>199628.18</v>
      </c>
    </row>
    <row r="18" spans="1:6" x14ac:dyDescent="0.25">
      <c r="A18" s="8">
        <v>14</v>
      </c>
      <c r="B18" s="10">
        <v>199628.18</v>
      </c>
      <c r="C18" s="10">
        <v>1663.57</v>
      </c>
      <c r="D18" s="10">
        <v>4104.53</v>
      </c>
      <c r="E18" s="10">
        <v>5768.1</v>
      </c>
      <c r="F18" s="10">
        <v>195523.64</v>
      </c>
    </row>
    <row r="19" spans="1:6" x14ac:dyDescent="0.25">
      <c r="A19" s="8">
        <v>15</v>
      </c>
      <c r="B19" s="10">
        <v>195523.64</v>
      </c>
      <c r="C19" s="10">
        <v>1629.36</v>
      </c>
      <c r="D19" s="10">
        <v>4138.74</v>
      </c>
      <c r="E19" s="10">
        <v>5768.1</v>
      </c>
      <c r="F19" s="10">
        <v>191384.91</v>
      </c>
    </row>
    <row r="20" spans="1:6" x14ac:dyDescent="0.25">
      <c r="A20" s="8">
        <v>16</v>
      </c>
      <c r="B20" s="10">
        <v>191384.91</v>
      </c>
      <c r="C20" s="10">
        <v>1594.87</v>
      </c>
      <c r="D20" s="10">
        <v>4173.2299999999996</v>
      </c>
      <c r="E20" s="10">
        <v>5768.1</v>
      </c>
      <c r="F20" s="10">
        <v>187211.68</v>
      </c>
    </row>
    <row r="21" spans="1:6" x14ac:dyDescent="0.25">
      <c r="A21" s="8">
        <v>17</v>
      </c>
      <c r="B21" s="10">
        <v>187211.68</v>
      </c>
      <c r="C21" s="10">
        <v>1560.1</v>
      </c>
      <c r="D21" s="10">
        <v>4208</v>
      </c>
      <c r="E21" s="10">
        <v>5768.1</v>
      </c>
      <c r="F21" s="10">
        <v>183003.67</v>
      </c>
    </row>
    <row r="22" spans="1:6" x14ac:dyDescent="0.25">
      <c r="A22" s="8">
        <v>18</v>
      </c>
      <c r="B22" s="10">
        <v>183003.67</v>
      </c>
      <c r="C22" s="10">
        <v>1525.03</v>
      </c>
      <c r="D22" s="10">
        <v>4243.07</v>
      </c>
      <c r="E22" s="10">
        <v>5768.1</v>
      </c>
      <c r="F22" s="10">
        <v>178760.6</v>
      </c>
    </row>
    <row r="23" spans="1:6" x14ac:dyDescent="0.25">
      <c r="A23" s="8">
        <v>19</v>
      </c>
      <c r="B23" s="10">
        <v>178760.6</v>
      </c>
      <c r="C23" s="10">
        <v>1489.67</v>
      </c>
      <c r="D23" s="10">
        <v>4278.43</v>
      </c>
      <c r="E23" s="10">
        <v>5768.1</v>
      </c>
      <c r="F23" s="10">
        <v>174482.17</v>
      </c>
    </row>
    <row r="24" spans="1:6" x14ac:dyDescent="0.25">
      <c r="A24" s="8">
        <v>20</v>
      </c>
      <c r="B24" s="10">
        <v>174482.17</v>
      </c>
      <c r="C24" s="10">
        <v>1454.02</v>
      </c>
      <c r="D24" s="10">
        <v>4314.08</v>
      </c>
      <c r="E24" s="10">
        <v>5768.1</v>
      </c>
      <c r="F24" s="10">
        <v>170168.09</v>
      </c>
    </row>
    <row r="25" spans="1:6" x14ac:dyDescent="0.25">
      <c r="A25" s="8">
        <v>21</v>
      </c>
      <c r="B25" s="10">
        <v>170168.09</v>
      </c>
      <c r="C25" s="10">
        <v>1418.07</v>
      </c>
      <c r="D25" s="10">
        <v>4350.03</v>
      </c>
      <c r="E25" s="10">
        <v>5768.1</v>
      </c>
      <c r="F25" s="10">
        <v>165818.04999999999</v>
      </c>
    </row>
    <row r="26" spans="1:6" x14ac:dyDescent="0.25">
      <c r="A26" s="8">
        <v>22</v>
      </c>
      <c r="B26" s="10">
        <v>165818.04999999999</v>
      </c>
      <c r="C26" s="10">
        <v>1381.82</v>
      </c>
      <c r="D26" s="10">
        <v>4386.28</v>
      </c>
      <c r="E26" s="10">
        <v>5768.1</v>
      </c>
      <c r="F26" s="10">
        <v>161431.76999999999</v>
      </c>
    </row>
    <row r="27" spans="1:6" x14ac:dyDescent="0.25">
      <c r="A27" s="8">
        <v>23</v>
      </c>
      <c r="B27" s="10">
        <v>161431.76999999999</v>
      </c>
      <c r="C27" s="10">
        <v>1345.26</v>
      </c>
      <c r="D27" s="10">
        <v>4422.84</v>
      </c>
      <c r="E27" s="10">
        <v>5768.1</v>
      </c>
      <c r="F27" s="10">
        <v>157008.93</v>
      </c>
    </row>
    <row r="28" spans="1:6" x14ac:dyDescent="0.25">
      <c r="A28" s="8">
        <v>24</v>
      </c>
      <c r="B28" s="10">
        <v>157008.93</v>
      </c>
      <c r="C28" s="10">
        <v>1308.4100000000001</v>
      </c>
      <c r="D28" s="10">
        <v>4459.6899999999996</v>
      </c>
      <c r="E28" s="10">
        <v>5768.1</v>
      </c>
      <c r="F28" s="10">
        <v>152549.24</v>
      </c>
    </row>
    <row r="29" spans="1:6" x14ac:dyDescent="0.25">
      <c r="A29" s="8">
        <v>25</v>
      </c>
      <c r="B29" s="10">
        <v>152549.24</v>
      </c>
      <c r="C29" s="10">
        <v>1271.24</v>
      </c>
      <c r="D29" s="10">
        <v>4496.8599999999997</v>
      </c>
      <c r="E29" s="10">
        <v>5768.1</v>
      </c>
      <c r="F29" s="10">
        <v>148052.38</v>
      </c>
    </row>
    <row r="30" spans="1:6" x14ac:dyDescent="0.25">
      <c r="A30" s="8">
        <v>26</v>
      </c>
      <c r="B30" s="10">
        <v>148052.38</v>
      </c>
      <c r="C30" s="10">
        <v>1233.77</v>
      </c>
      <c r="D30" s="10">
        <v>4534.33</v>
      </c>
      <c r="E30" s="10">
        <v>5768.1</v>
      </c>
      <c r="F30" s="10">
        <v>143518.04999999999</v>
      </c>
    </row>
    <row r="31" spans="1:6" x14ac:dyDescent="0.25">
      <c r="A31" s="8">
        <v>27</v>
      </c>
      <c r="B31" s="10">
        <v>143518.04999999999</v>
      </c>
      <c r="C31" s="10">
        <v>1195.98</v>
      </c>
      <c r="D31" s="10">
        <v>4572.12</v>
      </c>
      <c r="E31" s="10">
        <v>5768.1</v>
      </c>
      <c r="F31" s="10">
        <v>138945.93</v>
      </c>
    </row>
    <row r="32" spans="1:6" x14ac:dyDescent="0.25">
      <c r="A32" s="8">
        <v>28</v>
      </c>
      <c r="B32" s="10">
        <v>138945.93</v>
      </c>
      <c r="C32" s="10">
        <v>1157.8800000000001</v>
      </c>
      <c r="D32" s="10">
        <v>4610.22</v>
      </c>
      <c r="E32" s="10">
        <v>5768.1</v>
      </c>
      <c r="F32" s="10">
        <v>134335.71</v>
      </c>
    </row>
    <row r="33" spans="1:6" x14ac:dyDescent="0.25">
      <c r="A33" s="8">
        <v>29</v>
      </c>
      <c r="B33" s="10">
        <v>134335.71</v>
      </c>
      <c r="C33" s="10">
        <v>1119.46</v>
      </c>
      <c r="D33" s="10">
        <v>4648.6400000000003</v>
      </c>
      <c r="E33" s="10">
        <v>5768.1</v>
      </c>
      <c r="F33" s="10">
        <v>129687.07</v>
      </c>
    </row>
    <row r="34" spans="1:6" x14ac:dyDescent="0.25">
      <c r="A34" s="8">
        <v>30</v>
      </c>
      <c r="B34" s="10">
        <v>129687.07</v>
      </c>
      <c r="C34" s="10">
        <v>1080.73</v>
      </c>
      <c r="D34" s="10">
        <v>4687.38</v>
      </c>
      <c r="E34" s="10">
        <v>5768.1</v>
      </c>
      <c r="F34" s="10">
        <v>124999.7</v>
      </c>
    </row>
    <row r="35" spans="1:6" x14ac:dyDescent="0.25">
      <c r="A35" s="8">
        <v>31</v>
      </c>
      <c r="B35" s="10">
        <v>124999.7</v>
      </c>
      <c r="C35" s="10">
        <v>1041.6600000000001</v>
      </c>
      <c r="D35" s="10">
        <v>4726.4399999999996</v>
      </c>
      <c r="E35" s="10">
        <v>5768.1</v>
      </c>
      <c r="F35" s="10">
        <v>120273.26</v>
      </c>
    </row>
    <row r="36" spans="1:6" x14ac:dyDescent="0.25">
      <c r="A36" s="8">
        <v>32</v>
      </c>
      <c r="B36" s="10">
        <v>120273.26</v>
      </c>
      <c r="C36" s="10">
        <v>1002.28</v>
      </c>
      <c r="D36" s="10">
        <v>4765.82</v>
      </c>
      <c r="E36" s="10">
        <v>5768.1</v>
      </c>
      <c r="F36" s="10">
        <v>115507.44</v>
      </c>
    </row>
    <row r="37" spans="1:6" x14ac:dyDescent="0.25">
      <c r="A37" s="8">
        <v>33</v>
      </c>
      <c r="B37" s="10">
        <v>115507.44</v>
      </c>
      <c r="C37" s="10">
        <v>962.56</v>
      </c>
      <c r="D37" s="10">
        <v>4805.54</v>
      </c>
      <c r="E37" s="10">
        <v>5768.1</v>
      </c>
      <c r="F37" s="10">
        <v>110701.9</v>
      </c>
    </row>
    <row r="38" spans="1:6" x14ac:dyDescent="0.25">
      <c r="A38" s="8">
        <v>34</v>
      </c>
      <c r="B38" s="10">
        <v>110701.9</v>
      </c>
      <c r="C38" s="10">
        <v>922.52</v>
      </c>
      <c r="D38" s="10">
        <v>4845.59</v>
      </c>
      <c r="E38" s="10">
        <v>5768.1</v>
      </c>
      <c r="F38" s="10">
        <v>105856.31</v>
      </c>
    </row>
    <row r="39" spans="1:6" x14ac:dyDescent="0.25">
      <c r="A39" s="8">
        <v>35</v>
      </c>
      <c r="B39" s="10">
        <v>105856.31</v>
      </c>
      <c r="C39" s="10">
        <v>882.14</v>
      </c>
      <c r="D39" s="10">
        <v>4885.97</v>
      </c>
      <c r="E39" s="10">
        <v>5768.1</v>
      </c>
      <c r="F39" s="10">
        <v>100970.34</v>
      </c>
    </row>
    <row r="40" spans="1:6" x14ac:dyDescent="0.25">
      <c r="A40" s="8">
        <v>36</v>
      </c>
      <c r="B40" s="10">
        <v>100970.34</v>
      </c>
      <c r="C40" s="10">
        <v>841.42</v>
      </c>
      <c r="D40" s="10">
        <v>4926.68</v>
      </c>
      <c r="E40" s="10">
        <v>5768.1</v>
      </c>
      <c r="F40" s="10">
        <v>96043.66</v>
      </c>
    </row>
    <row r="41" spans="1:6" x14ac:dyDescent="0.25">
      <c r="A41" s="8">
        <v>37</v>
      </c>
      <c r="B41" s="10">
        <v>96043.66</v>
      </c>
      <c r="C41" s="10">
        <v>800.36</v>
      </c>
      <c r="D41" s="10">
        <v>4967.74</v>
      </c>
      <c r="E41" s="10">
        <v>5768.1</v>
      </c>
      <c r="F41" s="10">
        <v>91075.92</v>
      </c>
    </row>
    <row r="42" spans="1:6" x14ac:dyDescent="0.25">
      <c r="A42" s="8">
        <v>38</v>
      </c>
      <c r="B42" s="10">
        <v>91075.92</v>
      </c>
      <c r="C42" s="10">
        <v>758.97</v>
      </c>
      <c r="D42" s="10">
        <v>5009.1400000000003</v>
      </c>
      <c r="E42" s="10">
        <v>5768.1</v>
      </c>
      <c r="F42" s="10">
        <v>86066.79</v>
      </c>
    </row>
    <row r="43" spans="1:6" x14ac:dyDescent="0.25">
      <c r="A43" s="8">
        <v>39</v>
      </c>
      <c r="B43" s="10">
        <v>86066.79</v>
      </c>
      <c r="C43" s="10">
        <v>717.22</v>
      </c>
      <c r="D43" s="10">
        <v>5050.88</v>
      </c>
      <c r="E43" s="10">
        <v>5768.1</v>
      </c>
      <c r="F43" s="10">
        <v>81015.91</v>
      </c>
    </row>
    <row r="44" spans="1:6" x14ac:dyDescent="0.25">
      <c r="A44" s="8">
        <v>40</v>
      </c>
      <c r="B44" s="10">
        <v>81015.91</v>
      </c>
      <c r="C44" s="10">
        <v>675.13</v>
      </c>
      <c r="D44" s="10">
        <v>5092.97</v>
      </c>
      <c r="E44" s="10">
        <v>5768.1</v>
      </c>
      <c r="F44" s="10">
        <v>75922.94</v>
      </c>
    </row>
    <row r="45" spans="1:6" x14ac:dyDescent="0.25">
      <c r="A45" s="8">
        <v>41</v>
      </c>
      <c r="B45" s="10">
        <v>75922.94</v>
      </c>
      <c r="C45" s="10">
        <v>632.69000000000005</v>
      </c>
      <c r="D45" s="10">
        <v>5135.41</v>
      </c>
      <c r="E45" s="10">
        <v>5768.1</v>
      </c>
      <c r="F45" s="10">
        <v>70787.53</v>
      </c>
    </row>
    <row r="46" spans="1:6" x14ac:dyDescent="0.25">
      <c r="A46" s="8">
        <v>42</v>
      </c>
      <c r="B46" s="10">
        <v>70787.53</v>
      </c>
      <c r="C46" s="10">
        <v>589.9</v>
      </c>
      <c r="D46" s="10">
        <v>5178.21</v>
      </c>
      <c r="E46" s="10">
        <v>5768.1</v>
      </c>
      <c r="F46" s="10">
        <v>65609.320000000007</v>
      </c>
    </row>
    <row r="47" spans="1:6" x14ac:dyDescent="0.25">
      <c r="A47" s="8">
        <v>43</v>
      </c>
      <c r="B47" s="10">
        <v>65609.320000000007</v>
      </c>
      <c r="C47" s="10">
        <v>546.74</v>
      </c>
      <c r="D47" s="10">
        <v>5221.3599999999997</v>
      </c>
      <c r="E47" s="10">
        <v>5768.1</v>
      </c>
      <c r="F47" s="10">
        <v>60387.97</v>
      </c>
    </row>
    <row r="48" spans="1:6" x14ac:dyDescent="0.25">
      <c r="A48" s="8">
        <v>44</v>
      </c>
      <c r="B48" s="10">
        <v>60387.97</v>
      </c>
      <c r="C48" s="10">
        <v>503.23</v>
      </c>
      <c r="D48" s="10">
        <v>5264.87</v>
      </c>
      <c r="E48" s="10">
        <v>5768.1</v>
      </c>
      <c r="F48" s="10">
        <v>55123.1</v>
      </c>
    </row>
    <row r="49" spans="1:6" x14ac:dyDescent="0.25">
      <c r="A49" s="8">
        <v>45</v>
      </c>
      <c r="B49" s="10">
        <v>55123.1</v>
      </c>
      <c r="C49" s="10">
        <v>459.36</v>
      </c>
      <c r="D49" s="10">
        <v>5308.74</v>
      </c>
      <c r="E49" s="10">
        <v>5768.1</v>
      </c>
      <c r="F49" s="10">
        <v>49814.35</v>
      </c>
    </row>
    <row r="50" spans="1:6" x14ac:dyDescent="0.25">
      <c r="A50" s="8">
        <v>46</v>
      </c>
      <c r="B50" s="10">
        <v>49814.35</v>
      </c>
      <c r="C50" s="10">
        <v>415.12</v>
      </c>
      <c r="D50" s="10">
        <v>5352.98</v>
      </c>
      <c r="E50" s="10">
        <v>5768.1</v>
      </c>
      <c r="F50" s="10">
        <v>44461.37</v>
      </c>
    </row>
    <row r="51" spans="1:6" x14ac:dyDescent="0.25">
      <c r="A51" s="8">
        <v>47</v>
      </c>
      <c r="B51" s="10">
        <v>44461.37</v>
      </c>
      <c r="C51" s="10">
        <v>370.51</v>
      </c>
      <c r="D51" s="10">
        <v>5397.59</v>
      </c>
      <c r="E51" s="10">
        <v>5768.1</v>
      </c>
      <c r="F51" s="10">
        <v>39063.78</v>
      </c>
    </row>
    <row r="52" spans="1:6" x14ac:dyDescent="0.25">
      <c r="A52" s="8">
        <v>48</v>
      </c>
      <c r="B52" s="10">
        <v>39063.78</v>
      </c>
      <c r="C52" s="10">
        <v>325.52999999999997</v>
      </c>
      <c r="D52" s="10">
        <v>5442.57</v>
      </c>
      <c r="E52" s="10">
        <v>5768.1</v>
      </c>
      <c r="F52" s="10">
        <v>33621.21</v>
      </c>
    </row>
    <row r="53" spans="1:6" x14ac:dyDescent="0.25">
      <c r="A53" s="8">
        <v>49</v>
      </c>
      <c r="B53" s="10">
        <v>33621.21</v>
      </c>
      <c r="C53" s="10">
        <v>280.18</v>
      </c>
      <c r="D53" s="10">
        <v>5487.93</v>
      </c>
      <c r="E53" s="10">
        <v>5768.1</v>
      </c>
      <c r="F53" s="10">
        <v>28133.29</v>
      </c>
    </row>
    <row r="54" spans="1:6" x14ac:dyDescent="0.25">
      <c r="A54" s="8">
        <v>50</v>
      </c>
      <c r="B54" s="10">
        <v>28133.29</v>
      </c>
      <c r="C54" s="10">
        <v>234.44</v>
      </c>
      <c r="D54" s="10">
        <v>5533.66</v>
      </c>
      <c r="E54" s="10">
        <v>5768.1</v>
      </c>
      <c r="F54" s="10">
        <v>22599.63</v>
      </c>
    </row>
    <row r="55" spans="1:6" x14ac:dyDescent="0.25">
      <c r="A55" s="8">
        <v>51</v>
      </c>
      <c r="B55" s="10">
        <v>22599.63</v>
      </c>
      <c r="C55" s="10">
        <v>188.33</v>
      </c>
      <c r="D55" s="10">
        <v>5579.77</v>
      </c>
      <c r="E55" s="10">
        <v>5768.1</v>
      </c>
      <c r="F55" s="10">
        <v>17019.86</v>
      </c>
    </row>
    <row r="56" spans="1:6" x14ac:dyDescent="0.25">
      <c r="A56" s="8">
        <v>52</v>
      </c>
      <c r="B56" s="10">
        <v>17019.86</v>
      </c>
      <c r="C56" s="10">
        <v>141.83000000000001</v>
      </c>
      <c r="D56" s="10">
        <v>5626.27</v>
      </c>
      <c r="E56" s="10">
        <v>5768.1</v>
      </c>
      <c r="F56" s="10">
        <v>11393.59</v>
      </c>
    </row>
    <row r="57" spans="1:6" x14ac:dyDescent="0.25">
      <c r="A57" s="8">
        <v>53</v>
      </c>
      <c r="B57" s="10">
        <v>11393.59</v>
      </c>
      <c r="C57" s="10">
        <v>94.95</v>
      </c>
      <c r="D57" s="10">
        <v>5673.16</v>
      </c>
      <c r="E57" s="10">
        <v>5768.1</v>
      </c>
      <c r="F57" s="10">
        <v>5720.43</v>
      </c>
    </row>
    <row r="58" spans="1:6" x14ac:dyDescent="0.25">
      <c r="A58" s="8">
        <v>54</v>
      </c>
      <c r="B58" s="10">
        <v>5720.43</v>
      </c>
      <c r="C58" s="10">
        <v>47.67</v>
      </c>
      <c r="D58" s="10">
        <v>5720.43</v>
      </c>
      <c r="E58" s="10">
        <v>5768.1</v>
      </c>
      <c r="F58" s="10">
        <v>0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Fleet_Schedule</vt:lpstr>
      <vt:lpstr>Cash_Flow</vt:lpstr>
      <vt:lpstr>Income_Statement</vt:lpstr>
      <vt:lpstr>Balance_Sheet</vt:lpstr>
      <vt:lpstr>Loan_Amortisation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Sebbi Kankondi</cp:lastModifiedBy>
  <dcterms:created xsi:type="dcterms:W3CDTF">2026-04-29T14:30:58Z</dcterms:created>
  <dcterms:modified xsi:type="dcterms:W3CDTF">2026-04-29T14:57:08Z</dcterms:modified>
</cp:coreProperties>
</file>