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1" activeTab="1" autoFilterDateGrouping="1"/>
  </bookViews>
  <sheets>
    <sheet name="Assumptions" sheetId="1" state="visible" r:id="rId1"/>
    <sheet name="Fleet_Schedule" sheetId="2" state="visible" r:id="rId2"/>
    <sheet name="Cash_Flow" sheetId="3" state="visible" r:id="rId3"/>
    <sheet name="Income_Statement" sheetId="4" state="visible" r:id="rId4"/>
    <sheet name="Balance_Sheet" sheetId="5" state="visible" r:id="rId5"/>
    <sheet name="Loan_Amortisati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&quot;N$&quot;#,##0_);[Red]&quot;(N$&quot;#,##0\);\-_);_(@_)"/>
    <numFmt numFmtId="165" formatCode="#,##0_);[Red]\(#,##0\);\-_);_(@_)"/>
    <numFmt numFmtId="166" formatCode="0.0%"/>
    <numFmt numFmtId="167" formatCode="&quot;N$&quot; #,##0.00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1F4E79"/>
      <sz val="14"/>
    </font>
    <font>
      <name val="Calibri"/>
      <charset val="1"/>
      <b val="1"/>
      <color rgb="FFFFFFFF"/>
      <sz val="11"/>
    </font>
    <font>
      <name val="Calibri"/>
      <charset val="1"/>
      <color rgb="FF0000FF"/>
      <sz val="11"/>
    </font>
    <font>
      <name val="Calibri"/>
      <charset val="1"/>
      <color rgb="FF000000"/>
      <sz val="11"/>
    </font>
    <font>
      <name val="Arial"/>
      <family val="2"/>
      <sz val="10"/>
    </font>
    <font>
      <name val="Tahoma"/>
      <charset val="1"/>
      <b val="1"/>
      <color indexed="81"/>
      <sz val="11"/>
    </font>
    <font>
      <name val="Tahoma"/>
      <charset val="1"/>
      <color indexed="81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2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6" fontId="3" fillId="0" borderId="1" applyAlignment="1" pivotButton="0" quotePrefix="0" xfId="0">
      <alignment horizontal="right" vertical="center" wrapText="1"/>
    </xf>
    <xf numFmtId="166" fontId="4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 wrapText="1"/>
    </xf>
    <xf numFmtId="164" fontId="8" fillId="0" borderId="1" applyAlignment="1" pivotButton="0" quotePrefix="0" xfId="0">
      <alignment horizontal="right" vertical="center" wrapText="1"/>
    </xf>
    <xf numFmtId="166" fontId="8" fillId="0" borderId="1" applyAlignment="1" pivotButton="0" quotePrefix="0" xfId="0">
      <alignment horizontal="right" vertical="center" wrapText="1"/>
    </xf>
    <xf numFmtId="0" fontId="1" fillId="0" borderId="0" pivotButton="0" quotePrefix="0" xfId="0"/>
    <xf numFmtId="164" fontId="0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right" vertical="center" wrapText="1"/>
    </xf>
    <xf numFmtId="164" fontId="0" fillId="0" borderId="3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center" vertical="center" wrapText="1"/>
    </xf>
    <xf numFmtId="0" fontId="10" fillId="3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right" vertical="center" wrapText="1"/>
    </xf>
    <xf numFmtId="167" fontId="0" fillId="0" borderId="0" pivotButton="0" quotePrefix="0" xfId="0"/>
    <xf numFmtId="167" fontId="8" fillId="0" borderId="1" applyAlignment="1" pivotButton="0" quotePrefix="0" xfId="0">
      <alignment horizontal="right" vertical="center" wrapText="1"/>
    </xf>
    <xf numFmtId="10" fontId="4" fillId="0" borderId="1" applyAlignment="1" pivotButton="0" quotePrefix="0" xfId="0">
      <alignment horizontal="right" vertical="center" wrapText="1"/>
    </xf>
    <xf numFmtId="1" fontId="0" fillId="0" borderId="1" applyAlignment="1" pivotButton="0" quotePrefix="0" xfId="0">
      <alignment horizontal="right" vertical="center" wrapText="1"/>
    </xf>
    <xf numFmtId="0" fontId="0" fillId="0" borderId="7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OpenAI</author>
  </authors>
  <commentList>
    <comment ref="B5" authorId="0" shapeId="0">
      <text>
        <t>Source: user instruction in this chat. Monthly gross revenue per car set to N$30,000.</t>
      </text>
    </comment>
    <comment ref="B6" authorId="0" shapeId="0">
      <text>
        <t>Source: user instruction in this chat. Trigger vehicle disposal once monthly gross profit reaches N$180,000 or more.</t>
      </text>
    </comment>
    <comment ref="B11" authorId="0" shapeId="0">
      <text>
        <t>Source: user instruction in this chat. Maintenance expense set to zero.</t>
      </text>
    </comment>
    <comment ref="B33" authorId="0" shapeId="0">
      <text>
        <t>Source: uploaded PDF "loan_repayment_value_infor_source.pdf". Payment start month aligned to month 5.</t>
      </text>
    </comment>
  </commentList>
</comments>
</file>

<file path=xl/comments/comment2.xml><?xml version="1.0" encoding="utf-8"?>
<comments xmlns="http://schemas.openxmlformats.org/spreadsheetml/2006/main">
  <authors>
    <author>Sebbi Kankondi</author>
  </authors>
  <commentList>
    <comment ref="A2" authorId="0" shapeId="0">
      <text>
        <t>Sebbi Kankondi:
Cash flow includes prime-linked amortising bank debt, owner/investor repayments and profit distributions, and reinvestment purchases when available cash can fund at least the minimum batch size.</t>
      </text>
    </comment>
    <comment ref="B3" authorId="0" shapeId="0">
      <text>
        <t>Sebbi Kankondi:
Initial capital introduced prior to operational cash flow measurement - should not appear in the annual movement line as a normal financing inflow.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zoomScale="145" zoomScaleNormal="145" workbookViewId="0">
      <pane ySplit="3" topLeftCell="A11" activePane="bottomLeft" state="frozen"/>
      <selection pane="bottomLeft" activeCell="B5" sqref="B5"/>
    </sheetView>
  </sheetViews>
  <sheetFormatPr baseColWidth="8" defaultColWidth="8.7109375" defaultRowHeight="15" customHeight="1"/>
  <cols>
    <col width="41" customWidth="1" min="1" max="1"/>
    <col width="18" customWidth="1" min="2" max="3"/>
    <col width="80" customWidth="1" min="4" max="4"/>
  </cols>
  <sheetData>
    <row r="1" ht="18.75" customHeight="1">
      <c r="A1" s="20" t="inlineStr">
        <is>
          <t>Namibia Rent-to-Own Fleet Model - Key Assumptions (Editable)</t>
        </is>
      </c>
    </row>
    <row r="2"/>
    <row r="3">
      <c r="A3" s="2" t="inlineStr">
        <is>
          <t>Assumption</t>
        </is>
      </c>
      <c r="B3" s="2" t="inlineStr">
        <is>
          <t>Value</t>
        </is>
      </c>
      <c r="C3" s="2" t="inlineStr">
        <is>
          <t>Units</t>
        </is>
      </c>
      <c r="D3" s="2" t="inlineStr">
        <is>
          <t>Notes / Source</t>
        </is>
      </c>
    </row>
    <row r="4">
      <c r="A4" s="22" t="inlineStr">
        <is>
          <t>Car unit cost</t>
        </is>
      </c>
      <c r="B4" s="3" t="n">
        <v>60000</v>
      </c>
      <c r="C4" s="22" t="inlineStr">
        <is>
          <t>N$ per car</t>
        </is>
      </c>
      <c r="D4" s="22" t="inlineStr">
        <is>
          <t>N$250,000 / 4 cars</t>
        </is>
      </c>
    </row>
    <row r="5">
      <c r="A5" s="22" t="inlineStr">
        <is>
          <t>Monthly Gross revenue per car</t>
        </is>
      </c>
      <c r="B5" s="3" t="n">
        <v>30000</v>
      </c>
      <c r="C5" s="22" t="inlineStr">
        <is>
          <t>N$ / car / month</t>
        </is>
      </c>
      <c r="D5" s="22" t="n"/>
    </row>
    <row r="6" ht="30" customHeight="1">
      <c r="A6" s="22" t="inlineStr">
        <is>
          <t>Vehicle disposal trigger</t>
        </is>
      </c>
      <c r="B6" s="23" t="n">
        <v>2</v>
      </c>
      <c r="C6" s="22" t="inlineStr">
        <is>
          <t>Years</t>
        </is>
      </c>
      <c r="D6" s="22" t="inlineStr">
        <is>
          <t>car trigger for the disposal (with no disposal revenue) of all vehicles.</t>
        </is>
      </c>
    </row>
    <row r="7">
      <c r="A7" s="22" t="inlineStr">
        <is>
          <t>Procurement lead time</t>
        </is>
      </c>
      <c r="B7" s="4" t="n">
        <v>3</v>
      </c>
      <c r="C7" s="22" t="inlineStr">
        <is>
          <t>months</t>
        </is>
      </c>
      <c r="D7" s="22" t="inlineStr">
        <is>
          <t>Estimate time from vehicle order to start of operation</t>
        </is>
      </c>
    </row>
    <row r="8" ht="30" customHeight="1">
      <c r="A8" s="22" t="inlineStr">
        <is>
          <t>Fuel expense per operating car (monthly)</t>
        </is>
      </c>
      <c r="B8" s="3" t="n">
        <v>13000</v>
      </c>
      <c r="C8" s="22" t="inlineStr">
        <is>
          <t>N$ / car / month</t>
        </is>
      </c>
      <c r="D8" s="22" t="inlineStr">
        <is>
          <t>Over-estimated fuel expense based on Swakopmund operations ratio of N$18,000 made for every N$7,000 spent on fuel</t>
        </is>
      </c>
    </row>
    <row r="9" ht="30" customHeight="1">
      <c r="A9" s="22" t="inlineStr">
        <is>
          <t>Airtime expense per operating car (monthly)</t>
        </is>
      </c>
      <c r="B9" s="3" t="n">
        <v>290</v>
      </c>
      <c r="C9" s="22" t="inlineStr">
        <is>
          <t>N$ / car / month</t>
        </is>
      </c>
      <c r="D9" s="22" t="inlineStr">
        <is>
          <t>Airtime for yango drivers and tracking device</t>
        </is>
      </c>
    </row>
    <row r="10" ht="30" customHeight="1">
      <c r="A10" s="22" t="inlineStr">
        <is>
          <t>Carwash expense per operating car (monthly)</t>
        </is>
      </c>
      <c r="B10" s="3" t="n">
        <v>240</v>
      </c>
      <c r="C10" s="22" t="inlineStr">
        <is>
          <t>N$ / car / month</t>
        </is>
      </c>
      <c r="D10" s="22" t="n"/>
    </row>
    <row r="11" ht="30" customHeight="1">
      <c r="A11" s="22" t="inlineStr">
        <is>
          <t>Maintenance expense per active car (monthly)</t>
        </is>
      </c>
      <c r="B11" s="3" t="n">
        <v>1250</v>
      </c>
      <c r="C11" s="22" t="inlineStr">
        <is>
          <t>N$ / car / month</t>
        </is>
      </c>
      <c r="D11" s="22" t="inlineStr">
        <is>
          <t>Maintenance cost included in salary expense</t>
        </is>
      </c>
    </row>
    <row r="12">
      <c r="A12" t="inlineStr">
        <is>
          <t>Driver subsistence</t>
        </is>
      </c>
      <c r="B12" s="24" t="n">
        <v>1400</v>
      </c>
      <c r="C12" t="inlineStr">
        <is>
          <t>N$ / car / month</t>
        </is>
      </c>
      <c r="D12" t="inlineStr">
        <is>
          <t>For client upkeep</t>
        </is>
      </c>
    </row>
    <row r="13" ht="30" customHeight="1">
      <c r="A13" t="inlineStr">
        <is>
          <t>Incidental repair reserve</t>
        </is>
      </c>
      <c r="B13" s="24" t="n">
        <v>500</v>
      </c>
      <c r="C13" t="inlineStr">
        <is>
          <t>N$ / car / month</t>
        </is>
      </c>
      <c r="D13" t="inlineStr">
        <is>
          <t>Internal repair insurance</t>
        </is>
      </c>
    </row>
    <row r="14">
      <c r="A14" t="inlineStr">
        <is>
          <t>Tracking device expense</t>
        </is>
      </c>
      <c r="B14" s="24" t="n">
        <v>950</v>
      </c>
      <c r="C14" t="inlineStr">
        <is>
          <t>N$ / car / month</t>
        </is>
      </c>
      <c r="D14" t="inlineStr">
        <is>
          <t>Monthly payment for 3 year contract. 1 tracking device &amp; 1 dashcam.</t>
        </is>
      </c>
    </row>
    <row r="15" ht="30" customHeight="1">
      <c r="A15" t="inlineStr">
        <is>
          <t>Cost of sales</t>
        </is>
      </c>
      <c r="B15" s="24" t="n">
        <v>17630</v>
      </c>
      <c r="C15" t="inlineStr">
        <is>
          <t>N$ / car / month</t>
        </is>
      </c>
      <c r="D15" t="inlineStr">
        <is>
          <t>fuel+airtime+carwash+maintenance+subsistence+repairs+tracking.</t>
        </is>
      </c>
    </row>
    <row r="16" ht="30" customHeight="1">
      <c r="A16" t="inlineStr">
        <is>
          <t>Monthly Gross profit per car</t>
        </is>
      </c>
      <c r="B16" s="24" t="n">
        <v>12370</v>
      </c>
      <c r="C16" t="inlineStr">
        <is>
          <t>N$ / car / month</t>
        </is>
      </c>
      <c r="D16" t="inlineStr">
        <is>
          <t>Calculated = gross revenue less direct running costs before salary.</t>
        </is>
      </c>
    </row>
    <row r="17" ht="30" customHeight="1">
      <c r="A17" t="inlineStr">
        <is>
          <t>Salary expense per operating car (monthly)</t>
        </is>
      </c>
      <c r="B17" s="24" t="n">
        <v>3000</v>
      </c>
      <c r="C17" t="inlineStr">
        <is>
          <t>N$ / car / month</t>
        </is>
      </c>
      <c r="D17" t="inlineStr">
        <is>
          <t>For General manager + Operations supervisor</t>
        </is>
      </c>
    </row>
    <row r="18">
      <c r="A18" t="inlineStr">
        <is>
          <t>Total operating expenses per operating car (monthly)</t>
        </is>
      </c>
      <c r="B18" s="24" t="n">
        <v>3000</v>
      </c>
      <c r="C18" t="inlineStr">
        <is>
          <t>N$ / car / month</t>
        </is>
      </c>
      <c r="D18" t="inlineStr">
        <is>
          <t>Calculated = fuel + airtime + carwash + maintenance + salary.</t>
        </is>
      </c>
    </row>
    <row r="19" ht="30" customHeight="1">
      <c r="A19" t="inlineStr">
        <is>
          <t>Operating Profit</t>
        </is>
      </c>
      <c r="B19" s="24" t="n">
        <v>9370</v>
      </c>
      <c r="C19" t="inlineStr">
        <is>
          <t>N$ / car / month</t>
        </is>
      </c>
      <c r="D19" t="inlineStr">
        <is>
          <t>Gross profit - Value for Operating Expense.</t>
        </is>
      </c>
    </row>
    <row r="20" ht="30" customHeight="1">
      <c r="A20" s="22" t="inlineStr">
        <is>
          <t>Min reinvest purchase batch size</t>
        </is>
      </c>
      <c r="B20" s="4" t="n">
        <v>4</v>
      </c>
      <c r="C20" s="22" t="inlineStr">
        <is>
          <t>cars</t>
        </is>
      </c>
      <c r="D20" s="22" t="inlineStr">
        <is>
          <t>Orders are placed only when retained profits can fund the purchase of atleast 4 cars.</t>
        </is>
      </c>
    </row>
    <row r="21" ht="63" customHeight="1">
      <c r="A21" s="22" t="inlineStr">
        <is>
          <t>Corporate income tax rate</t>
        </is>
      </c>
      <c r="B21" s="6" t="n">
        <v>0.32</v>
      </c>
      <c r="C21" s="22" t="inlineStr">
        <is>
          <t>%</t>
        </is>
      </c>
      <c r="D21" s="22" t="inlineStr">
        <is>
          <t>NAMRA rate for CC's</t>
        </is>
      </c>
    </row>
    <row r="22">
      <c r="A22" s="22" t="inlineStr">
        <is>
          <t>Initial owner/investor equity</t>
        </is>
      </c>
      <c r="B22" s="11" t="n">
        <v>250000</v>
      </c>
      <c r="C22" s="22" t="inlineStr">
        <is>
          <t>N$</t>
        </is>
      </c>
      <c r="D22" s="22" t="inlineStr">
        <is>
          <t xml:space="preserve">Initial funding from 1 company member for the first batch of 4 cars </t>
        </is>
      </c>
    </row>
    <row r="23" ht="30" customHeight="1">
      <c r="A23" s="22" t="inlineStr">
        <is>
          <t>Bank loan draw (batch 2)</t>
        </is>
      </c>
      <c r="B23" s="3" t="n">
        <v>250000</v>
      </c>
      <c r="C23" s="22" t="inlineStr">
        <is>
          <t>N$</t>
        </is>
      </c>
      <c r="D23" s="22" t="inlineStr">
        <is>
          <t>Proposed bank loan amount to help fund the second batch of 8 cars</t>
        </is>
      </c>
    </row>
    <row r="24">
      <c r="A24" s="22" t="inlineStr">
        <is>
          <t>Bank loan draw month (operating month index)</t>
        </is>
      </c>
      <c r="B24" s="4" t="n">
        <v>5</v>
      </c>
      <c r="C24" s="22" t="inlineStr">
        <is>
          <t>month #</t>
        </is>
      </c>
      <c r="D24" s="22" t="inlineStr">
        <is>
          <t>Bank loan request to be made after the first 4 months of operation.</t>
        </is>
      </c>
    </row>
    <row r="25">
      <c r="A25" s="22" t="inlineStr">
        <is>
          <t>Bank monthly instalment (principal + interest)</t>
        </is>
      </c>
      <c r="B25" s="25">
        <f>-PMT(B32,B31,B23)</f>
        <v/>
      </c>
      <c r="C25" s="22" t="inlineStr">
        <is>
          <t>N$ / month</t>
        </is>
      </c>
      <c r="D25" s="22" t="inlineStr">
        <is>
          <t>Monthly instalment modelled as PMT (fixed periodic repayment) at 10.00% p.a. over 54 months on N$250,000.</t>
        </is>
      </c>
    </row>
    <row r="26">
      <c r="A26" s="22" t="inlineStr">
        <is>
          <t>Bank nominal annual interest rate</t>
        </is>
      </c>
      <c r="B26" s="12" t="n">
        <v>0.1</v>
      </c>
      <c r="C26" s="22" t="inlineStr">
        <is>
          <t>%</t>
        </is>
      </c>
      <c r="D26" s="22" t="inlineStr">
        <is>
          <t xml:space="preserve">Model uses prime-linked nominal annual rate.
Prime rate anchor: Bank of Namibia (BoN) MPC statement (repo 6.50% -&gt; prime expected 10.00%): 
Bank Windhoek published prime lending rate (10.000% effective 29 Dec 2025): </t>
        </is>
      </c>
    </row>
    <row r="27">
      <c r="A27" s="22" t="inlineStr">
        <is>
          <t>Owner/investor equity injection (batch 2)</t>
        </is>
      </c>
      <c r="B27" s="3" t="n">
        <v>250000</v>
      </c>
      <c r="C27" s="22" t="inlineStr">
        <is>
          <t>N$</t>
        </is>
      </c>
      <c r="D27" s="22" t="inlineStr">
        <is>
          <t>Additional N$250,000 from 1 company member to help fund the second batch of 8 cars</t>
        </is>
      </c>
    </row>
    <row r="28">
      <c r="A28" s="22" t="inlineStr">
        <is>
          <t>Owner second injection month (operating month index)</t>
        </is>
      </c>
      <c r="B28" s="4" t="n">
        <v>5</v>
      </c>
      <c r="C28" s="22" t="inlineStr">
        <is>
          <t>month #</t>
        </is>
      </c>
      <c r="D28" s="22" t="inlineStr">
        <is>
          <t>Second phase of owner funding to be made after the first 4 months of operation</t>
        </is>
      </c>
    </row>
    <row r="29">
      <c r="A29" s="22" t="inlineStr">
        <is>
          <t>Initial cars in operation (month 1)</t>
        </is>
      </c>
      <c r="B29" s="4" t="n">
        <v>4</v>
      </c>
      <c r="C29" s="22" t="inlineStr">
        <is>
          <t>cars</t>
        </is>
      </c>
      <c r="D29" s="22" t="inlineStr">
        <is>
          <t>Initial batch of 4 cars.</t>
        </is>
      </c>
    </row>
    <row r="30" ht="30" customHeight="1">
      <c r="A30" s="22" t="inlineStr">
        <is>
          <t>Model horizon</t>
        </is>
      </c>
      <c r="B30" s="4" t="n">
        <v>60</v>
      </c>
      <c r="C30" s="22" t="inlineStr">
        <is>
          <t>months</t>
        </is>
      </c>
      <c r="D30" s="22" t="inlineStr">
        <is>
          <t>5 years monthly.</t>
        </is>
      </c>
    </row>
    <row r="31">
      <c r="A31" s="22" t="inlineStr">
        <is>
          <t>Bank loan term</t>
        </is>
      </c>
      <c r="B31" s="4" t="n">
        <v>54</v>
      </c>
      <c r="C31" s="22" t="inlineStr">
        <is>
          <t>months</t>
        </is>
      </c>
      <c r="D31" s="22" t="inlineStr">
        <is>
          <t>Uploaded PDF recommendation: 54-month amortising facility.</t>
        </is>
      </c>
    </row>
    <row r="32" ht="30" customHeight="1">
      <c r="A32" s="22" t="inlineStr">
        <is>
          <t>Bank monthly interest rate</t>
        </is>
      </c>
      <c r="B32" s="26">
        <f>B26/12</f>
        <v/>
      </c>
      <c r="C32" s="22" t="inlineStr">
        <is>
          <t>% / month</t>
        </is>
      </c>
      <c r="D32" s="22" t="inlineStr">
        <is>
          <t>Calculated from the annual nominal rate.</t>
        </is>
      </c>
    </row>
    <row r="33" ht="30" customHeight="1">
      <c r="A33" s="22" t="inlineStr">
        <is>
          <t>Bank payment start month</t>
        </is>
      </c>
      <c r="B33" s="4" t="n">
        <v>5</v>
      </c>
      <c r="C33" s="22" t="inlineStr">
        <is>
          <t>month #</t>
        </is>
      </c>
      <c r="D33" s="22" t="inlineStr">
        <is>
          <t>Aligned to the draw month per the uploaded PDF.</t>
        </is>
      </c>
    </row>
    <row r="34">
      <c r="A34" s="22" t="inlineStr">
        <is>
          <t>Investor payout per car per month</t>
        </is>
      </c>
      <c r="B34" s="3" t="n">
        <v>3000</v>
      </c>
      <c r="C34" s="22" t="inlineStr">
        <is>
          <t>N$ / car / month</t>
        </is>
      </c>
      <c r="D34" s="22" t="inlineStr">
        <is>
          <t>Set aside N$3,000 per car per month for each N$250,000 owner/investor amount.</t>
        </is>
      </c>
    </row>
    <row r="35">
      <c r="A35" s="22" t="inlineStr">
        <is>
          <t>Batch 1 investor payout start month</t>
        </is>
      </c>
      <c r="B35" s="8" t="n">
        <v>1</v>
      </c>
      <c r="C35" s="22" t="inlineStr">
        <is>
          <t>month #</t>
        </is>
      </c>
      <c r="D35" s="22" t="inlineStr">
        <is>
          <t>Payouts begin once the cars funded by the second owner/investor tranche start operating.</t>
        </is>
      </c>
    </row>
    <row r="36">
      <c r="A36" s="22" t="inlineStr">
        <is>
          <t>Batch 2 investor payout start month</t>
        </is>
      </c>
      <c r="B36" s="27" t="n">
        <v>8</v>
      </c>
      <c r="C36" s="22" t="inlineStr">
        <is>
          <t>month #</t>
        </is>
      </c>
      <c r="D36" s="22" t="inlineStr">
        <is>
          <t>Payouts begin once the cars funded by the second owner/investor tranche start operating.</t>
        </is>
      </c>
    </row>
  </sheetData>
  <mergeCells count="1">
    <mergeCell ref="A1:D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tabSelected="1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E61" sqref="E61"/>
    </sheetView>
  </sheetViews>
  <sheetFormatPr baseColWidth="8" defaultColWidth="8.7109375" defaultRowHeight="15" customHeight="1"/>
  <cols>
    <col width="10" customWidth="1" min="1" max="3"/>
    <col width="24" customWidth="1" min="4" max="11"/>
    <col width="18" customWidth="1" min="12" max="12"/>
  </cols>
  <sheetData>
    <row r="1" ht="17.25" customHeight="1">
      <c r="A1" s="20" t="inlineStr">
        <is>
          <t>Fleet schedule (all cars combined) - monthly counts</t>
        </is>
      </c>
    </row>
    <row r="2" ht="31.5" customHeight="1">
      <c r="A2" s="2" t="inlineStr">
        <is>
          <t>Month #</t>
        </is>
      </c>
      <c r="B2" s="2" t="inlineStr">
        <is>
          <t>Fiscal Year</t>
        </is>
      </c>
      <c r="C2" s="2" t="inlineStr">
        <is>
          <t>Month in FY</t>
        </is>
      </c>
      <c r="D2" s="2" t="inlineStr">
        <is>
          <t>Cars Purchased (orders placed)</t>
        </is>
      </c>
      <c r="E2" s="2" t="inlineStr">
        <is>
          <t>Cars Delivered (start operating)</t>
        </is>
      </c>
      <c r="F2" s="2" t="inlineStr">
        <is>
          <t>Cars In Pipeline (not yet operating)</t>
        </is>
      </c>
      <c r="G2" s="2" t="inlineStr">
        <is>
          <t>Cars in Rent-to-Own Operation</t>
        </is>
      </c>
      <c r="H2" s="15" t="inlineStr">
        <is>
          <t xml:space="preserve">Total Cars </t>
        </is>
      </c>
      <c r="I2" s="2" t="inlineStr">
        <is>
          <t>Total Cars In Operation (Cummulative)</t>
        </is>
      </c>
      <c r="J2" s="2" t="inlineStr">
        <is>
          <t>Cars Disposed (end of month)</t>
        </is>
      </c>
      <c r="K2" s="15" t="inlineStr">
        <is>
          <t xml:space="preserve"> Total Cars Disposed (Cummulative)</t>
        </is>
      </c>
    </row>
    <row r="3">
      <c r="A3" s="9" t="n">
        <v>1</v>
      </c>
      <c r="B3" s="8" t="n">
        <v>1</v>
      </c>
      <c r="C3" s="8" t="n">
        <v>1</v>
      </c>
      <c r="D3" s="8" t="n">
        <v>0</v>
      </c>
      <c r="E3" s="8" t="n">
        <v>0</v>
      </c>
      <c r="F3" s="8" t="n">
        <v>0</v>
      </c>
      <c r="G3" s="8" t="n">
        <v>4</v>
      </c>
      <c r="H3" s="8" t="n">
        <v>4</v>
      </c>
      <c r="I3" s="8" t="n">
        <v>4</v>
      </c>
      <c r="J3" s="8" t="n">
        <v>0</v>
      </c>
      <c r="K3" s="8" t="n">
        <v>0</v>
      </c>
    </row>
    <row r="4">
      <c r="A4" s="9" t="n">
        <v>2</v>
      </c>
      <c r="B4" s="8" t="n">
        <v>1</v>
      </c>
      <c r="C4" s="8" t="n">
        <v>2</v>
      </c>
      <c r="D4" s="8" t="n">
        <v>0</v>
      </c>
      <c r="E4" s="8" t="n">
        <v>0</v>
      </c>
      <c r="F4" s="8" t="n">
        <v>0</v>
      </c>
      <c r="G4" s="8" t="n">
        <v>4</v>
      </c>
      <c r="H4" s="8" t="n">
        <v>4</v>
      </c>
      <c r="I4" s="8" t="n">
        <v>4</v>
      </c>
      <c r="J4" s="8" t="n">
        <v>0</v>
      </c>
      <c r="K4" s="8" t="n">
        <v>0</v>
      </c>
    </row>
    <row r="5">
      <c r="A5" s="9" t="n">
        <v>3</v>
      </c>
      <c r="B5" s="8" t="n">
        <v>1</v>
      </c>
      <c r="C5" s="8" t="n">
        <v>3</v>
      </c>
      <c r="D5" s="8" t="n">
        <v>0</v>
      </c>
      <c r="E5" s="8" t="n">
        <v>0</v>
      </c>
      <c r="F5" s="8" t="n">
        <v>0</v>
      </c>
      <c r="G5" s="8" t="n">
        <v>4</v>
      </c>
      <c r="H5" s="8" t="n">
        <v>4</v>
      </c>
      <c r="I5" s="8" t="n">
        <v>4</v>
      </c>
      <c r="J5" s="8" t="n">
        <v>0</v>
      </c>
      <c r="K5" s="8" t="n">
        <v>0</v>
      </c>
    </row>
    <row r="6">
      <c r="A6" s="9" t="n">
        <v>4</v>
      </c>
      <c r="B6" s="8" t="n">
        <v>1</v>
      </c>
      <c r="C6" s="8" t="n">
        <v>4</v>
      </c>
      <c r="D6" s="8" t="n">
        <v>0</v>
      </c>
      <c r="E6" s="8" t="n">
        <v>0</v>
      </c>
      <c r="F6" s="8" t="n">
        <v>0</v>
      </c>
      <c r="G6" s="8" t="n">
        <v>4</v>
      </c>
      <c r="H6" s="8" t="n">
        <v>4</v>
      </c>
      <c r="I6" s="8" t="n">
        <v>4</v>
      </c>
      <c r="J6" s="8" t="n">
        <v>0</v>
      </c>
      <c r="K6" s="8" t="n">
        <v>0</v>
      </c>
    </row>
    <row r="7">
      <c r="A7" s="9" t="n">
        <v>5</v>
      </c>
      <c r="B7" s="8" t="n">
        <v>1</v>
      </c>
      <c r="C7" s="8" t="n">
        <v>5</v>
      </c>
      <c r="D7" s="8" t="n">
        <v>9</v>
      </c>
      <c r="E7" s="8" t="n">
        <v>0</v>
      </c>
      <c r="F7" s="8" t="n">
        <v>9</v>
      </c>
      <c r="G7" s="8" t="n">
        <v>4</v>
      </c>
      <c r="H7" s="8" t="n">
        <v>13</v>
      </c>
      <c r="I7" s="8" t="n">
        <v>4</v>
      </c>
      <c r="J7" s="8" t="n">
        <v>0</v>
      </c>
      <c r="K7" s="8" t="n">
        <v>0</v>
      </c>
    </row>
    <row r="8">
      <c r="A8" s="9" t="n">
        <v>6</v>
      </c>
      <c r="B8" s="8" t="n">
        <v>1</v>
      </c>
      <c r="C8" s="8" t="n">
        <v>6</v>
      </c>
      <c r="D8" s="8" t="n">
        <v>0</v>
      </c>
      <c r="E8" s="8" t="n">
        <v>0</v>
      </c>
      <c r="F8" s="8" t="n">
        <v>9</v>
      </c>
      <c r="G8" s="8" t="n">
        <v>4</v>
      </c>
      <c r="H8" s="8" t="n">
        <v>13</v>
      </c>
      <c r="I8" s="8" t="n">
        <v>4</v>
      </c>
      <c r="J8" s="8" t="n">
        <v>0</v>
      </c>
      <c r="K8" s="8" t="n">
        <v>0</v>
      </c>
    </row>
    <row r="9">
      <c r="A9" s="9" t="n">
        <v>7</v>
      </c>
      <c r="B9" s="8" t="n">
        <v>1</v>
      </c>
      <c r="C9" s="8" t="n">
        <v>7</v>
      </c>
      <c r="D9" s="8" t="n">
        <v>0</v>
      </c>
      <c r="E9" s="8" t="n">
        <v>0</v>
      </c>
      <c r="F9" s="8" t="n">
        <v>9</v>
      </c>
      <c r="G9" s="8" t="n">
        <v>4</v>
      </c>
      <c r="H9" s="8" t="n">
        <v>13</v>
      </c>
      <c r="I9" s="8" t="n">
        <v>4</v>
      </c>
      <c r="J9" s="8" t="n">
        <v>0</v>
      </c>
      <c r="K9" s="8" t="n">
        <v>0</v>
      </c>
    </row>
    <row r="10">
      <c r="A10" s="9" t="n">
        <v>8</v>
      </c>
      <c r="B10" s="8" t="n">
        <v>1</v>
      </c>
      <c r="C10" s="8" t="n">
        <v>8</v>
      </c>
      <c r="D10" s="8" t="n">
        <v>0</v>
      </c>
      <c r="E10" s="8" t="n">
        <v>9</v>
      </c>
      <c r="F10" s="8" t="n">
        <v>0</v>
      </c>
      <c r="G10" s="8" t="n">
        <v>13</v>
      </c>
      <c r="H10" s="8" t="n">
        <v>13</v>
      </c>
      <c r="I10" s="8" t="n">
        <v>13</v>
      </c>
      <c r="J10" s="8" t="n">
        <v>0</v>
      </c>
      <c r="K10" s="8" t="n">
        <v>0</v>
      </c>
    </row>
    <row r="11">
      <c r="A11" s="9" t="n">
        <v>9</v>
      </c>
      <c r="B11" s="8" t="n">
        <v>1</v>
      </c>
      <c r="C11" s="8" t="n">
        <v>9</v>
      </c>
      <c r="D11" s="8" t="n">
        <v>0</v>
      </c>
      <c r="E11" s="8" t="n">
        <v>0</v>
      </c>
      <c r="F11" s="8" t="n">
        <v>0</v>
      </c>
      <c r="G11" s="8" t="n">
        <v>13</v>
      </c>
      <c r="H11" s="8" t="n">
        <v>13</v>
      </c>
      <c r="I11" s="8" t="n">
        <v>13</v>
      </c>
      <c r="J11" s="8" t="n">
        <v>0</v>
      </c>
      <c r="K11" s="8" t="n">
        <v>0</v>
      </c>
    </row>
    <row r="12">
      <c r="A12" s="9" t="n">
        <v>10</v>
      </c>
      <c r="B12" s="8" t="n">
        <v>1</v>
      </c>
      <c r="C12" s="8" t="n">
        <v>10</v>
      </c>
      <c r="D12" s="8" t="n">
        <v>4</v>
      </c>
      <c r="E12" s="8" t="n">
        <v>0</v>
      </c>
      <c r="F12" s="8" t="n">
        <v>4</v>
      </c>
      <c r="G12" s="8" t="n">
        <v>13</v>
      </c>
      <c r="H12" s="8" t="n">
        <v>17</v>
      </c>
      <c r="I12" s="8" t="n">
        <v>13</v>
      </c>
      <c r="J12" s="8" t="n">
        <v>0</v>
      </c>
      <c r="K12" s="8" t="n">
        <v>0</v>
      </c>
    </row>
    <row r="13">
      <c r="A13" s="9" t="n">
        <v>11</v>
      </c>
      <c r="B13" s="8" t="n">
        <v>1</v>
      </c>
      <c r="C13" s="8" t="n">
        <v>11</v>
      </c>
      <c r="D13" s="8" t="n">
        <v>0</v>
      </c>
      <c r="E13" s="8" t="n">
        <v>0</v>
      </c>
      <c r="F13" s="8" t="n">
        <v>4</v>
      </c>
      <c r="G13" s="8" t="n">
        <v>13</v>
      </c>
      <c r="H13" s="8" t="n">
        <v>17</v>
      </c>
      <c r="I13" s="8" t="n">
        <v>13</v>
      </c>
      <c r="J13" s="8" t="n">
        <v>0</v>
      </c>
      <c r="K13" s="8" t="n">
        <v>0</v>
      </c>
    </row>
    <row r="14">
      <c r="A14" s="9" t="n">
        <v>12</v>
      </c>
      <c r="B14" s="8" t="n">
        <v>1</v>
      </c>
      <c r="C14" s="8" t="n">
        <v>12</v>
      </c>
      <c r="D14" s="8" t="n">
        <v>0</v>
      </c>
      <c r="E14" s="8" t="n">
        <v>0</v>
      </c>
      <c r="F14" s="8" t="n">
        <v>4</v>
      </c>
      <c r="G14" s="8" t="n">
        <v>13</v>
      </c>
      <c r="H14" s="8" t="n">
        <v>17</v>
      </c>
      <c r="I14" s="8" t="n">
        <v>13</v>
      </c>
      <c r="J14" s="8" t="n">
        <v>0</v>
      </c>
      <c r="K14" s="8" t="n">
        <v>0</v>
      </c>
    </row>
    <row r="15">
      <c r="A15" s="9" t="n">
        <v>13</v>
      </c>
      <c r="B15" s="8" t="n">
        <v>2</v>
      </c>
      <c r="C15" s="8" t="n">
        <v>1</v>
      </c>
      <c r="D15" s="8" t="n">
        <v>4</v>
      </c>
      <c r="E15" s="8" t="n">
        <v>4</v>
      </c>
      <c r="F15" s="8" t="n">
        <v>4</v>
      </c>
      <c r="G15" s="8" t="n">
        <v>17</v>
      </c>
      <c r="H15" s="8" t="n">
        <v>21</v>
      </c>
      <c r="I15" s="8" t="n">
        <v>17</v>
      </c>
      <c r="J15" s="8" t="n">
        <v>0</v>
      </c>
      <c r="K15" s="8" t="n">
        <v>0</v>
      </c>
    </row>
    <row r="16">
      <c r="A16" s="9" t="n">
        <v>14</v>
      </c>
      <c r="B16" s="8" t="n">
        <v>2</v>
      </c>
      <c r="C16" s="8" t="n">
        <v>2</v>
      </c>
      <c r="D16" s="8" t="n">
        <v>0</v>
      </c>
      <c r="E16" s="8" t="n">
        <v>0</v>
      </c>
      <c r="F16" s="8" t="n">
        <v>4</v>
      </c>
      <c r="G16" s="8" t="n">
        <v>17</v>
      </c>
      <c r="H16" s="8" t="n">
        <v>21</v>
      </c>
      <c r="I16" s="8" t="n">
        <v>17</v>
      </c>
      <c r="J16" s="8" t="n">
        <v>0</v>
      </c>
      <c r="K16" s="8" t="n">
        <v>0</v>
      </c>
    </row>
    <row r="17">
      <c r="A17" s="9" t="n">
        <v>15</v>
      </c>
      <c r="B17" s="8" t="n">
        <v>2</v>
      </c>
      <c r="C17" s="8" t="n">
        <v>3</v>
      </c>
      <c r="D17" s="8" t="n">
        <v>0</v>
      </c>
      <c r="E17" s="8" t="n">
        <v>0</v>
      </c>
      <c r="F17" s="8" t="n">
        <v>4</v>
      </c>
      <c r="G17" s="8" t="n">
        <v>17</v>
      </c>
      <c r="H17" s="8" t="n">
        <v>21</v>
      </c>
      <c r="I17" s="8" t="n">
        <v>17</v>
      </c>
      <c r="J17" s="8" t="n">
        <v>0</v>
      </c>
      <c r="K17" s="8" t="n">
        <v>0</v>
      </c>
    </row>
    <row r="18">
      <c r="A18" s="9" t="n">
        <v>16</v>
      </c>
      <c r="B18" s="8" t="n">
        <v>2</v>
      </c>
      <c r="C18" s="8" t="n">
        <v>4</v>
      </c>
      <c r="D18" s="8" t="n">
        <v>4</v>
      </c>
      <c r="E18" s="8" t="n">
        <v>4</v>
      </c>
      <c r="F18" s="8" t="n">
        <v>4</v>
      </c>
      <c r="G18" s="8" t="n">
        <v>21</v>
      </c>
      <c r="H18" s="8" t="n">
        <v>25</v>
      </c>
      <c r="I18" s="8" t="n">
        <v>21</v>
      </c>
      <c r="J18" s="8" t="n">
        <v>0</v>
      </c>
      <c r="K18" s="8" t="n">
        <v>0</v>
      </c>
    </row>
    <row r="19">
      <c r="A19" s="9" t="n">
        <v>17</v>
      </c>
      <c r="B19" s="8" t="n">
        <v>2</v>
      </c>
      <c r="C19" s="8" t="n">
        <v>5</v>
      </c>
      <c r="D19" s="8" t="n">
        <v>0</v>
      </c>
      <c r="E19" s="8" t="n">
        <v>0</v>
      </c>
      <c r="F19" s="8" t="n">
        <v>4</v>
      </c>
      <c r="G19" s="8" t="n">
        <v>21</v>
      </c>
      <c r="H19" s="8" t="n">
        <v>25</v>
      </c>
      <c r="I19" s="8" t="n">
        <v>21</v>
      </c>
      <c r="J19" s="8" t="n">
        <v>0</v>
      </c>
      <c r="K19" s="8" t="n">
        <v>0</v>
      </c>
    </row>
    <row r="20">
      <c r="A20" s="9" t="n">
        <v>18</v>
      </c>
      <c r="B20" s="8" t="n">
        <v>2</v>
      </c>
      <c r="C20" s="8" t="n">
        <v>6</v>
      </c>
      <c r="D20" s="8" t="n">
        <v>4</v>
      </c>
      <c r="E20" s="8" t="n">
        <v>0</v>
      </c>
      <c r="F20" s="8" t="n">
        <v>8</v>
      </c>
      <c r="G20" s="8" t="n">
        <v>21</v>
      </c>
      <c r="H20" s="8" t="n">
        <v>29</v>
      </c>
      <c r="I20" s="8" t="n">
        <v>21</v>
      </c>
      <c r="J20" s="8" t="n">
        <v>0</v>
      </c>
      <c r="K20" s="8" t="n">
        <v>0</v>
      </c>
    </row>
    <row r="21">
      <c r="A21" s="9" t="n">
        <v>19</v>
      </c>
      <c r="B21" s="8" t="n">
        <v>2</v>
      </c>
      <c r="C21" s="8" t="n">
        <v>7</v>
      </c>
      <c r="D21" s="8" t="n">
        <v>0</v>
      </c>
      <c r="E21" s="8" t="n">
        <v>4</v>
      </c>
      <c r="F21" s="8" t="n">
        <v>4</v>
      </c>
      <c r="G21" s="8" t="n">
        <v>25</v>
      </c>
      <c r="H21" s="8" t="n">
        <v>29</v>
      </c>
      <c r="I21" s="8" t="n">
        <v>25</v>
      </c>
      <c r="J21" s="8" t="n">
        <v>0</v>
      </c>
      <c r="K21" s="8" t="n">
        <v>0</v>
      </c>
    </row>
    <row r="22">
      <c r="A22" s="9" t="n">
        <v>20</v>
      </c>
      <c r="B22" s="8" t="n">
        <v>2</v>
      </c>
      <c r="C22" s="8" t="n">
        <v>8</v>
      </c>
      <c r="D22" s="8" t="n">
        <v>0</v>
      </c>
      <c r="E22" s="8" t="n">
        <v>0</v>
      </c>
      <c r="F22" s="8" t="n">
        <v>4</v>
      </c>
      <c r="G22" s="8" t="n">
        <v>25</v>
      </c>
      <c r="H22" s="8" t="n">
        <v>29</v>
      </c>
      <c r="I22" s="8" t="n">
        <v>25</v>
      </c>
      <c r="J22" s="8" t="n">
        <v>0</v>
      </c>
      <c r="K22" s="8" t="n">
        <v>0</v>
      </c>
    </row>
    <row r="23">
      <c r="A23" s="9" t="n">
        <v>21</v>
      </c>
      <c r="B23" s="8" t="n">
        <v>2</v>
      </c>
      <c r="C23" s="8" t="n">
        <v>9</v>
      </c>
      <c r="D23" s="8" t="n">
        <v>4</v>
      </c>
      <c r="E23" s="8" t="n">
        <v>4</v>
      </c>
      <c r="F23" s="8" t="n">
        <v>4</v>
      </c>
      <c r="G23" s="8" t="n">
        <v>29</v>
      </c>
      <c r="H23" s="8" t="n">
        <v>33</v>
      </c>
      <c r="I23" s="8" t="n">
        <v>29</v>
      </c>
      <c r="J23" s="8" t="n">
        <v>0</v>
      </c>
      <c r="K23" s="8" t="n">
        <v>0</v>
      </c>
    </row>
    <row r="24">
      <c r="A24" s="9" t="n">
        <v>22</v>
      </c>
      <c r="B24" s="8" t="n">
        <v>2</v>
      </c>
      <c r="C24" s="8" t="n">
        <v>10</v>
      </c>
      <c r="D24" s="8" t="n">
        <v>0</v>
      </c>
      <c r="E24" s="8" t="n">
        <v>0</v>
      </c>
      <c r="F24" s="8" t="n">
        <v>4</v>
      </c>
      <c r="G24" s="8" t="n">
        <v>29</v>
      </c>
      <c r="H24" s="8" t="n">
        <v>33</v>
      </c>
      <c r="I24" s="8" t="n">
        <v>29</v>
      </c>
      <c r="J24" s="8" t="n">
        <v>0</v>
      </c>
      <c r="K24" s="8" t="n">
        <v>0</v>
      </c>
    </row>
    <row r="25">
      <c r="A25" s="9" t="n">
        <v>23</v>
      </c>
      <c r="B25" s="8" t="n">
        <v>2</v>
      </c>
      <c r="C25" s="8" t="n">
        <v>11</v>
      </c>
      <c r="D25" s="8" t="n">
        <v>4</v>
      </c>
      <c r="E25" s="8" t="n">
        <v>0</v>
      </c>
      <c r="F25" s="8" t="n">
        <v>8</v>
      </c>
      <c r="G25" s="8" t="n">
        <v>29</v>
      </c>
      <c r="H25" s="8" t="n">
        <v>37</v>
      </c>
      <c r="I25" s="8" t="n">
        <v>29</v>
      </c>
      <c r="J25" s="8" t="n">
        <v>0</v>
      </c>
      <c r="K25" s="8" t="n">
        <v>0</v>
      </c>
    </row>
    <row r="26">
      <c r="A26" s="9" t="n">
        <v>24</v>
      </c>
      <c r="B26" s="8" t="n">
        <v>2</v>
      </c>
      <c r="C26" s="8" t="n">
        <v>12</v>
      </c>
      <c r="D26" s="8" t="n">
        <v>0</v>
      </c>
      <c r="E26" s="8" t="n">
        <v>4</v>
      </c>
      <c r="F26" s="8" t="n">
        <v>4</v>
      </c>
      <c r="G26" s="8" t="n">
        <v>33</v>
      </c>
      <c r="H26" s="8" t="n">
        <v>37</v>
      </c>
      <c r="I26" s="8" t="n">
        <v>33</v>
      </c>
      <c r="J26" s="8" t="n">
        <v>0</v>
      </c>
      <c r="K26" s="8" t="n">
        <v>0</v>
      </c>
    </row>
    <row r="27">
      <c r="A27" s="9" t="n">
        <v>25</v>
      </c>
      <c r="B27" s="8" t="n">
        <v>3</v>
      </c>
      <c r="C27" s="8" t="n">
        <v>1</v>
      </c>
      <c r="D27" s="8" t="n">
        <v>0</v>
      </c>
      <c r="E27" s="8" t="n">
        <v>0</v>
      </c>
      <c r="F27" s="8" t="n">
        <v>4</v>
      </c>
      <c r="G27" s="8" t="n">
        <v>33</v>
      </c>
      <c r="H27" s="8" t="n">
        <v>37</v>
      </c>
      <c r="I27" s="8" t="n">
        <v>33</v>
      </c>
      <c r="J27" s="8" t="n">
        <v>0</v>
      </c>
      <c r="K27" s="8" t="n">
        <v>0</v>
      </c>
    </row>
    <row r="28">
      <c r="A28" s="9" t="n">
        <v>26</v>
      </c>
      <c r="B28" s="8" t="n">
        <v>3</v>
      </c>
      <c r="C28" s="8" t="n">
        <v>2</v>
      </c>
      <c r="D28" s="8" t="n">
        <v>5</v>
      </c>
      <c r="E28" s="8" t="n">
        <v>4</v>
      </c>
      <c r="F28" s="8" t="n">
        <v>5</v>
      </c>
      <c r="G28" s="8" t="n">
        <v>37</v>
      </c>
      <c r="H28" s="8" t="n">
        <v>42</v>
      </c>
      <c r="I28" s="8" t="n">
        <v>37</v>
      </c>
      <c r="J28" s="8" t="n">
        <v>0</v>
      </c>
      <c r="K28" s="8" t="n">
        <v>0</v>
      </c>
    </row>
    <row r="29">
      <c r="A29" s="9" t="n">
        <v>27</v>
      </c>
      <c r="B29" s="8" t="n">
        <v>3</v>
      </c>
      <c r="C29" s="8" t="n">
        <v>3</v>
      </c>
      <c r="D29" s="8" t="n">
        <v>0</v>
      </c>
      <c r="E29" s="8" t="n">
        <v>0</v>
      </c>
      <c r="F29" s="8" t="n">
        <v>5</v>
      </c>
      <c r="G29" s="8" t="n">
        <v>37</v>
      </c>
      <c r="H29" s="8" t="n">
        <v>42</v>
      </c>
      <c r="I29" s="8" t="n">
        <v>37</v>
      </c>
      <c r="J29" s="8" t="n">
        <v>0</v>
      </c>
      <c r="K29" s="8" t="n">
        <v>0</v>
      </c>
    </row>
    <row r="30">
      <c r="A30" s="9" t="n">
        <v>28</v>
      </c>
      <c r="B30" s="8" t="n">
        <v>3</v>
      </c>
      <c r="C30" s="8" t="n">
        <v>4</v>
      </c>
      <c r="D30" s="8" t="n">
        <v>4</v>
      </c>
      <c r="E30" s="8" t="n">
        <v>0</v>
      </c>
      <c r="F30" s="8" t="n">
        <v>9</v>
      </c>
      <c r="G30" s="8" t="n">
        <v>37</v>
      </c>
      <c r="H30" s="8" t="n">
        <v>46</v>
      </c>
      <c r="I30" s="8" t="n">
        <v>37</v>
      </c>
      <c r="J30" s="8" t="n">
        <v>0</v>
      </c>
      <c r="K30" s="8" t="n">
        <v>0</v>
      </c>
    </row>
    <row r="31">
      <c r="A31" s="9" t="n">
        <v>29</v>
      </c>
      <c r="B31" s="8" t="n">
        <v>3</v>
      </c>
      <c r="C31" s="8" t="n">
        <v>5</v>
      </c>
      <c r="D31" s="8" t="n">
        <v>0</v>
      </c>
      <c r="E31" s="8" t="n">
        <v>5</v>
      </c>
      <c r="F31" s="8" t="n">
        <v>4</v>
      </c>
      <c r="G31" s="8" t="n">
        <v>42</v>
      </c>
      <c r="H31" s="8" t="n">
        <v>46</v>
      </c>
      <c r="I31" s="8" t="n">
        <v>42</v>
      </c>
      <c r="J31" s="8" t="n">
        <v>0</v>
      </c>
      <c r="K31" s="8" t="n">
        <v>0</v>
      </c>
    </row>
    <row r="32">
      <c r="A32" s="9" t="n">
        <v>30</v>
      </c>
      <c r="B32" s="8" t="n">
        <v>3</v>
      </c>
      <c r="C32" s="8" t="n">
        <v>6</v>
      </c>
      <c r="D32" s="8" t="n">
        <v>4</v>
      </c>
      <c r="E32" s="8" t="n">
        <v>0</v>
      </c>
      <c r="F32" s="8" t="n">
        <v>8</v>
      </c>
      <c r="G32" s="8" t="n">
        <v>42</v>
      </c>
      <c r="H32" s="8" t="n">
        <v>50</v>
      </c>
      <c r="I32" s="8" t="n">
        <v>42</v>
      </c>
      <c r="J32" s="8" t="n">
        <v>0</v>
      </c>
      <c r="K32" s="8" t="n">
        <v>0</v>
      </c>
    </row>
    <row r="33">
      <c r="A33" s="9" t="n">
        <v>31</v>
      </c>
      <c r="B33" s="8" t="n">
        <v>3</v>
      </c>
      <c r="C33" s="8" t="n">
        <v>7</v>
      </c>
      <c r="D33" s="8" t="n">
        <v>0</v>
      </c>
      <c r="E33" s="8" t="n">
        <v>4</v>
      </c>
      <c r="F33" s="8" t="n">
        <v>4</v>
      </c>
      <c r="G33" s="8" t="n">
        <v>46</v>
      </c>
      <c r="H33" s="8" t="n">
        <v>50</v>
      </c>
      <c r="I33" s="8" t="n">
        <v>46</v>
      </c>
      <c r="J33" s="8" t="n">
        <v>0</v>
      </c>
      <c r="K33" s="8" t="n">
        <v>0</v>
      </c>
    </row>
    <row r="34">
      <c r="A34" s="9" t="n">
        <v>32</v>
      </c>
      <c r="B34" s="8" t="n">
        <v>3</v>
      </c>
      <c r="C34" s="8" t="n">
        <v>8</v>
      </c>
      <c r="D34" s="8" t="n">
        <v>4</v>
      </c>
      <c r="E34" s="8" t="n">
        <v>0</v>
      </c>
      <c r="F34" s="8" t="n">
        <v>8</v>
      </c>
      <c r="G34" s="8" t="n">
        <v>37</v>
      </c>
      <c r="H34" s="8" t="n">
        <v>45</v>
      </c>
      <c r="I34" s="8" t="n">
        <v>37</v>
      </c>
      <c r="J34" s="8" t="n">
        <v>9</v>
      </c>
      <c r="K34" s="8" t="n">
        <v>9</v>
      </c>
    </row>
    <row r="35">
      <c r="A35" s="9" t="n">
        <v>33</v>
      </c>
      <c r="B35" s="8" t="n">
        <v>3</v>
      </c>
      <c r="C35" s="8" t="n">
        <v>9</v>
      </c>
      <c r="D35" s="8" t="n">
        <v>0</v>
      </c>
      <c r="E35" s="8" t="n">
        <v>4</v>
      </c>
      <c r="F35" s="8" t="n">
        <v>4</v>
      </c>
      <c r="G35" s="8" t="n">
        <v>41</v>
      </c>
      <c r="H35" s="8" t="n">
        <v>45</v>
      </c>
      <c r="I35" s="8" t="n">
        <v>41</v>
      </c>
      <c r="J35" s="8" t="n">
        <v>0</v>
      </c>
      <c r="K35" s="8" t="n">
        <v>9</v>
      </c>
    </row>
    <row r="36">
      <c r="A36" s="9" t="n">
        <v>34</v>
      </c>
      <c r="B36" s="8" t="n">
        <v>3</v>
      </c>
      <c r="C36" s="8" t="n">
        <v>10</v>
      </c>
      <c r="D36" s="8" t="n">
        <v>4</v>
      </c>
      <c r="E36" s="8" t="n">
        <v>0</v>
      </c>
      <c r="F36" s="8" t="n">
        <v>8</v>
      </c>
      <c r="G36" s="8" t="n">
        <v>41</v>
      </c>
      <c r="H36" s="8" t="n">
        <v>49</v>
      </c>
      <c r="I36" s="8" t="n">
        <v>41</v>
      </c>
      <c r="J36" s="8" t="n">
        <v>0</v>
      </c>
      <c r="K36" s="8" t="n">
        <v>9</v>
      </c>
    </row>
    <row r="37">
      <c r="A37" s="9" t="n">
        <v>35</v>
      </c>
      <c r="B37" s="8" t="n">
        <v>3</v>
      </c>
      <c r="C37" s="8" t="n">
        <v>11</v>
      </c>
      <c r="D37" s="8" t="n">
        <v>0</v>
      </c>
      <c r="E37" s="8" t="n">
        <v>4</v>
      </c>
      <c r="F37" s="8" t="n">
        <v>4</v>
      </c>
      <c r="G37" s="8" t="n">
        <v>45</v>
      </c>
      <c r="H37" s="8" t="n">
        <v>49</v>
      </c>
      <c r="I37" s="8" t="n">
        <v>45</v>
      </c>
      <c r="J37" s="8" t="n">
        <v>0</v>
      </c>
      <c r="K37" s="8" t="n">
        <v>9</v>
      </c>
    </row>
    <row r="38">
      <c r="A38" s="9" t="n">
        <v>36</v>
      </c>
      <c r="B38" s="8" t="n">
        <v>3</v>
      </c>
      <c r="C38" s="8" t="n">
        <v>12</v>
      </c>
      <c r="D38" s="8" t="n">
        <v>4</v>
      </c>
      <c r="E38" s="8" t="n">
        <v>0</v>
      </c>
      <c r="F38" s="8" t="n">
        <v>8</v>
      </c>
      <c r="G38" s="8" t="n">
        <v>45</v>
      </c>
      <c r="H38" s="8" t="n">
        <v>53</v>
      </c>
      <c r="I38" s="8" t="n">
        <v>45</v>
      </c>
      <c r="J38" s="8" t="n">
        <v>0</v>
      </c>
      <c r="K38" s="8" t="n">
        <v>9</v>
      </c>
    </row>
    <row r="39">
      <c r="A39" s="9" t="n">
        <v>37</v>
      </c>
      <c r="B39" s="8" t="n">
        <v>4</v>
      </c>
      <c r="C39" s="8" t="n">
        <v>1</v>
      </c>
      <c r="D39" s="8" t="n">
        <v>0</v>
      </c>
      <c r="E39" s="8" t="n">
        <v>4</v>
      </c>
      <c r="F39" s="8" t="n">
        <v>4</v>
      </c>
      <c r="G39" s="8" t="n">
        <v>45</v>
      </c>
      <c r="H39" s="8" t="n">
        <v>49</v>
      </c>
      <c r="I39" s="8" t="n">
        <v>45</v>
      </c>
      <c r="J39" s="8" t="n">
        <v>4</v>
      </c>
      <c r="K39" s="8" t="n">
        <v>13</v>
      </c>
    </row>
    <row r="40">
      <c r="A40" s="9" t="n">
        <v>38</v>
      </c>
      <c r="B40" s="8" t="n">
        <v>4</v>
      </c>
      <c r="C40" s="8" t="n">
        <v>2</v>
      </c>
      <c r="D40" s="8" t="n">
        <v>4</v>
      </c>
      <c r="E40" s="8" t="n">
        <v>0</v>
      </c>
      <c r="F40" s="8" t="n">
        <v>8</v>
      </c>
      <c r="G40" s="8" t="n">
        <v>45</v>
      </c>
      <c r="H40" s="8" t="n">
        <v>53</v>
      </c>
      <c r="I40" s="8" t="n">
        <v>45</v>
      </c>
      <c r="J40" s="8" t="n">
        <v>0</v>
      </c>
      <c r="K40" s="8" t="n">
        <v>13</v>
      </c>
    </row>
    <row r="41">
      <c r="A41" s="9" t="n">
        <v>39</v>
      </c>
      <c r="B41" s="8" t="n">
        <v>4</v>
      </c>
      <c r="C41" s="8" t="n">
        <v>3</v>
      </c>
      <c r="D41" s="8" t="n">
        <v>0</v>
      </c>
      <c r="E41" s="8" t="n">
        <v>4</v>
      </c>
      <c r="F41" s="8" t="n">
        <v>4</v>
      </c>
      <c r="G41" s="8" t="n">
        <v>49</v>
      </c>
      <c r="H41" s="8" t="n">
        <v>53</v>
      </c>
      <c r="I41" s="8" t="n">
        <v>49</v>
      </c>
      <c r="J41" s="8" t="n">
        <v>0</v>
      </c>
      <c r="K41" s="8" t="n">
        <v>13</v>
      </c>
    </row>
    <row r="42">
      <c r="A42" s="9" t="n">
        <v>40</v>
      </c>
      <c r="B42" s="8" t="n">
        <v>4</v>
      </c>
      <c r="C42" s="8" t="n">
        <v>4</v>
      </c>
      <c r="D42" s="8" t="n">
        <v>5</v>
      </c>
      <c r="E42" s="8" t="n">
        <v>0</v>
      </c>
      <c r="F42" s="8" t="n">
        <v>9</v>
      </c>
      <c r="G42" s="8" t="n">
        <v>45</v>
      </c>
      <c r="H42" s="8" t="n">
        <v>54</v>
      </c>
      <c r="I42" s="8" t="n">
        <v>45</v>
      </c>
      <c r="J42" s="8" t="n">
        <v>4</v>
      </c>
      <c r="K42" s="8" t="n">
        <v>17</v>
      </c>
    </row>
    <row r="43">
      <c r="A43" s="9" t="n">
        <v>41</v>
      </c>
      <c r="B43" s="8" t="n">
        <v>4</v>
      </c>
      <c r="C43" s="8" t="n">
        <v>5</v>
      </c>
      <c r="D43" s="8" t="n">
        <v>0</v>
      </c>
      <c r="E43" s="8" t="n">
        <v>4</v>
      </c>
      <c r="F43" s="8" t="n">
        <v>5</v>
      </c>
      <c r="G43" s="8" t="n">
        <v>49</v>
      </c>
      <c r="H43" s="8" t="n">
        <v>54</v>
      </c>
      <c r="I43" s="8" t="n">
        <v>49</v>
      </c>
      <c r="J43" s="8" t="n">
        <v>0</v>
      </c>
      <c r="K43" s="8" t="n">
        <v>17</v>
      </c>
    </row>
    <row r="44">
      <c r="A44" s="9" t="n">
        <v>42</v>
      </c>
      <c r="B44" s="8" t="n">
        <v>4</v>
      </c>
      <c r="C44" s="8" t="n">
        <v>6</v>
      </c>
      <c r="D44" s="8" t="n">
        <v>5</v>
      </c>
      <c r="E44" s="8" t="n">
        <v>0</v>
      </c>
      <c r="F44" s="8" t="n">
        <v>10</v>
      </c>
      <c r="G44" s="8" t="n">
        <v>49</v>
      </c>
      <c r="H44" s="8" t="n">
        <v>59</v>
      </c>
      <c r="I44" s="8" t="n">
        <v>49</v>
      </c>
      <c r="J44" s="8" t="n">
        <v>0</v>
      </c>
      <c r="K44" s="8" t="n">
        <v>17</v>
      </c>
    </row>
    <row r="45">
      <c r="A45" s="9" t="n">
        <v>43</v>
      </c>
      <c r="B45" s="8" t="n">
        <v>4</v>
      </c>
      <c r="C45" s="8" t="n">
        <v>7</v>
      </c>
      <c r="D45" s="8" t="n">
        <v>0</v>
      </c>
      <c r="E45" s="8" t="n">
        <v>5</v>
      </c>
      <c r="F45" s="8" t="n">
        <v>5</v>
      </c>
      <c r="G45" s="8" t="n">
        <v>50</v>
      </c>
      <c r="H45" s="8" t="n">
        <v>55</v>
      </c>
      <c r="I45" s="8" t="n">
        <v>50</v>
      </c>
      <c r="J45" s="8" t="n">
        <v>4</v>
      </c>
      <c r="K45" s="8" t="n">
        <v>21</v>
      </c>
    </row>
    <row r="46">
      <c r="A46" s="9" t="n">
        <v>44</v>
      </c>
      <c r="B46" s="8" t="n">
        <v>4</v>
      </c>
      <c r="C46" s="8" t="n">
        <v>8</v>
      </c>
      <c r="D46" s="8" t="n">
        <v>5</v>
      </c>
      <c r="E46" s="8" t="n">
        <v>0</v>
      </c>
      <c r="F46" s="8" t="n">
        <v>10</v>
      </c>
      <c r="G46" s="8" t="n">
        <v>50</v>
      </c>
      <c r="H46" s="8" t="n">
        <v>60</v>
      </c>
      <c r="I46" s="8" t="n">
        <v>50</v>
      </c>
      <c r="J46" s="8" t="n">
        <v>0</v>
      </c>
      <c r="K46" s="8" t="n">
        <v>21</v>
      </c>
    </row>
    <row r="47">
      <c r="A47" s="9" t="n">
        <v>45</v>
      </c>
      <c r="B47" s="8" t="n">
        <v>4</v>
      </c>
      <c r="C47" s="8" t="n">
        <v>9</v>
      </c>
      <c r="D47" s="8" t="n">
        <v>0</v>
      </c>
      <c r="E47" s="8" t="n">
        <v>5</v>
      </c>
      <c r="F47" s="8" t="n">
        <v>5</v>
      </c>
      <c r="G47" s="8" t="n">
        <v>51</v>
      </c>
      <c r="H47" s="8" t="n">
        <v>56</v>
      </c>
      <c r="I47" s="8" t="n">
        <v>51</v>
      </c>
      <c r="J47" s="8" t="n">
        <v>4</v>
      </c>
      <c r="K47" s="8" t="n">
        <v>25</v>
      </c>
    </row>
    <row r="48">
      <c r="A48" s="9" t="n">
        <v>46</v>
      </c>
      <c r="B48" s="8" t="n">
        <v>4</v>
      </c>
      <c r="C48" s="8" t="n">
        <v>10</v>
      </c>
      <c r="D48" s="8" t="n">
        <v>4</v>
      </c>
      <c r="E48" s="8" t="n">
        <v>0</v>
      </c>
      <c r="F48" s="8" t="n">
        <v>9</v>
      </c>
      <c r="G48" s="8" t="n">
        <v>51</v>
      </c>
      <c r="H48" s="8" t="n">
        <v>60</v>
      </c>
      <c r="I48" s="8" t="n">
        <v>51</v>
      </c>
      <c r="J48" s="8" t="n">
        <v>0</v>
      </c>
      <c r="K48" s="8" t="n">
        <v>25</v>
      </c>
    </row>
    <row r="49">
      <c r="A49" s="9" t="n">
        <v>47</v>
      </c>
      <c r="B49" s="8" t="n">
        <v>4</v>
      </c>
      <c r="C49" s="8" t="n">
        <v>11</v>
      </c>
      <c r="D49" s="8" t="n">
        <v>0</v>
      </c>
      <c r="E49" s="8" t="n">
        <v>5</v>
      </c>
      <c r="F49" s="8" t="n">
        <v>4</v>
      </c>
      <c r="G49" s="8" t="n">
        <v>56</v>
      </c>
      <c r="H49" s="8" t="n">
        <v>60</v>
      </c>
      <c r="I49" s="8" t="n">
        <v>56</v>
      </c>
      <c r="J49" s="8" t="n">
        <v>0</v>
      </c>
      <c r="K49" s="8" t="n">
        <v>25</v>
      </c>
    </row>
    <row r="50">
      <c r="A50" s="9" t="n">
        <v>48</v>
      </c>
      <c r="B50" s="8" t="n">
        <v>4</v>
      </c>
      <c r="C50" s="8" t="n">
        <v>12</v>
      </c>
      <c r="D50" s="8" t="n">
        <v>6</v>
      </c>
      <c r="E50" s="8" t="n">
        <v>0</v>
      </c>
      <c r="F50" s="8" t="n">
        <v>10</v>
      </c>
      <c r="G50" s="8" t="n">
        <v>52</v>
      </c>
      <c r="H50" s="8" t="n">
        <v>62</v>
      </c>
      <c r="I50" s="8" t="n">
        <v>52</v>
      </c>
      <c r="J50" s="8" t="n">
        <v>4</v>
      </c>
      <c r="K50" s="8" t="n">
        <v>29</v>
      </c>
    </row>
    <row r="51">
      <c r="A51" s="9" t="n">
        <v>49</v>
      </c>
      <c r="B51" s="8" t="n">
        <v>5</v>
      </c>
      <c r="C51" s="8" t="n">
        <v>1</v>
      </c>
      <c r="D51" s="8" t="n">
        <v>0</v>
      </c>
      <c r="E51" s="8" t="n">
        <v>4</v>
      </c>
      <c r="F51" s="8" t="n">
        <v>6</v>
      </c>
      <c r="G51" s="8" t="n">
        <v>56</v>
      </c>
      <c r="H51" s="8" t="n">
        <v>62</v>
      </c>
      <c r="I51" s="8" t="n">
        <v>56</v>
      </c>
      <c r="J51" s="8" t="n">
        <v>0</v>
      </c>
      <c r="K51" s="8" t="n">
        <v>29</v>
      </c>
    </row>
    <row r="52">
      <c r="A52" s="9" t="n">
        <v>50</v>
      </c>
      <c r="B52" s="8" t="n">
        <v>5</v>
      </c>
      <c r="C52" s="8" t="n">
        <v>2</v>
      </c>
      <c r="D52" s="8" t="n">
        <v>5</v>
      </c>
      <c r="E52" s="8" t="n">
        <v>0</v>
      </c>
      <c r="F52" s="8" t="n">
        <v>11</v>
      </c>
      <c r="G52" s="8" t="n">
        <v>52</v>
      </c>
      <c r="H52" s="8" t="n">
        <v>63</v>
      </c>
      <c r="I52" s="8" t="n">
        <v>52</v>
      </c>
      <c r="J52" s="8" t="n">
        <v>4</v>
      </c>
      <c r="K52" s="8" t="n">
        <v>33</v>
      </c>
    </row>
    <row r="53">
      <c r="A53" s="9" t="n">
        <v>51</v>
      </c>
      <c r="B53" s="8" t="n">
        <v>5</v>
      </c>
      <c r="C53" s="8" t="n">
        <v>3</v>
      </c>
      <c r="D53" s="8" t="n">
        <v>0</v>
      </c>
      <c r="E53" s="8" t="n">
        <v>6</v>
      </c>
      <c r="F53" s="8" t="n">
        <v>5</v>
      </c>
      <c r="G53" s="8" t="n">
        <v>58</v>
      </c>
      <c r="H53" s="8" t="n">
        <v>63</v>
      </c>
      <c r="I53" s="8" t="n">
        <v>58</v>
      </c>
      <c r="J53" s="8" t="n">
        <v>0</v>
      </c>
      <c r="K53" s="8" t="n">
        <v>33</v>
      </c>
    </row>
    <row r="54">
      <c r="A54" s="9" t="n">
        <v>52</v>
      </c>
      <c r="B54" s="8" t="n">
        <v>5</v>
      </c>
      <c r="C54" s="8" t="n">
        <v>4</v>
      </c>
      <c r="D54" s="8" t="n">
        <v>5</v>
      </c>
      <c r="E54" s="8" t="n">
        <v>0</v>
      </c>
      <c r="F54" s="8" t="n">
        <v>10</v>
      </c>
      <c r="G54" s="8" t="n">
        <v>58</v>
      </c>
      <c r="H54" s="8" t="n">
        <v>68</v>
      </c>
      <c r="I54" s="8" t="n">
        <v>58</v>
      </c>
      <c r="J54" s="8" t="n">
        <v>0</v>
      </c>
      <c r="K54" s="8" t="n">
        <v>33</v>
      </c>
    </row>
    <row r="55">
      <c r="A55" s="9" t="n">
        <v>53</v>
      </c>
      <c r="B55" s="8" t="n">
        <v>5</v>
      </c>
      <c r="C55" s="8" t="n">
        <v>5</v>
      </c>
      <c r="D55" s="8" t="n">
        <v>0</v>
      </c>
      <c r="E55" s="8" t="n">
        <v>5</v>
      </c>
      <c r="F55" s="8" t="n">
        <v>5</v>
      </c>
      <c r="G55" s="8" t="n">
        <v>58</v>
      </c>
      <c r="H55" s="8" t="n">
        <v>63</v>
      </c>
      <c r="I55" s="8" t="n">
        <v>58</v>
      </c>
      <c r="J55" s="8" t="n">
        <v>5</v>
      </c>
      <c r="K55" s="8" t="n">
        <v>38</v>
      </c>
    </row>
    <row r="56">
      <c r="A56" s="9" t="n">
        <v>54</v>
      </c>
      <c r="B56" s="8" t="n">
        <v>5</v>
      </c>
      <c r="C56" s="8" t="n">
        <v>6</v>
      </c>
      <c r="D56" s="8" t="n">
        <v>6</v>
      </c>
      <c r="E56" s="8" t="n">
        <v>0</v>
      </c>
      <c r="F56" s="8" t="n">
        <v>11</v>
      </c>
      <c r="G56" s="8" t="n">
        <v>58</v>
      </c>
      <c r="H56" s="8" t="n">
        <v>69</v>
      </c>
      <c r="I56" s="8" t="n">
        <v>58</v>
      </c>
      <c r="J56" s="8" t="n">
        <v>0</v>
      </c>
      <c r="K56" s="8" t="n">
        <v>38</v>
      </c>
    </row>
    <row r="57">
      <c r="A57" s="9" t="n">
        <v>55</v>
      </c>
      <c r="B57" s="8" t="n">
        <v>5</v>
      </c>
      <c r="C57" s="8" t="n">
        <v>7</v>
      </c>
      <c r="D57" s="8" t="n">
        <v>0</v>
      </c>
      <c r="E57" s="8" t="n">
        <v>5</v>
      </c>
      <c r="F57" s="8" t="n">
        <v>6</v>
      </c>
      <c r="G57" s="8" t="n">
        <v>59</v>
      </c>
      <c r="H57" s="8" t="n">
        <v>65</v>
      </c>
      <c r="I57" s="8" t="n">
        <v>59</v>
      </c>
      <c r="J57" s="8" t="n">
        <v>4</v>
      </c>
      <c r="K57" s="8" t="n">
        <v>42</v>
      </c>
    </row>
    <row r="58">
      <c r="A58" s="9" t="n">
        <v>56</v>
      </c>
      <c r="B58" s="8" t="n">
        <v>5</v>
      </c>
      <c r="C58" s="8" t="n">
        <v>8</v>
      </c>
      <c r="D58" s="8" t="n">
        <v>6</v>
      </c>
      <c r="E58" s="8" t="n">
        <v>0</v>
      </c>
      <c r="F58" s="8" t="n">
        <v>12</v>
      </c>
      <c r="G58" s="8" t="n">
        <v>59</v>
      </c>
      <c r="H58" s="8" t="n">
        <v>71</v>
      </c>
      <c r="I58" s="8" t="n">
        <v>59</v>
      </c>
      <c r="J58" s="8" t="n">
        <v>0</v>
      </c>
      <c r="K58" s="8" t="n">
        <v>42</v>
      </c>
    </row>
    <row r="59">
      <c r="A59" s="9" t="n">
        <v>57</v>
      </c>
      <c r="B59" s="8" t="n">
        <v>5</v>
      </c>
      <c r="C59" s="8" t="n">
        <v>9</v>
      </c>
      <c r="D59" s="8" t="n">
        <v>0</v>
      </c>
      <c r="E59" s="8" t="n">
        <v>6</v>
      </c>
      <c r="F59" s="8" t="n">
        <v>6</v>
      </c>
      <c r="G59" s="8" t="n">
        <v>61</v>
      </c>
      <c r="H59" s="8" t="n">
        <v>67</v>
      </c>
      <c r="I59" s="8" t="n">
        <v>61</v>
      </c>
      <c r="J59" s="8" t="n">
        <v>4</v>
      </c>
      <c r="K59" s="8" t="n">
        <v>46</v>
      </c>
    </row>
    <row r="60">
      <c r="A60" s="9" t="n">
        <v>58</v>
      </c>
      <c r="B60" s="8" t="n">
        <v>5</v>
      </c>
      <c r="C60" s="8" t="n">
        <v>10</v>
      </c>
      <c r="D60" s="8" t="n">
        <v>5</v>
      </c>
      <c r="E60" s="8" t="n">
        <v>0</v>
      </c>
      <c r="F60" s="8" t="n">
        <v>11</v>
      </c>
      <c r="G60" s="8" t="n">
        <v>61</v>
      </c>
      <c r="H60" s="8" t="n">
        <v>72</v>
      </c>
      <c r="I60" s="8" t="n">
        <v>61</v>
      </c>
      <c r="J60" s="8" t="n">
        <v>0</v>
      </c>
      <c r="K60" s="8" t="n">
        <v>46</v>
      </c>
    </row>
    <row r="61">
      <c r="A61" s="9" t="n">
        <v>59</v>
      </c>
      <c r="B61" s="8" t="n">
        <v>5</v>
      </c>
      <c r="C61" s="8" t="n">
        <v>11</v>
      </c>
      <c r="D61" s="8" t="n">
        <v>0</v>
      </c>
      <c r="E61" s="8" t="n">
        <v>6</v>
      </c>
      <c r="F61" s="8" t="n">
        <v>5</v>
      </c>
      <c r="G61" s="8" t="n">
        <v>63</v>
      </c>
      <c r="H61" s="8" t="n">
        <v>68</v>
      </c>
      <c r="I61" s="8" t="n">
        <v>63</v>
      </c>
      <c r="J61" s="8" t="n">
        <v>4</v>
      </c>
      <c r="K61" s="8" t="n">
        <v>50</v>
      </c>
    </row>
    <row r="62">
      <c r="A62" s="9" t="n">
        <v>60</v>
      </c>
      <c r="B62" s="8" t="n">
        <v>5</v>
      </c>
      <c r="C62" s="8" t="n">
        <v>12</v>
      </c>
      <c r="D62" s="8" t="n">
        <v>6</v>
      </c>
      <c r="E62" s="8" t="n">
        <v>0</v>
      </c>
      <c r="F62" s="8" t="n">
        <v>11</v>
      </c>
      <c r="G62" s="8" t="n">
        <v>63</v>
      </c>
      <c r="H62" s="8" t="n">
        <v>74</v>
      </c>
      <c r="I62" s="8" t="n">
        <v>63</v>
      </c>
      <c r="J62" s="8" t="n">
        <v>0</v>
      </c>
      <c r="K62" s="8" t="n">
        <v>50</v>
      </c>
    </row>
  </sheetData>
  <mergeCells count="1">
    <mergeCell ref="A1:L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showGridLines="0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T9" sqref="T9"/>
    </sheetView>
  </sheetViews>
  <sheetFormatPr baseColWidth="8" defaultColWidth="8.7109375" defaultRowHeight="15" customHeight="1"/>
  <cols>
    <col width="10" customWidth="1" min="1" max="1"/>
    <col width="22" customWidth="1" min="2" max="16"/>
    <col width="14" customWidth="1" min="17" max="17"/>
    <col width="11.28515625" bestFit="1" customWidth="1" min="18" max="18"/>
    <col width="10.85546875" bestFit="1" customWidth="1" min="19" max="19"/>
  </cols>
  <sheetData>
    <row r="1" ht="17.25" customHeight="1">
      <c r="A1" s="20" t="inlineStr">
        <is>
          <t>Monthly Cash Flow</t>
        </is>
      </c>
    </row>
    <row r="2" ht="31.5" customHeight="1">
      <c r="A2" s="2" t="inlineStr">
        <is>
          <t>Month #</t>
        </is>
      </c>
      <c r="B2" s="2" t="inlineStr">
        <is>
          <t>Owner/Investor Injection</t>
        </is>
      </c>
      <c r="C2" s="2" t="inlineStr">
        <is>
          <t>Bank Loan Draw</t>
        </is>
      </c>
      <c r="D2" s="15" t="inlineStr">
        <is>
          <t>Total Cash In</t>
        </is>
      </c>
      <c r="E2" s="2" t="inlineStr">
        <is>
          <t>Operating Expenses (cash)</t>
        </is>
      </c>
      <c r="F2" s="2" t="inlineStr">
        <is>
          <t>Interest</t>
        </is>
      </c>
      <c r="G2" s="2" t="inlineStr">
        <is>
          <t>Loan Principal</t>
        </is>
      </c>
      <c r="H2" s="2" t="inlineStr">
        <is>
          <t>Income Tax Paid</t>
        </is>
      </c>
      <c r="I2" s="2" t="inlineStr">
        <is>
          <t>Investor Payout/Profit Distribution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Net Cash Flow</t>
        </is>
      </c>
      <c r="M2" s="2" t="inlineStr">
        <is>
          <t xml:space="preserve">Retained Profits Opening </t>
        </is>
      </c>
      <c r="N2" s="2" t="inlineStr">
        <is>
          <t xml:space="preserve">Retained Profits Closing </t>
        </is>
      </c>
      <c r="O2" s="2" t="inlineStr">
        <is>
          <t>Loan Opening</t>
        </is>
      </c>
      <c r="P2" s="2" t="inlineStr">
        <is>
          <t>Loan Closing</t>
        </is>
      </c>
    </row>
    <row r="3">
      <c r="A3" s="9" t="n">
        <v>1</v>
      </c>
      <c r="B3" s="10" t="n">
        <v>0</v>
      </c>
      <c r="C3" s="10" t="n">
        <v>0</v>
      </c>
      <c r="D3" s="10" t="n">
        <v>120000</v>
      </c>
      <c r="E3" s="10" t="n">
        <v>82520</v>
      </c>
      <c r="F3" s="10" t="n">
        <v>0</v>
      </c>
      <c r="G3" s="10" t="n">
        <v>0</v>
      </c>
      <c r="H3" s="10" t="n">
        <v>11993.6</v>
      </c>
      <c r="I3" s="10" t="n">
        <v>0</v>
      </c>
      <c r="J3" s="10" t="n">
        <v>25486.4</v>
      </c>
      <c r="K3" s="10" t="n">
        <v>0</v>
      </c>
      <c r="L3" s="10" t="n">
        <v>25486.4</v>
      </c>
      <c r="M3" s="10" t="n">
        <v>0</v>
      </c>
      <c r="N3" s="10">
        <f>$M3+$L3</f>
        <v/>
      </c>
      <c r="O3" s="10" t="n">
        <v>0</v>
      </c>
      <c r="P3" s="10">
        <f>O3+C3-G3</f>
        <v/>
      </c>
      <c r="Q3" s="14" t="n"/>
      <c r="R3" s="14" t="n"/>
      <c r="S3" s="14" t="n"/>
    </row>
    <row r="4">
      <c r="A4" s="9" t="n">
        <v>2</v>
      </c>
      <c r="B4" s="10" t="n">
        <v>0</v>
      </c>
      <c r="C4" s="10" t="n">
        <v>0</v>
      </c>
      <c r="D4" s="10" t="n">
        <v>120000</v>
      </c>
      <c r="E4" s="10" t="n">
        <v>82520</v>
      </c>
      <c r="F4" s="10" t="n">
        <v>0</v>
      </c>
      <c r="G4" s="10" t="n">
        <v>0</v>
      </c>
      <c r="H4" s="10" t="n">
        <v>11993.6</v>
      </c>
      <c r="I4" s="10" t="n">
        <v>0</v>
      </c>
      <c r="J4" s="10" t="n">
        <v>25486.4</v>
      </c>
      <c r="K4" s="10" t="n">
        <v>0</v>
      </c>
      <c r="L4" s="10" t="n">
        <v>25486.4</v>
      </c>
      <c r="M4" s="10">
        <f>$N3</f>
        <v/>
      </c>
      <c r="N4" s="10">
        <f>$M4+$L4</f>
        <v/>
      </c>
      <c r="O4" s="10">
        <f>P3</f>
        <v/>
      </c>
      <c r="P4" s="10">
        <f>O4+C4-G4</f>
        <v/>
      </c>
      <c r="Q4" s="14" t="n"/>
      <c r="R4" s="14" t="n"/>
      <c r="S4" s="14" t="n"/>
    </row>
    <row r="5">
      <c r="A5" s="9" t="n">
        <v>3</v>
      </c>
      <c r="B5" s="10" t="n">
        <v>0</v>
      </c>
      <c r="C5" s="10" t="n">
        <v>0</v>
      </c>
      <c r="D5" s="10" t="n">
        <v>120000</v>
      </c>
      <c r="E5" s="10" t="n">
        <v>82520</v>
      </c>
      <c r="F5" s="10" t="n">
        <v>0</v>
      </c>
      <c r="G5" s="10" t="n">
        <v>0</v>
      </c>
      <c r="H5" s="10" t="n">
        <v>11993.6</v>
      </c>
      <c r="I5" s="10" t="n">
        <v>0</v>
      </c>
      <c r="J5" s="10" t="n">
        <v>25486.4</v>
      </c>
      <c r="K5" s="10" t="n">
        <v>0</v>
      </c>
      <c r="L5" s="10" t="n">
        <v>25486.4</v>
      </c>
      <c r="M5" s="10">
        <f>$N4</f>
        <v/>
      </c>
      <c r="N5" s="10">
        <f>$M5+$L5</f>
        <v/>
      </c>
      <c r="O5" s="10">
        <f>P4</f>
        <v/>
      </c>
      <c r="P5" s="10">
        <f>O5+C5-G5</f>
        <v/>
      </c>
      <c r="Q5" s="14" t="n"/>
      <c r="S5" s="14" t="n"/>
    </row>
    <row r="6">
      <c r="A6" s="9" t="n">
        <v>4</v>
      </c>
      <c r="B6" s="10" t="n">
        <v>0</v>
      </c>
      <c r="C6" s="10" t="n">
        <v>0</v>
      </c>
      <c r="D6" s="10" t="n">
        <v>120000</v>
      </c>
      <c r="E6" s="10" t="n">
        <v>82520</v>
      </c>
      <c r="F6" s="10" t="n">
        <v>0</v>
      </c>
      <c r="G6" s="10" t="n">
        <v>0</v>
      </c>
      <c r="H6" s="10" t="n">
        <v>11993.6</v>
      </c>
      <c r="I6" s="10" t="n">
        <v>0</v>
      </c>
      <c r="J6" s="10" t="n">
        <v>25486.4</v>
      </c>
      <c r="K6" s="10" t="n">
        <v>0</v>
      </c>
      <c r="L6" s="10" t="n">
        <v>25486.4</v>
      </c>
      <c r="M6" s="10">
        <f>$N5</f>
        <v/>
      </c>
      <c r="N6" s="10">
        <f>$M6+$L6</f>
        <v/>
      </c>
      <c r="O6" s="10">
        <f>P5</f>
        <v/>
      </c>
      <c r="P6" s="10">
        <f>O6+C6-G6</f>
        <v/>
      </c>
      <c r="Q6" s="14" t="n"/>
      <c r="S6" s="14" t="n"/>
    </row>
    <row r="7">
      <c r="A7" s="9" t="n">
        <v>5</v>
      </c>
      <c r="B7" s="10" t="n">
        <v>250000</v>
      </c>
      <c r="C7" s="10" t="n">
        <v>250000</v>
      </c>
      <c r="D7" s="10" t="n">
        <v>620000</v>
      </c>
      <c r="E7" s="10" t="n">
        <v>82520</v>
      </c>
      <c r="F7" s="10" t="n">
        <v>2083.33</v>
      </c>
      <c r="G7" s="10" t="n">
        <v>0</v>
      </c>
      <c r="H7" s="10" t="n">
        <v>11993.6</v>
      </c>
      <c r="I7" s="10" t="n">
        <v>0</v>
      </c>
      <c r="J7" s="10" t="n">
        <v>523403.07</v>
      </c>
      <c r="K7" s="10" t="n">
        <v>540000</v>
      </c>
      <c r="L7" s="10" t="n">
        <v>-16596.93</v>
      </c>
      <c r="M7" s="10">
        <f>$N6</f>
        <v/>
      </c>
      <c r="N7" s="10">
        <f>$M7+$L7</f>
        <v/>
      </c>
      <c r="O7" s="10">
        <f>P6</f>
        <v/>
      </c>
      <c r="P7" s="10">
        <f>O7+C7-G7</f>
        <v/>
      </c>
      <c r="Q7" s="14" t="n"/>
      <c r="S7" s="14" t="n"/>
    </row>
    <row r="8">
      <c r="A8" s="9" t="n">
        <v>6</v>
      </c>
      <c r="B8" s="10" t="n">
        <v>0</v>
      </c>
      <c r="C8" s="10" t="n">
        <v>0</v>
      </c>
      <c r="D8" s="10" t="n">
        <v>120000</v>
      </c>
      <c r="E8" s="10" t="n">
        <v>82520</v>
      </c>
      <c r="F8" s="10" t="n">
        <v>2083.33</v>
      </c>
      <c r="G8" s="10" t="n">
        <v>0</v>
      </c>
      <c r="H8" s="10" t="n">
        <v>11993.6</v>
      </c>
      <c r="I8" s="10" t="n">
        <v>0</v>
      </c>
      <c r="J8" s="10" t="n">
        <v>23403.07</v>
      </c>
      <c r="K8" s="10" t="n">
        <v>0</v>
      </c>
      <c r="L8" s="10" t="n">
        <v>23403.07</v>
      </c>
      <c r="M8" s="10">
        <f>$N7</f>
        <v/>
      </c>
      <c r="N8" s="10">
        <f>$M8+$L8</f>
        <v/>
      </c>
      <c r="O8" s="10">
        <f>P7</f>
        <v/>
      </c>
      <c r="P8" s="10">
        <f>O8+C8-G8</f>
        <v/>
      </c>
      <c r="S8" s="14" t="n"/>
    </row>
    <row r="9">
      <c r="A9" s="9" t="n">
        <v>7</v>
      </c>
      <c r="B9" s="10" t="n">
        <v>0</v>
      </c>
      <c r="C9" s="10" t="n">
        <v>0</v>
      </c>
      <c r="D9" s="10" t="n">
        <v>120000</v>
      </c>
      <c r="E9" s="10" t="n">
        <v>82520</v>
      </c>
      <c r="F9" s="10" t="n">
        <v>2083.33</v>
      </c>
      <c r="G9" s="10" t="n">
        <v>0</v>
      </c>
      <c r="H9" s="10" t="n">
        <v>11993.6</v>
      </c>
      <c r="I9" s="10" t="n">
        <v>0</v>
      </c>
      <c r="J9" s="10" t="n">
        <v>23403.07</v>
      </c>
      <c r="K9" s="10" t="n">
        <v>0</v>
      </c>
      <c r="L9" s="10" t="n">
        <v>23403.07</v>
      </c>
      <c r="M9" s="10">
        <f>$N8</f>
        <v/>
      </c>
      <c r="N9" s="10">
        <f>$M9+$L9</f>
        <v/>
      </c>
      <c r="O9" s="10">
        <f>P8</f>
        <v/>
      </c>
      <c r="P9" s="10">
        <f>O9+C9-G9</f>
        <v/>
      </c>
      <c r="S9" s="14" t="n"/>
    </row>
    <row r="10">
      <c r="A10" s="9" t="n">
        <v>8</v>
      </c>
      <c r="B10" s="10" t="n">
        <v>0</v>
      </c>
      <c r="C10" s="10" t="n">
        <v>0</v>
      </c>
      <c r="D10" s="10" t="n">
        <v>390000</v>
      </c>
      <c r="E10" s="10" t="n">
        <v>268190</v>
      </c>
      <c r="F10" s="10" t="n">
        <v>2083.33</v>
      </c>
      <c r="G10" s="10" t="n">
        <v>0</v>
      </c>
      <c r="H10" s="10" t="n">
        <v>38979.2</v>
      </c>
      <c r="I10" s="10" t="n">
        <v>0</v>
      </c>
      <c r="J10" s="10" t="n">
        <v>80747.47</v>
      </c>
      <c r="K10" s="10" t="n">
        <v>0</v>
      </c>
      <c r="L10" s="10" t="n">
        <v>80747.47</v>
      </c>
      <c r="M10" s="10">
        <f>$N9</f>
        <v/>
      </c>
      <c r="N10" s="10">
        <f>$M10+$L10</f>
        <v/>
      </c>
      <c r="O10" s="10">
        <f>P9</f>
        <v/>
      </c>
      <c r="P10" s="10">
        <f>O10+C10-G10</f>
        <v/>
      </c>
      <c r="S10" s="14" t="n"/>
    </row>
    <row r="11">
      <c r="A11" s="9" t="n">
        <v>9</v>
      </c>
      <c r="B11" s="10" t="n">
        <v>0</v>
      </c>
      <c r="C11" s="10" t="n">
        <v>0</v>
      </c>
      <c r="D11" s="10" t="n">
        <v>390000</v>
      </c>
      <c r="E11" s="10" t="n">
        <v>268190</v>
      </c>
      <c r="F11" s="10" t="n">
        <v>2083.33</v>
      </c>
      <c r="G11" s="10" t="n">
        <v>0</v>
      </c>
      <c r="H11" s="10" t="n">
        <v>38979.2</v>
      </c>
      <c r="I11" s="10" t="n">
        <v>0</v>
      </c>
      <c r="J11" s="10" t="n">
        <v>80747.47</v>
      </c>
      <c r="K11" s="10" t="n">
        <v>0</v>
      </c>
      <c r="L11" s="10" t="n">
        <v>80747.47</v>
      </c>
      <c r="M11" s="10">
        <f>$N10</f>
        <v/>
      </c>
      <c r="N11" s="10">
        <f>$M11+$L11</f>
        <v/>
      </c>
      <c r="O11" s="10">
        <f>P10</f>
        <v/>
      </c>
      <c r="P11" s="10">
        <f>O11+C11-G11</f>
        <v/>
      </c>
      <c r="S11" s="14" t="n"/>
    </row>
    <row r="12">
      <c r="A12" s="9" t="n">
        <v>10</v>
      </c>
      <c r="B12" s="10" t="n">
        <v>0</v>
      </c>
      <c r="C12" s="10" t="n">
        <v>0</v>
      </c>
      <c r="D12" s="10" t="n">
        <v>390000</v>
      </c>
      <c r="E12" s="10" t="n">
        <v>268190</v>
      </c>
      <c r="F12" s="10" t="n">
        <v>2083.33</v>
      </c>
      <c r="G12" s="10" t="n">
        <v>0</v>
      </c>
      <c r="H12" s="10" t="n">
        <v>38979.2</v>
      </c>
      <c r="I12" s="10" t="n">
        <v>0</v>
      </c>
      <c r="J12" s="10" t="n">
        <v>80747.47</v>
      </c>
      <c r="K12" s="10" t="n">
        <v>240000</v>
      </c>
      <c r="L12" s="10" t="n">
        <v>-159252.53</v>
      </c>
      <c r="M12" s="10">
        <f>$N11</f>
        <v/>
      </c>
      <c r="N12" s="10">
        <f>$M12+$L12</f>
        <v/>
      </c>
      <c r="O12" s="10">
        <f>P11</f>
        <v/>
      </c>
      <c r="P12" s="10">
        <f>O12+C12-G12</f>
        <v/>
      </c>
      <c r="S12" s="14" t="n"/>
    </row>
    <row r="13">
      <c r="A13" s="9" t="n">
        <v>11</v>
      </c>
      <c r="B13" s="10" t="n">
        <v>0</v>
      </c>
      <c r="C13" s="10" t="n">
        <v>0</v>
      </c>
      <c r="D13" s="10" t="n">
        <v>390000</v>
      </c>
      <c r="E13" s="10" t="n">
        <v>268190</v>
      </c>
      <c r="F13" s="10" t="n">
        <v>2083.33</v>
      </c>
      <c r="G13" s="10" t="n">
        <v>0</v>
      </c>
      <c r="H13" s="10" t="n">
        <v>38979.2</v>
      </c>
      <c r="I13" s="10" t="n">
        <v>0</v>
      </c>
      <c r="J13" s="10" t="n">
        <v>80747.47</v>
      </c>
      <c r="K13" s="10" t="n">
        <v>0</v>
      </c>
      <c r="L13" s="10" t="n">
        <v>80747.47</v>
      </c>
      <c r="M13" s="10">
        <f>$N12</f>
        <v/>
      </c>
      <c r="N13" s="10">
        <f>$M13+$L13</f>
        <v/>
      </c>
      <c r="O13" s="10">
        <f>P12</f>
        <v/>
      </c>
      <c r="P13" s="10">
        <f>O13+C13-G13</f>
        <v/>
      </c>
      <c r="S13" s="14" t="n"/>
    </row>
    <row r="14">
      <c r="A14" s="9" t="n">
        <v>12</v>
      </c>
      <c r="B14" s="10" t="n">
        <v>0</v>
      </c>
      <c r="C14" s="10" t="n">
        <v>0</v>
      </c>
      <c r="D14" s="10" t="n">
        <v>390000</v>
      </c>
      <c r="E14" s="10" t="n">
        <v>268190</v>
      </c>
      <c r="F14" s="10" t="n">
        <v>2083.33</v>
      </c>
      <c r="G14" s="10" t="n">
        <v>0</v>
      </c>
      <c r="H14" s="10" t="n">
        <v>38979.2</v>
      </c>
      <c r="I14" s="10" t="n">
        <v>0</v>
      </c>
      <c r="J14" s="10" t="n">
        <v>80747.47</v>
      </c>
      <c r="K14" s="10" t="n">
        <v>0</v>
      </c>
      <c r="L14" s="10" t="n">
        <v>80747.47</v>
      </c>
      <c r="M14" s="10">
        <f>$N13</f>
        <v/>
      </c>
      <c r="N14" s="10">
        <f>$M14+$L14</f>
        <v/>
      </c>
      <c r="O14" s="10">
        <f>P13</f>
        <v/>
      </c>
      <c r="P14" s="10">
        <f>O14+C14-G14</f>
        <v/>
      </c>
      <c r="S14" s="14" t="n"/>
    </row>
    <row r="15">
      <c r="A15" s="9" t="n">
        <v>13</v>
      </c>
      <c r="B15" s="10" t="n">
        <v>0</v>
      </c>
      <c r="C15" s="10" t="n">
        <v>0</v>
      </c>
      <c r="D15" s="10" t="n">
        <v>510000</v>
      </c>
      <c r="E15" s="10" t="n">
        <v>350710</v>
      </c>
      <c r="F15" s="10" t="n">
        <v>2083.33</v>
      </c>
      <c r="G15" s="10" t="n">
        <v>0</v>
      </c>
      <c r="H15" s="10" t="n">
        <v>50972.8</v>
      </c>
      <c r="I15" s="10" t="n">
        <v>0</v>
      </c>
      <c r="J15" s="10" t="n">
        <v>106233.87</v>
      </c>
      <c r="K15" s="10" t="n">
        <v>240000</v>
      </c>
      <c r="L15" s="10" t="n">
        <v>-133766.13</v>
      </c>
      <c r="M15" s="10">
        <f>$N14</f>
        <v/>
      </c>
      <c r="N15" s="10">
        <f>$M15+$L15</f>
        <v/>
      </c>
      <c r="O15" s="10">
        <f>P14</f>
        <v/>
      </c>
      <c r="P15" s="10">
        <f>O15+C15-G15</f>
        <v/>
      </c>
      <c r="S15" s="14" t="n"/>
    </row>
    <row r="16">
      <c r="A16" s="9" t="n">
        <v>14</v>
      </c>
      <c r="B16" s="10" t="n">
        <v>0</v>
      </c>
      <c r="C16" s="10" t="n">
        <v>0</v>
      </c>
      <c r="D16" s="10" t="n">
        <v>510000</v>
      </c>
      <c r="E16" s="10" t="n">
        <v>350710</v>
      </c>
      <c r="F16" s="10" t="n">
        <v>2083.33</v>
      </c>
      <c r="G16" s="10" t="n">
        <v>0</v>
      </c>
      <c r="H16" s="10" t="n">
        <v>50972.8</v>
      </c>
      <c r="I16" s="10" t="n">
        <v>0</v>
      </c>
      <c r="J16" s="10" t="n">
        <v>106233.87</v>
      </c>
      <c r="K16" s="10" t="n">
        <v>0</v>
      </c>
      <c r="L16" s="10" t="n">
        <v>106233.87</v>
      </c>
      <c r="M16" s="10">
        <f>$N15</f>
        <v/>
      </c>
      <c r="N16" s="10">
        <f>$M16+$L16</f>
        <v/>
      </c>
      <c r="O16" s="10">
        <f>P15</f>
        <v/>
      </c>
      <c r="P16" s="10">
        <f>O16+C16-G16</f>
        <v/>
      </c>
      <c r="S16" s="14" t="n"/>
    </row>
    <row r="17">
      <c r="A17" s="9" t="n">
        <v>15</v>
      </c>
      <c r="B17" s="10" t="n">
        <v>0</v>
      </c>
      <c r="C17" s="10" t="n">
        <v>0</v>
      </c>
      <c r="D17" s="10" t="n">
        <v>510000</v>
      </c>
      <c r="E17" s="10" t="n">
        <v>350710</v>
      </c>
      <c r="F17" s="10" t="n">
        <v>2083.33</v>
      </c>
      <c r="G17" s="10" t="n">
        <v>0</v>
      </c>
      <c r="H17" s="10" t="n">
        <v>50972.8</v>
      </c>
      <c r="I17" s="10" t="n">
        <v>0</v>
      </c>
      <c r="J17" s="10" t="n">
        <v>106233.87</v>
      </c>
      <c r="K17" s="10" t="n">
        <v>0</v>
      </c>
      <c r="L17" s="10" t="n">
        <v>106233.87</v>
      </c>
      <c r="M17" s="10">
        <f>$N16</f>
        <v/>
      </c>
      <c r="N17" s="10">
        <f>$M17+$L17</f>
        <v/>
      </c>
      <c r="O17" s="10">
        <f>P16</f>
        <v/>
      </c>
      <c r="P17" s="10">
        <f>O17+C17-G17</f>
        <v/>
      </c>
      <c r="S17" s="14" t="n"/>
    </row>
    <row r="18">
      <c r="A18" s="9" t="n">
        <v>16</v>
      </c>
      <c r="B18" s="10" t="n">
        <v>0</v>
      </c>
      <c r="C18" s="10" t="n">
        <v>0</v>
      </c>
      <c r="D18" s="10" t="n">
        <v>630000</v>
      </c>
      <c r="E18" s="10" t="n">
        <v>433230</v>
      </c>
      <c r="F18" s="10" t="n">
        <v>2083.33</v>
      </c>
      <c r="G18" s="10" t="n">
        <v>0</v>
      </c>
      <c r="H18" s="10" t="n">
        <v>62966.4</v>
      </c>
      <c r="I18" s="10" t="n">
        <v>0</v>
      </c>
      <c r="J18" s="10" t="n">
        <v>131720.27</v>
      </c>
      <c r="K18" s="10" t="n">
        <v>240000</v>
      </c>
      <c r="L18" s="10" t="n">
        <v>-108279.73</v>
      </c>
      <c r="M18" s="10">
        <f>$N17</f>
        <v/>
      </c>
      <c r="N18" s="10">
        <f>$M18+$L18</f>
        <v/>
      </c>
      <c r="O18" s="10">
        <f>P17</f>
        <v/>
      </c>
      <c r="P18" s="10">
        <f>O18+C18-G18</f>
        <v/>
      </c>
      <c r="S18" s="14" t="n"/>
    </row>
    <row r="19">
      <c r="A19" s="9" t="n">
        <v>17</v>
      </c>
      <c r="B19" s="10" t="n">
        <v>0</v>
      </c>
      <c r="C19" s="10" t="n">
        <v>0</v>
      </c>
      <c r="D19" s="10" t="n">
        <v>630000</v>
      </c>
      <c r="E19" s="10" t="n">
        <v>433230</v>
      </c>
      <c r="F19" s="10" t="n">
        <v>2083.33</v>
      </c>
      <c r="G19" s="10" t="n">
        <v>0</v>
      </c>
      <c r="H19" s="10" t="n">
        <v>62966.4</v>
      </c>
      <c r="I19" s="10" t="n">
        <v>0</v>
      </c>
      <c r="J19" s="10" t="n">
        <v>131720.27</v>
      </c>
      <c r="K19" s="10" t="n">
        <v>0</v>
      </c>
      <c r="L19" s="10" t="n">
        <v>131720.27</v>
      </c>
      <c r="M19" s="10">
        <f>$N18</f>
        <v/>
      </c>
      <c r="N19" s="10">
        <f>$M19+$L19</f>
        <v/>
      </c>
      <c r="O19" s="10">
        <f>P18</f>
        <v/>
      </c>
      <c r="P19" s="10">
        <f>O19+C19-G19</f>
        <v/>
      </c>
      <c r="S19" s="14" t="n"/>
    </row>
    <row r="20">
      <c r="A20" s="9" t="n">
        <v>18</v>
      </c>
      <c r="B20" s="10" t="n">
        <v>0</v>
      </c>
      <c r="C20" s="10" t="n">
        <v>0</v>
      </c>
      <c r="D20" s="10" t="n">
        <v>630000</v>
      </c>
      <c r="E20" s="10" t="n">
        <v>433230</v>
      </c>
      <c r="F20" s="10" t="n">
        <v>2083.33</v>
      </c>
      <c r="G20" s="10" t="n">
        <v>0</v>
      </c>
      <c r="H20" s="10" t="n">
        <v>62966.4</v>
      </c>
      <c r="I20" s="10" t="n">
        <v>0</v>
      </c>
      <c r="J20" s="10" t="n">
        <v>131720.27</v>
      </c>
      <c r="K20" s="10" t="n">
        <v>240000</v>
      </c>
      <c r="L20" s="10" t="n">
        <v>-108279.73</v>
      </c>
      <c r="M20" s="10">
        <f>$N19</f>
        <v/>
      </c>
      <c r="N20" s="10">
        <f>$M20+$L20</f>
        <v/>
      </c>
      <c r="O20" s="10">
        <f>P19</f>
        <v/>
      </c>
      <c r="P20" s="10">
        <f>O20+C20-G20</f>
        <v/>
      </c>
      <c r="S20" s="14" t="n"/>
    </row>
    <row r="21">
      <c r="A21" s="9" t="n">
        <v>19</v>
      </c>
      <c r="B21" s="10" t="n">
        <v>0</v>
      </c>
      <c r="C21" s="10" t="n">
        <v>0</v>
      </c>
      <c r="D21" s="10" t="n">
        <v>750000</v>
      </c>
      <c r="E21" s="10" t="n">
        <v>515750</v>
      </c>
      <c r="F21" s="10" t="n">
        <v>2083.33</v>
      </c>
      <c r="G21" s="10" t="n">
        <v>0</v>
      </c>
      <c r="H21" s="10" t="n">
        <v>74960</v>
      </c>
      <c r="I21" s="10" t="n">
        <v>0</v>
      </c>
      <c r="J21" s="10" t="n">
        <v>157206.67</v>
      </c>
      <c r="K21" s="10" t="n">
        <v>0</v>
      </c>
      <c r="L21" s="10" t="n">
        <v>157206.67</v>
      </c>
      <c r="M21" s="10">
        <f>$N20</f>
        <v/>
      </c>
      <c r="N21" s="10">
        <f>$M21+$L21</f>
        <v/>
      </c>
      <c r="O21" s="10">
        <f>P20</f>
        <v/>
      </c>
      <c r="P21" s="10">
        <f>O21+C21-G21</f>
        <v/>
      </c>
      <c r="S21" s="14" t="n"/>
    </row>
    <row r="22">
      <c r="A22" s="9" t="n">
        <v>20</v>
      </c>
      <c r="B22" s="10" t="n">
        <v>0</v>
      </c>
      <c r="C22" s="10" t="n">
        <v>0</v>
      </c>
      <c r="D22" s="10" t="n">
        <v>750000</v>
      </c>
      <c r="E22" s="10" t="n">
        <v>515750</v>
      </c>
      <c r="F22" s="10" t="n">
        <v>2083.33</v>
      </c>
      <c r="G22" s="10" t="n">
        <v>0</v>
      </c>
      <c r="H22" s="10" t="n">
        <v>74960</v>
      </c>
      <c r="I22" s="10" t="n">
        <v>0</v>
      </c>
      <c r="J22" s="10" t="n">
        <v>157206.67</v>
      </c>
      <c r="K22" s="10" t="n">
        <v>0</v>
      </c>
      <c r="L22" s="10" t="n">
        <v>157206.67</v>
      </c>
      <c r="M22" s="10">
        <f>$N21</f>
        <v/>
      </c>
      <c r="N22" s="10">
        <f>$M22+$L22</f>
        <v/>
      </c>
      <c r="O22" s="10">
        <f>P21</f>
        <v/>
      </c>
      <c r="P22" s="10">
        <f>O22+C22-G22</f>
        <v/>
      </c>
      <c r="S22" s="14" t="n"/>
    </row>
    <row r="23">
      <c r="A23" s="9" t="n">
        <v>21</v>
      </c>
      <c r="B23" s="10" t="n">
        <v>0</v>
      </c>
      <c r="C23" s="10" t="n">
        <v>0</v>
      </c>
      <c r="D23" s="10" t="n">
        <v>870000</v>
      </c>
      <c r="E23" s="10" t="n">
        <v>598270</v>
      </c>
      <c r="F23" s="10" t="n">
        <v>2083.33</v>
      </c>
      <c r="G23" s="10" t="n">
        <v>0</v>
      </c>
      <c r="H23" s="10" t="n">
        <v>86953.60000000001</v>
      </c>
      <c r="I23" s="10" t="n">
        <v>0</v>
      </c>
      <c r="J23" s="10" t="n">
        <v>182693.07</v>
      </c>
      <c r="K23" s="10" t="n">
        <v>240000</v>
      </c>
      <c r="L23" s="10" t="n">
        <v>-57306.93</v>
      </c>
      <c r="M23" s="10">
        <f>$N22</f>
        <v/>
      </c>
      <c r="N23" s="10">
        <f>$M23+$L23</f>
        <v/>
      </c>
      <c r="O23" s="10">
        <f>P22</f>
        <v/>
      </c>
      <c r="P23" s="10">
        <f>O23+C23-G23</f>
        <v/>
      </c>
      <c r="S23" s="14" t="n"/>
    </row>
    <row r="24">
      <c r="A24" s="9" t="n">
        <v>22</v>
      </c>
      <c r="B24" s="10" t="n">
        <v>0</v>
      </c>
      <c r="C24" s="10" t="n">
        <v>0</v>
      </c>
      <c r="D24" s="10" t="n">
        <v>870000</v>
      </c>
      <c r="E24" s="10" t="n">
        <v>598270</v>
      </c>
      <c r="F24" s="10" t="n">
        <v>2083.33</v>
      </c>
      <c r="G24" s="10" t="n">
        <v>0</v>
      </c>
      <c r="H24" s="10" t="n">
        <v>86953.60000000001</v>
      </c>
      <c r="I24" s="10" t="n">
        <v>0</v>
      </c>
      <c r="J24" s="10" t="n">
        <v>182693.07</v>
      </c>
      <c r="K24" s="10" t="n">
        <v>0</v>
      </c>
      <c r="L24" s="10" t="n">
        <v>182693.07</v>
      </c>
      <c r="M24" s="10">
        <f>$N23</f>
        <v/>
      </c>
      <c r="N24" s="10">
        <f>$M24+$L24</f>
        <v/>
      </c>
      <c r="O24" s="10">
        <f>P23</f>
        <v/>
      </c>
      <c r="P24" s="10">
        <f>O24+C24-G24</f>
        <v/>
      </c>
      <c r="S24" s="14" t="n"/>
    </row>
    <row r="25">
      <c r="A25" s="9" t="n">
        <v>23</v>
      </c>
      <c r="B25" s="10" t="n">
        <v>0</v>
      </c>
      <c r="C25" s="10" t="n">
        <v>0</v>
      </c>
      <c r="D25" s="10" t="n">
        <v>870000</v>
      </c>
      <c r="E25" s="10" t="n">
        <v>598270</v>
      </c>
      <c r="F25" s="10" t="n">
        <v>2083.33</v>
      </c>
      <c r="G25" s="10" t="n">
        <v>0</v>
      </c>
      <c r="H25" s="10" t="n">
        <v>86953.60000000001</v>
      </c>
      <c r="I25" s="10" t="n">
        <v>0</v>
      </c>
      <c r="J25" s="10" t="n">
        <v>182693.07</v>
      </c>
      <c r="K25" s="10" t="n">
        <v>240000</v>
      </c>
      <c r="L25" s="10" t="n">
        <v>-57306.93</v>
      </c>
      <c r="M25" s="10">
        <f>$N24</f>
        <v/>
      </c>
      <c r="N25" s="10">
        <f>$M25+$L25</f>
        <v/>
      </c>
      <c r="O25" s="10">
        <f>P24</f>
        <v/>
      </c>
      <c r="P25" s="10">
        <f>O25+C25-G25</f>
        <v/>
      </c>
      <c r="S25" s="14" t="n"/>
    </row>
    <row r="26">
      <c r="A26" s="9" t="n">
        <v>24</v>
      </c>
      <c r="B26" s="10" t="n">
        <v>0</v>
      </c>
      <c r="C26" s="10" t="n">
        <v>0</v>
      </c>
      <c r="D26" s="10" t="n">
        <v>990000</v>
      </c>
      <c r="E26" s="10" t="n">
        <v>680790</v>
      </c>
      <c r="F26" s="10" t="n">
        <v>2083.33</v>
      </c>
      <c r="G26" s="10" t="n">
        <v>0</v>
      </c>
      <c r="H26" s="10" t="n">
        <v>98947.2</v>
      </c>
      <c r="I26" s="10" t="n">
        <v>0</v>
      </c>
      <c r="J26" s="10" t="n">
        <v>208179.47</v>
      </c>
      <c r="K26" s="10" t="n">
        <v>0</v>
      </c>
      <c r="L26" s="10" t="n">
        <v>208179.47</v>
      </c>
      <c r="M26" s="10">
        <f>$N25</f>
        <v/>
      </c>
      <c r="N26" s="10">
        <f>$M26+$L26</f>
        <v/>
      </c>
      <c r="O26" s="10">
        <f>P25</f>
        <v/>
      </c>
      <c r="P26" s="10">
        <f>O26+C26-G26</f>
        <v/>
      </c>
      <c r="S26" s="14" t="n"/>
    </row>
    <row r="27">
      <c r="A27" s="9" t="n">
        <v>25</v>
      </c>
      <c r="B27" s="10" t="n">
        <v>0</v>
      </c>
      <c r="C27" s="10" t="n">
        <v>0</v>
      </c>
      <c r="D27" s="10" t="n">
        <v>990000</v>
      </c>
      <c r="E27" s="10" t="n">
        <v>680790</v>
      </c>
      <c r="F27" s="10" t="n">
        <v>2083.33</v>
      </c>
      <c r="G27" s="10" t="n">
        <v>0</v>
      </c>
      <c r="H27" s="10" t="n">
        <v>98947.2</v>
      </c>
      <c r="I27" s="10" t="n">
        <v>0</v>
      </c>
      <c r="J27" s="10" t="n">
        <v>208179.47</v>
      </c>
      <c r="K27" s="10" t="n">
        <v>0</v>
      </c>
      <c r="L27" s="10" t="n">
        <v>208179.47</v>
      </c>
      <c r="M27" s="10">
        <f>$N26</f>
        <v/>
      </c>
      <c r="N27" s="10">
        <f>$M27+$L27</f>
        <v/>
      </c>
      <c r="O27" s="10">
        <f>P26</f>
        <v/>
      </c>
      <c r="P27" s="10">
        <f>O27+C27-G27</f>
        <v/>
      </c>
      <c r="S27" s="14" t="n"/>
    </row>
    <row r="28">
      <c r="A28" s="9" t="n">
        <v>26</v>
      </c>
      <c r="B28" s="10" t="n">
        <v>0</v>
      </c>
      <c r="C28" s="10" t="n">
        <v>0</v>
      </c>
      <c r="D28" s="10" t="n">
        <v>1110000</v>
      </c>
      <c r="E28" s="10" t="n">
        <v>763310</v>
      </c>
      <c r="F28" s="10" t="n">
        <v>2083.33</v>
      </c>
      <c r="G28" s="10" t="n">
        <v>0</v>
      </c>
      <c r="H28" s="10" t="n">
        <v>110940.8</v>
      </c>
      <c r="I28" s="10" t="n">
        <v>0</v>
      </c>
      <c r="J28" s="10" t="n">
        <v>233665.87</v>
      </c>
      <c r="K28" s="10" t="n">
        <v>300000</v>
      </c>
      <c r="L28" s="10" t="n">
        <v>-66334.13</v>
      </c>
      <c r="M28" s="10">
        <f>$N27</f>
        <v/>
      </c>
      <c r="N28" s="10">
        <f>$M28+$L28</f>
        <v/>
      </c>
      <c r="O28" s="10">
        <f>P27</f>
        <v/>
      </c>
      <c r="P28" s="10">
        <f>O28+C28-G28</f>
        <v/>
      </c>
      <c r="S28" s="14" t="n"/>
    </row>
    <row r="29">
      <c r="A29" s="9" t="n">
        <v>27</v>
      </c>
      <c r="B29" s="10" t="n">
        <v>0</v>
      </c>
      <c r="C29" s="10" t="n">
        <v>0</v>
      </c>
      <c r="D29" s="10" t="n">
        <v>1110000</v>
      </c>
      <c r="E29" s="10" t="n">
        <v>763310</v>
      </c>
      <c r="F29" s="10" t="n">
        <v>2083.33</v>
      </c>
      <c r="G29" s="10" t="n">
        <v>0</v>
      </c>
      <c r="H29" s="10" t="n">
        <v>110940.8</v>
      </c>
      <c r="I29" s="10" t="n">
        <v>0</v>
      </c>
      <c r="J29" s="10" t="n">
        <v>233665.87</v>
      </c>
      <c r="K29" s="10" t="n">
        <v>0</v>
      </c>
      <c r="L29" s="10" t="n">
        <v>233665.87</v>
      </c>
      <c r="M29" s="10">
        <f>$N28</f>
        <v/>
      </c>
      <c r="N29" s="10">
        <f>$M29+$L29</f>
        <v/>
      </c>
      <c r="O29" s="10">
        <f>P28</f>
        <v/>
      </c>
      <c r="P29" s="10">
        <f>O29+C29-G29</f>
        <v/>
      </c>
      <c r="S29" s="14" t="n"/>
    </row>
    <row r="30">
      <c r="A30" s="9" t="n">
        <v>28</v>
      </c>
      <c r="B30" s="10" t="n">
        <v>0</v>
      </c>
      <c r="C30" s="10" t="n">
        <v>0</v>
      </c>
      <c r="D30" s="10" t="n">
        <v>1110000</v>
      </c>
      <c r="E30" s="10" t="n">
        <v>763310</v>
      </c>
      <c r="F30" s="10" t="n">
        <v>2083.33</v>
      </c>
      <c r="G30" s="10" t="n">
        <v>0</v>
      </c>
      <c r="H30" s="10" t="n">
        <v>110940.8</v>
      </c>
      <c r="I30" s="10" t="n">
        <v>0</v>
      </c>
      <c r="J30" s="10" t="n">
        <v>233665.87</v>
      </c>
      <c r="K30" s="10" t="n">
        <v>240000</v>
      </c>
      <c r="L30" s="10" t="n">
        <v>-6334.13</v>
      </c>
      <c r="M30" s="10">
        <f>$N29</f>
        <v/>
      </c>
      <c r="N30" s="10">
        <f>$M30+$L30</f>
        <v/>
      </c>
      <c r="O30" s="10">
        <f>P29</f>
        <v/>
      </c>
      <c r="P30" s="10">
        <f>O30+C30-G30</f>
        <v/>
      </c>
      <c r="S30" s="14" t="n"/>
    </row>
    <row r="31">
      <c r="A31" s="9" t="n">
        <v>29</v>
      </c>
      <c r="B31" s="10" t="n">
        <v>0</v>
      </c>
      <c r="C31" s="10" t="n">
        <v>0</v>
      </c>
      <c r="D31" s="10" t="n">
        <v>1260000</v>
      </c>
      <c r="E31" s="10" t="n">
        <v>866460</v>
      </c>
      <c r="F31" s="10" t="n">
        <v>2083.33</v>
      </c>
      <c r="G31" s="10" t="n">
        <v>0</v>
      </c>
      <c r="H31" s="10" t="n">
        <v>125932.8</v>
      </c>
      <c r="I31" s="10" t="n">
        <v>0</v>
      </c>
      <c r="J31" s="10" t="n">
        <v>265523.87</v>
      </c>
      <c r="K31" s="10" t="n">
        <v>0</v>
      </c>
      <c r="L31" s="10" t="n">
        <v>265523.87</v>
      </c>
      <c r="M31" s="10">
        <f>$N30</f>
        <v/>
      </c>
      <c r="N31" s="10">
        <f>$M31+$L31</f>
        <v/>
      </c>
      <c r="O31" s="10">
        <f>P30</f>
        <v/>
      </c>
      <c r="P31" s="10">
        <f>O31+C31-G31</f>
        <v/>
      </c>
      <c r="S31" s="14" t="n"/>
    </row>
    <row r="32">
      <c r="A32" s="9" t="n">
        <v>30</v>
      </c>
      <c r="B32" s="10" t="n">
        <v>0</v>
      </c>
      <c r="C32" s="10" t="n">
        <v>0</v>
      </c>
      <c r="D32" s="10" t="n">
        <v>1260000</v>
      </c>
      <c r="E32" s="10" t="n">
        <v>866460</v>
      </c>
      <c r="F32" s="10" t="n">
        <v>2083.33</v>
      </c>
      <c r="G32" s="10" t="n">
        <v>0</v>
      </c>
      <c r="H32" s="10" t="n">
        <v>125932.8</v>
      </c>
      <c r="I32" s="10" t="n">
        <v>0</v>
      </c>
      <c r="J32" s="10" t="n">
        <v>265523.87</v>
      </c>
      <c r="K32" s="10" t="n">
        <v>240000</v>
      </c>
      <c r="L32" s="10" t="n">
        <v>25523.87</v>
      </c>
      <c r="M32" s="10">
        <f>$N31</f>
        <v/>
      </c>
      <c r="N32" s="10">
        <f>$M32+$L32</f>
        <v/>
      </c>
      <c r="O32" s="10">
        <f>P31</f>
        <v/>
      </c>
      <c r="P32" s="10">
        <f>O32+C32-G32</f>
        <v/>
      </c>
      <c r="S32" s="14" t="n"/>
    </row>
    <row r="33">
      <c r="A33" s="9" t="n">
        <v>31</v>
      </c>
      <c r="B33" s="10" t="n">
        <v>0</v>
      </c>
      <c r="C33" s="10" t="n">
        <v>0</v>
      </c>
      <c r="D33" s="10" t="n">
        <v>1380000</v>
      </c>
      <c r="E33" s="10" t="n">
        <v>948980</v>
      </c>
      <c r="F33" s="10" t="n">
        <v>2083.33</v>
      </c>
      <c r="G33" s="10" t="n">
        <v>0</v>
      </c>
      <c r="H33" s="10" t="n">
        <v>137926.4</v>
      </c>
      <c r="I33" s="10" t="n">
        <v>0</v>
      </c>
      <c r="J33" s="10" t="n">
        <v>291010.27</v>
      </c>
      <c r="K33" s="10" t="n">
        <v>0</v>
      </c>
      <c r="L33" s="10" t="n">
        <v>291010.27</v>
      </c>
      <c r="M33" s="10">
        <f>$N32</f>
        <v/>
      </c>
      <c r="N33" s="10">
        <f>$M33+$L33</f>
        <v/>
      </c>
      <c r="O33" s="10">
        <f>P32</f>
        <v/>
      </c>
      <c r="P33" s="10">
        <f>O33+C33-G33</f>
        <v/>
      </c>
      <c r="S33" s="14" t="n"/>
    </row>
    <row r="34">
      <c r="A34" s="9" t="n">
        <v>32</v>
      </c>
      <c r="B34" s="10" t="n">
        <v>0</v>
      </c>
      <c r="C34" s="10" t="n">
        <v>0</v>
      </c>
      <c r="D34" s="10" t="n">
        <v>1110000</v>
      </c>
      <c r="E34" s="10" t="n">
        <v>763310</v>
      </c>
      <c r="F34" s="10" t="n">
        <v>2083.33</v>
      </c>
      <c r="G34" s="10" t="n">
        <v>0</v>
      </c>
      <c r="H34" s="10" t="n">
        <v>110940.8</v>
      </c>
      <c r="I34" s="10" t="n">
        <v>0</v>
      </c>
      <c r="J34" s="10" t="n">
        <v>233665.87</v>
      </c>
      <c r="K34" s="10" t="n">
        <v>240000</v>
      </c>
      <c r="L34" s="10" t="n">
        <v>-6334.13</v>
      </c>
      <c r="M34" s="10">
        <f>$N33</f>
        <v/>
      </c>
      <c r="N34" s="10">
        <f>$M34+$L34</f>
        <v/>
      </c>
      <c r="O34" s="10">
        <f>P33</f>
        <v/>
      </c>
      <c r="P34" s="10">
        <f>O34+C34-G34</f>
        <v/>
      </c>
      <c r="S34" s="14" t="n"/>
    </row>
    <row r="35">
      <c r="A35" s="9" t="n">
        <v>33</v>
      </c>
      <c r="B35" s="10" t="n">
        <v>0</v>
      </c>
      <c r="C35" s="10" t="n">
        <v>0</v>
      </c>
      <c r="D35" s="10" t="n">
        <v>1230000</v>
      </c>
      <c r="E35" s="10" t="n">
        <v>845830</v>
      </c>
      <c r="F35" s="10" t="n">
        <v>2083.33</v>
      </c>
      <c r="G35" s="10" t="n">
        <v>0</v>
      </c>
      <c r="H35" s="10" t="n">
        <v>122934.4</v>
      </c>
      <c r="I35" s="10" t="n">
        <v>0</v>
      </c>
      <c r="J35" s="10" t="n">
        <v>259152.27</v>
      </c>
      <c r="K35" s="10" t="n">
        <v>0</v>
      </c>
      <c r="L35" s="10" t="n">
        <v>259152.27</v>
      </c>
      <c r="M35" s="10">
        <f>$N34</f>
        <v/>
      </c>
      <c r="N35" s="10">
        <f>$M35+$L35</f>
        <v/>
      </c>
      <c r="O35" s="10">
        <f>P34</f>
        <v/>
      </c>
      <c r="P35" s="10">
        <f>O35+C35-G35</f>
        <v/>
      </c>
      <c r="S35" s="14" t="n"/>
    </row>
    <row r="36">
      <c r="A36" s="9" t="n">
        <v>34</v>
      </c>
      <c r="B36" s="10" t="n">
        <v>0</v>
      </c>
      <c r="C36" s="10" t="n">
        <v>0</v>
      </c>
      <c r="D36" s="10" t="n">
        <v>1230000</v>
      </c>
      <c r="E36" s="10" t="n">
        <v>845830</v>
      </c>
      <c r="F36" s="10" t="n">
        <v>2083.33</v>
      </c>
      <c r="G36" s="10" t="n">
        <v>0</v>
      </c>
      <c r="H36" s="10" t="n">
        <v>122934.4</v>
      </c>
      <c r="I36" s="10" t="n">
        <v>0</v>
      </c>
      <c r="J36" s="10" t="n">
        <v>259152.27</v>
      </c>
      <c r="K36" s="10" t="n">
        <v>240000</v>
      </c>
      <c r="L36" s="10" t="n">
        <v>19152.27</v>
      </c>
      <c r="M36" s="10">
        <f>$N35</f>
        <v/>
      </c>
      <c r="N36" s="10">
        <f>$M36+$L36</f>
        <v/>
      </c>
      <c r="O36" s="10">
        <f>P35</f>
        <v/>
      </c>
      <c r="P36" s="10">
        <f>O36+C36-G36</f>
        <v/>
      </c>
      <c r="S36" s="14" t="n"/>
    </row>
    <row r="37">
      <c r="A37" s="9" t="n">
        <v>35</v>
      </c>
      <c r="B37" s="10" t="n">
        <v>0</v>
      </c>
      <c r="C37" s="10" t="n">
        <v>0</v>
      </c>
      <c r="D37" s="10" t="n">
        <v>1350000</v>
      </c>
      <c r="E37" s="10" t="n">
        <v>928350</v>
      </c>
      <c r="F37" s="10" t="n">
        <v>2083.33</v>
      </c>
      <c r="G37" s="10" t="n">
        <v>0</v>
      </c>
      <c r="H37" s="10" t="n">
        <v>134928</v>
      </c>
      <c r="I37" s="10" t="n">
        <v>0</v>
      </c>
      <c r="J37" s="10" t="n">
        <v>284638.67</v>
      </c>
      <c r="K37" s="10" t="n">
        <v>0</v>
      </c>
      <c r="L37" s="10" t="n">
        <v>284638.67</v>
      </c>
      <c r="M37" s="10">
        <f>$N36</f>
        <v/>
      </c>
      <c r="N37" s="10">
        <f>$M37+$L37</f>
        <v/>
      </c>
      <c r="O37" s="10">
        <f>P36</f>
        <v/>
      </c>
      <c r="P37" s="10">
        <f>O37+C37-G37</f>
        <v/>
      </c>
      <c r="S37" s="14" t="n"/>
    </row>
    <row r="38">
      <c r="A38" s="9" t="n">
        <v>36</v>
      </c>
      <c r="B38" s="10" t="n">
        <v>0</v>
      </c>
      <c r="C38" s="10" t="n">
        <v>0</v>
      </c>
      <c r="D38" s="10" t="n">
        <v>1350000</v>
      </c>
      <c r="E38" s="10" t="n">
        <v>928350</v>
      </c>
      <c r="F38" s="10" t="n">
        <v>2083.33</v>
      </c>
      <c r="G38" s="10" t="n">
        <v>0</v>
      </c>
      <c r="H38" s="10" t="n">
        <v>134928</v>
      </c>
      <c r="I38" s="10" t="n">
        <v>0</v>
      </c>
      <c r="J38" s="10" t="n">
        <v>284638.67</v>
      </c>
      <c r="K38" s="10" t="n">
        <v>240000</v>
      </c>
      <c r="L38" s="10" t="n">
        <v>44638.67</v>
      </c>
      <c r="M38" s="10">
        <f>$N37</f>
        <v/>
      </c>
      <c r="N38" s="10">
        <f>$M38+$L38</f>
        <v/>
      </c>
      <c r="O38" s="10">
        <f>P37</f>
        <v/>
      </c>
      <c r="P38" s="10">
        <f>O38+C38-G38</f>
        <v/>
      </c>
      <c r="S38" s="14" t="n"/>
    </row>
    <row r="39">
      <c r="A39" s="9" t="n">
        <v>37</v>
      </c>
      <c r="B39" s="10" t="n">
        <v>0</v>
      </c>
      <c r="C39" s="10" t="n">
        <v>0</v>
      </c>
      <c r="D39" s="10" t="n">
        <v>1350000</v>
      </c>
      <c r="E39" s="10" t="n">
        <v>928350</v>
      </c>
      <c r="F39" s="10" t="n">
        <v>2083.33</v>
      </c>
      <c r="G39" s="10" t="n">
        <v>0</v>
      </c>
      <c r="H39" s="10" t="n">
        <v>134928</v>
      </c>
      <c r="I39" s="10" t="n">
        <v>0</v>
      </c>
      <c r="J39" s="10" t="n">
        <v>284638.67</v>
      </c>
      <c r="K39" s="10" t="n">
        <v>0</v>
      </c>
      <c r="L39" s="10" t="n">
        <v>284638.67</v>
      </c>
      <c r="M39" s="10">
        <f>$N38</f>
        <v/>
      </c>
      <c r="N39" s="10">
        <f>$M39+$L39</f>
        <v/>
      </c>
      <c r="O39" s="10">
        <f>P38</f>
        <v/>
      </c>
      <c r="P39" s="10">
        <f>O39+C39-G39</f>
        <v/>
      </c>
      <c r="S39" s="14" t="n"/>
    </row>
    <row r="40">
      <c r="A40" s="9" t="n">
        <v>38</v>
      </c>
      <c r="B40" s="10" t="n">
        <v>0</v>
      </c>
      <c r="C40" s="10" t="n">
        <v>0</v>
      </c>
      <c r="D40" s="10" t="n">
        <v>1350000</v>
      </c>
      <c r="E40" s="10" t="n">
        <v>928350</v>
      </c>
      <c r="F40" s="10" t="n">
        <v>2083.33</v>
      </c>
      <c r="G40" s="10" t="n">
        <v>0</v>
      </c>
      <c r="H40" s="10" t="n">
        <v>134928</v>
      </c>
      <c r="I40" s="10" t="n">
        <v>0</v>
      </c>
      <c r="J40" s="10" t="n">
        <v>284638.67</v>
      </c>
      <c r="K40" s="10" t="n">
        <v>240000</v>
      </c>
      <c r="L40" s="10" t="n">
        <v>44638.67</v>
      </c>
      <c r="M40" s="10">
        <f>$N39</f>
        <v/>
      </c>
      <c r="N40" s="10">
        <f>$M40+$L40</f>
        <v/>
      </c>
      <c r="O40" s="10">
        <f>P39</f>
        <v/>
      </c>
      <c r="P40" s="10">
        <f>O40+C40-G40</f>
        <v/>
      </c>
      <c r="S40" s="14" t="n"/>
    </row>
    <row r="41">
      <c r="A41" s="9" t="n">
        <v>39</v>
      </c>
      <c r="B41" s="10" t="n">
        <v>0</v>
      </c>
      <c r="C41" s="10" t="n">
        <v>0</v>
      </c>
      <c r="D41" s="10" t="n">
        <v>1470000</v>
      </c>
      <c r="E41" s="10" t="n">
        <v>1010870</v>
      </c>
      <c r="F41" s="10" t="n">
        <v>2083.33</v>
      </c>
      <c r="G41" s="10" t="n">
        <v>0</v>
      </c>
      <c r="H41" s="10" t="n">
        <v>146921.6</v>
      </c>
      <c r="I41" s="10" t="n">
        <v>0</v>
      </c>
      <c r="J41" s="10" t="n">
        <v>310125.07</v>
      </c>
      <c r="K41" s="10" t="n">
        <v>0</v>
      </c>
      <c r="L41" s="10" t="n">
        <v>310125.07</v>
      </c>
      <c r="M41" s="10">
        <f>$N40</f>
        <v/>
      </c>
      <c r="N41" s="10">
        <f>$M41+$L41</f>
        <v/>
      </c>
      <c r="O41" s="10">
        <f>P40</f>
        <v/>
      </c>
      <c r="P41" s="10">
        <f>O41+C41-G41</f>
        <v/>
      </c>
      <c r="S41" s="14" t="n"/>
    </row>
    <row r="42">
      <c r="A42" s="9" t="n">
        <v>40</v>
      </c>
      <c r="B42" s="10" t="n">
        <v>0</v>
      </c>
      <c r="C42" s="10" t="n">
        <v>0</v>
      </c>
      <c r="D42" s="10" t="n">
        <v>1350000</v>
      </c>
      <c r="E42" s="10" t="n">
        <v>928350</v>
      </c>
      <c r="F42" s="10" t="n">
        <v>2083.33</v>
      </c>
      <c r="G42" s="10" t="n">
        <v>0</v>
      </c>
      <c r="H42" s="10" t="n">
        <v>134928</v>
      </c>
      <c r="I42" s="10" t="n">
        <v>0</v>
      </c>
      <c r="J42" s="10" t="n">
        <v>284638.67</v>
      </c>
      <c r="K42" s="10" t="n">
        <v>300000</v>
      </c>
      <c r="L42" s="10" t="n">
        <v>-15361.33</v>
      </c>
      <c r="M42" s="10">
        <f>$N41</f>
        <v/>
      </c>
      <c r="N42" s="10">
        <f>$M42+$L42</f>
        <v/>
      </c>
      <c r="O42" s="10">
        <f>P41</f>
        <v/>
      </c>
      <c r="P42" s="10">
        <f>O42+C42-G42</f>
        <v/>
      </c>
      <c r="S42" s="14" t="n"/>
    </row>
    <row r="43">
      <c r="A43" s="9" t="n">
        <v>41</v>
      </c>
      <c r="B43" s="10" t="n">
        <v>0</v>
      </c>
      <c r="C43" s="10" t="n">
        <v>0</v>
      </c>
      <c r="D43" s="10" t="n">
        <v>1470000</v>
      </c>
      <c r="E43" s="10" t="n">
        <v>1010870</v>
      </c>
      <c r="F43" s="10" t="n">
        <v>2083.33</v>
      </c>
      <c r="G43" s="10" t="n">
        <v>0</v>
      </c>
      <c r="H43" s="10" t="n">
        <v>146921.6</v>
      </c>
      <c r="I43" s="10" t="n">
        <v>0</v>
      </c>
      <c r="J43" s="10" t="n">
        <v>310125.07</v>
      </c>
      <c r="K43" s="10" t="n">
        <v>0</v>
      </c>
      <c r="L43" s="10" t="n">
        <v>310125.07</v>
      </c>
      <c r="M43" s="10">
        <f>$N42</f>
        <v/>
      </c>
      <c r="N43" s="10">
        <f>$M43+$L43</f>
        <v/>
      </c>
      <c r="O43" s="10">
        <f>P42</f>
        <v/>
      </c>
      <c r="P43" s="10">
        <f>O43+C43-G43</f>
        <v/>
      </c>
      <c r="S43" s="14" t="n"/>
    </row>
    <row r="44">
      <c r="A44" s="9" t="n">
        <v>42</v>
      </c>
      <c r="B44" s="10" t="n">
        <v>0</v>
      </c>
      <c r="C44" s="10" t="n">
        <v>0</v>
      </c>
      <c r="D44" s="10" t="n">
        <v>1470000</v>
      </c>
      <c r="E44" s="10" t="n">
        <v>1010870</v>
      </c>
      <c r="F44" s="10" t="n">
        <v>2083.33</v>
      </c>
      <c r="G44" s="10" t="n">
        <v>0</v>
      </c>
      <c r="H44" s="10" t="n">
        <v>146921.6</v>
      </c>
      <c r="I44" s="10" t="n">
        <v>0</v>
      </c>
      <c r="J44" s="10" t="n">
        <v>310125.07</v>
      </c>
      <c r="K44" s="10" t="n">
        <v>300000</v>
      </c>
      <c r="L44" s="10" t="n">
        <v>10125.07</v>
      </c>
      <c r="M44" s="10">
        <f>$N43</f>
        <v/>
      </c>
      <c r="N44" s="10">
        <f>$M44+$L44</f>
        <v/>
      </c>
      <c r="O44" s="10">
        <f>P43</f>
        <v/>
      </c>
      <c r="P44" s="10">
        <f>O44+C44-G44</f>
        <v/>
      </c>
      <c r="S44" s="14" t="n"/>
    </row>
    <row r="45">
      <c r="A45" s="9" t="n">
        <v>43</v>
      </c>
      <c r="B45" s="10" t="n">
        <v>0</v>
      </c>
      <c r="C45" s="10" t="n">
        <v>0</v>
      </c>
      <c r="D45" s="10" t="n">
        <v>1500000</v>
      </c>
      <c r="E45" s="10" t="n">
        <v>1031500</v>
      </c>
      <c r="F45" s="10" t="n">
        <v>2083.33</v>
      </c>
      <c r="G45" s="10" t="n">
        <v>0</v>
      </c>
      <c r="H45" s="10" t="n">
        <v>149920</v>
      </c>
      <c r="I45" s="10" t="n">
        <v>0</v>
      </c>
      <c r="J45" s="10" t="n">
        <v>316496.67</v>
      </c>
      <c r="K45" s="10" t="n">
        <v>0</v>
      </c>
      <c r="L45" s="10" t="n">
        <v>316496.67</v>
      </c>
      <c r="M45" s="10">
        <f>$N44</f>
        <v/>
      </c>
      <c r="N45" s="10">
        <f>$M45+$L45</f>
        <v/>
      </c>
      <c r="O45" s="10">
        <f>P44</f>
        <v/>
      </c>
      <c r="P45" s="10">
        <f>O45+C45-G45</f>
        <v/>
      </c>
      <c r="S45" s="14" t="n"/>
    </row>
    <row r="46">
      <c r="A46" s="9" t="n">
        <v>44</v>
      </c>
      <c r="B46" s="10" t="n">
        <v>0</v>
      </c>
      <c r="C46" s="10" t="n">
        <v>0</v>
      </c>
      <c r="D46" s="10" t="n">
        <v>1500000</v>
      </c>
      <c r="E46" s="10" t="n">
        <v>1031500</v>
      </c>
      <c r="F46" s="10" t="n">
        <v>2083.33</v>
      </c>
      <c r="G46" s="10" t="n">
        <v>0</v>
      </c>
      <c r="H46" s="10" t="n">
        <v>149920</v>
      </c>
      <c r="I46" s="10" t="n">
        <v>0</v>
      </c>
      <c r="J46" s="10" t="n">
        <v>316496.67</v>
      </c>
      <c r="K46" s="10" t="n">
        <v>300000</v>
      </c>
      <c r="L46" s="10" t="n">
        <v>16496.67</v>
      </c>
      <c r="M46" s="10">
        <f>$N45</f>
        <v/>
      </c>
      <c r="N46" s="10">
        <f>$M46+$L46</f>
        <v/>
      </c>
      <c r="O46" s="10">
        <f>P45</f>
        <v/>
      </c>
      <c r="P46" s="10">
        <f>O46+C46-G46</f>
        <v/>
      </c>
      <c r="S46" s="14" t="n"/>
    </row>
    <row r="47">
      <c r="A47" s="9" t="n">
        <v>45</v>
      </c>
      <c r="B47" s="10" t="n">
        <v>0</v>
      </c>
      <c r="C47" s="10" t="n">
        <v>0</v>
      </c>
      <c r="D47" s="10" t="n">
        <v>1530000</v>
      </c>
      <c r="E47" s="10" t="n">
        <v>1052130</v>
      </c>
      <c r="F47" s="10" t="n">
        <v>2083.33</v>
      </c>
      <c r="G47" s="10" t="n">
        <v>0</v>
      </c>
      <c r="H47" s="10" t="n">
        <v>152918.4</v>
      </c>
      <c r="I47" s="10" t="n">
        <v>0</v>
      </c>
      <c r="J47" s="10" t="n">
        <v>322868.27</v>
      </c>
      <c r="K47" s="10" t="n">
        <v>0</v>
      </c>
      <c r="L47" s="10" t="n">
        <v>322868.27</v>
      </c>
      <c r="M47" s="10">
        <f>$N46</f>
        <v/>
      </c>
      <c r="N47" s="10">
        <f>$M47+$L47</f>
        <v/>
      </c>
      <c r="O47" s="10">
        <f>P46</f>
        <v/>
      </c>
      <c r="P47" s="10">
        <f>O47+C47-G47</f>
        <v/>
      </c>
      <c r="S47" s="14" t="n"/>
    </row>
    <row r="48">
      <c r="A48" s="9" t="n">
        <v>46</v>
      </c>
      <c r="B48" s="10" t="n">
        <v>0</v>
      </c>
      <c r="C48" s="10" t="n">
        <v>0</v>
      </c>
      <c r="D48" s="10" t="n">
        <v>1530000</v>
      </c>
      <c r="E48" s="10" t="n">
        <v>1052130</v>
      </c>
      <c r="F48" s="10" t="n">
        <v>2083.33</v>
      </c>
      <c r="G48" s="10" t="n">
        <v>0</v>
      </c>
      <c r="H48" s="10" t="n">
        <v>152918.4</v>
      </c>
      <c r="I48" s="10" t="n">
        <v>0</v>
      </c>
      <c r="J48" s="10" t="n">
        <v>322868.27</v>
      </c>
      <c r="K48" s="10" t="n">
        <v>240000</v>
      </c>
      <c r="L48" s="10" t="n">
        <v>82868.27</v>
      </c>
      <c r="M48" s="10">
        <f>$N47</f>
        <v/>
      </c>
      <c r="N48" s="10">
        <f>$M48+$L48</f>
        <v/>
      </c>
      <c r="O48" s="10">
        <f>P47</f>
        <v/>
      </c>
      <c r="P48" s="10">
        <f>O48+C48-G48</f>
        <v/>
      </c>
      <c r="S48" s="14" t="n"/>
    </row>
    <row r="49">
      <c r="A49" s="9" t="n">
        <v>47</v>
      </c>
      <c r="B49" s="10" t="n">
        <v>0</v>
      </c>
      <c r="C49" s="10" t="n">
        <v>0</v>
      </c>
      <c r="D49" s="10" t="n">
        <v>1680000</v>
      </c>
      <c r="E49" s="10" t="n">
        <v>1155280</v>
      </c>
      <c r="F49" s="10" t="n">
        <v>2083.33</v>
      </c>
      <c r="G49" s="10" t="n">
        <v>0</v>
      </c>
      <c r="H49" s="10" t="n">
        <v>167910.4</v>
      </c>
      <c r="I49" s="10" t="n">
        <v>0</v>
      </c>
      <c r="J49" s="10" t="n">
        <v>354726.27</v>
      </c>
      <c r="K49" s="10" t="n">
        <v>0</v>
      </c>
      <c r="L49" s="10" t="n">
        <v>354726.27</v>
      </c>
      <c r="M49" s="10">
        <f>$N48</f>
        <v/>
      </c>
      <c r="N49" s="10">
        <f>$M49+$L49</f>
        <v/>
      </c>
      <c r="O49" s="10">
        <f>P48</f>
        <v/>
      </c>
      <c r="P49" s="10">
        <f>O49+C49-G49</f>
        <v/>
      </c>
      <c r="S49" s="14" t="n"/>
    </row>
    <row r="50">
      <c r="A50" s="9" t="n">
        <v>48</v>
      </c>
      <c r="B50" s="10" t="n">
        <v>0</v>
      </c>
      <c r="C50" s="10" t="n">
        <v>0</v>
      </c>
      <c r="D50" s="10" t="n">
        <v>1560000</v>
      </c>
      <c r="E50" s="10" t="n">
        <v>1072760</v>
      </c>
      <c r="F50" s="10" t="n">
        <v>2083.33</v>
      </c>
      <c r="G50" s="10" t="n">
        <v>0</v>
      </c>
      <c r="H50" s="10" t="n">
        <v>155916.8</v>
      </c>
      <c r="I50" s="10" t="n">
        <v>0</v>
      </c>
      <c r="J50" s="10" t="n">
        <v>329239.87</v>
      </c>
      <c r="K50" s="10" t="n">
        <v>360000</v>
      </c>
      <c r="L50" s="10" t="n">
        <v>-30760.13</v>
      </c>
      <c r="M50" s="10">
        <f>$N49</f>
        <v/>
      </c>
      <c r="N50" s="10">
        <f>$M50+$L50</f>
        <v/>
      </c>
      <c r="O50" s="10">
        <f>P49</f>
        <v/>
      </c>
      <c r="P50" s="10">
        <f>O50+C50-G50</f>
        <v/>
      </c>
      <c r="Q50" s="14" t="n"/>
      <c r="S50" s="14" t="n"/>
    </row>
    <row r="51">
      <c r="A51" s="9" t="n">
        <v>49</v>
      </c>
      <c r="B51" s="10" t="n">
        <v>0</v>
      </c>
      <c r="C51" s="10" t="n">
        <v>0</v>
      </c>
      <c r="D51" s="10" t="n">
        <v>1680000</v>
      </c>
      <c r="E51" s="10" t="n">
        <v>1155280</v>
      </c>
      <c r="F51" s="10" t="n">
        <v>2083.33</v>
      </c>
      <c r="G51" s="10" t="n">
        <v>0</v>
      </c>
      <c r="H51" s="10" t="n">
        <v>167910.4</v>
      </c>
      <c r="I51" s="10" t="n">
        <v>0</v>
      </c>
      <c r="J51" s="10" t="n">
        <v>354726.27</v>
      </c>
      <c r="K51" s="10" t="n">
        <v>0</v>
      </c>
      <c r="L51" s="10" t="n">
        <v>354726.27</v>
      </c>
      <c r="M51" s="10">
        <f>$N50</f>
        <v/>
      </c>
      <c r="N51" s="10">
        <f>$M51+$L51</f>
        <v/>
      </c>
      <c r="O51" s="10">
        <f>P50</f>
        <v/>
      </c>
      <c r="P51" s="10">
        <f>O51+C51-G51</f>
        <v/>
      </c>
      <c r="S51" s="14" t="n"/>
    </row>
    <row r="52">
      <c r="A52" s="9" t="n">
        <v>50</v>
      </c>
      <c r="B52" s="10" t="n">
        <v>0</v>
      </c>
      <c r="C52" s="10" t="n">
        <v>0</v>
      </c>
      <c r="D52" s="10" t="n">
        <v>1560000</v>
      </c>
      <c r="E52" s="10" t="n">
        <v>1072760</v>
      </c>
      <c r="F52" s="10" t="n">
        <v>2083.33</v>
      </c>
      <c r="G52" s="10" t="n">
        <v>0</v>
      </c>
      <c r="H52" s="10" t="n">
        <v>155916.8</v>
      </c>
      <c r="I52" s="10" t="n">
        <v>0</v>
      </c>
      <c r="J52" s="10" t="n">
        <v>329239.87</v>
      </c>
      <c r="K52" s="10" t="n">
        <v>300000</v>
      </c>
      <c r="L52" s="10" t="n">
        <v>29239.87</v>
      </c>
      <c r="M52" s="10">
        <f>$N51</f>
        <v/>
      </c>
      <c r="N52" s="10">
        <f>$M52+$L52</f>
        <v/>
      </c>
      <c r="O52" s="10">
        <f>P51</f>
        <v/>
      </c>
      <c r="P52" s="10">
        <f>O52+C52-G52</f>
        <v/>
      </c>
      <c r="S52" s="14" t="n"/>
    </row>
    <row r="53">
      <c r="A53" s="9" t="n">
        <v>51</v>
      </c>
      <c r="B53" s="10" t="n">
        <v>0</v>
      </c>
      <c r="C53" s="10" t="n">
        <v>0</v>
      </c>
      <c r="D53" s="10" t="n">
        <v>1740000</v>
      </c>
      <c r="E53" s="10" t="n">
        <v>1196540</v>
      </c>
      <c r="F53" s="10" t="n">
        <v>2083.33</v>
      </c>
      <c r="G53" s="10" t="n">
        <v>0</v>
      </c>
      <c r="H53" s="10" t="n">
        <v>173907.2</v>
      </c>
      <c r="I53" s="10" t="n">
        <v>0</v>
      </c>
      <c r="J53" s="10" t="n">
        <v>367469.47</v>
      </c>
      <c r="K53" s="10" t="n">
        <v>0</v>
      </c>
      <c r="L53" s="10" t="n">
        <v>367469.47</v>
      </c>
      <c r="M53" s="10">
        <f>$N52</f>
        <v/>
      </c>
      <c r="N53" s="10">
        <f>$M53+$L53</f>
        <v/>
      </c>
      <c r="O53" s="10">
        <f>P52</f>
        <v/>
      </c>
      <c r="P53" s="10">
        <f>O53+C53-G53</f>
        <v/>
      </c>
      <c r="S53" s="14" t="n"/>
    </row>
    <row r="54">
      <c r="A54" s="9" t="n">
        <v>52</v>
      </c>
      <c r="B54" s="10" t="n">
        <v>0</v>
      </c>
      <c r="C54" s="10" t="n">
        <v>0</v>
      </c>
      <c r="D54" s="10" t="n">
        <v>1740000</v>
      </c>
      <c r="E54" s="10" t="n">
        <v>1196540</v>
      </c>
      <c r="F54" s="10" t="n">
        <v>2083.33</v>
      </c>
      <c r="G54" s="10" t="n">
        <v>0</v>
      </c>
      <c r="H54" s="10" t="n">
        <v>173907.2</v>
      </c>
      <c r="I54" s="10" t="n">
        <v>0</v>
      </c>
      <c r="J54" s="10" t="n">
        <v>367469.47</v>
      </c>
      <c r="K54" s="10" t="n">
        <v>300000</v>
      </c>
      <c r="L54" s="10" t="n">
        <v>67469.47</v>
      </c>
      <c r="M54" s="10">
        <f>$N53</f>
        <v/>
      </c>
      <c r="N54" s="10">
        <f>$M54+$L54</f>
        <v/>
      </c>
      <c r="O54" s="10">
        <f>P53</f>
        <v/>
      </c>
      <c r="P54" s="10">
        <f>O54+C54-G54</f>
        <v/>
      </c>
      <c r="S54" s="14" t="n"/>
    </row>
    <row r="55">
      <c r="A55" s="9" t="n">
        <v>53</v>
      </c>
      <c r="B55" s="10" t="n">
        <v>0</v>
      </c>
      <c r="C55" s="10" t="n">
        <v>0</v>
      </c>
      <c r="D55" s="10" t="n">
        <v>1740000</v>
      </c>
      <c r="E55" s="10" t="n">
        <v>1196540</v>
      </c>
      <c r="F55" s="10" t="n">
        <v>2083.33</v>
      </c>
      <c r="G55" s="10" t="n">
        <v>0</v>
      </c>
      <c r="H55" s="10" t="n">
        <v>173907.2</v>
      </c>
      <c r="I55" s="10" t="n">
        <v>0</v>
      </c>
      <c r="J55" s="10" t="n">
        <v>367469.47</v>
      </c>
      <c r="K55" s="10" t="n">
        <v>0</v>
      </c>
      <c r="L55" s="10" t="n">
        <v>367469.47</v>
      </c>
      <c r="M55" s="10">
        <f>$N54</f>
        <v/>
      </c>
      <c r="N55" s="10">
        <f>$M55+$L55</f>
        <v/>
      </c>
      <c r="O55" s="10">
        <f>P54</f>
        <v/>
      </c>
      <c r="P55" s="10">
        <f>O55+C55-G55</f>
        <v/>
      </c>
      <c r="S55" s="14" t="n"/>
    </row>
    <row r="56">
      <c r="A56" s="9" t="n">
        <v>54</v>
      </c>
      <c r="B56" s="10" t="n">
        <v>0</v>
      </c>
      <c r="C56" s="10" t="n">
        <v>0</v>
      </c>
      <c r="D56" s="10" t="n">
        <v>1740000</v>
      </c>
      <c r="E56" s="10" t="n">
        <v>1196540</v>
      </c>
      <c r="F56" s="10" t="n">
        <v>2083.33</v>
      </c>
      <c r="G56" s="10" t="n">
        <v>0</v>
      </c>
      <c r="H56" s="10" t="n">
        <v>173907.2</v>
      </c>
      <c r="I56" s="10" t="n">
        <v>0</v>
      </c>
      <c r="J56" s="10" t="n">
        <v>367469.47</v>
      </c>
      <c r="K56" s="10" t="n">
        <v>360000</v>
      </c>
      <c r="L56" s="10" t="n">
        <v>7469.47</v>
      </c>
      <c r="M56" s="10">
        <f>$N55</f>
        <v/>
      </c>
      <c r="N56" s="10">
        <f>$M56+$L56</f>
        <v/>
      </c>
      <c r="O56" s="10">
        <f>P55</f>
        <v/>
      </c>
      <c r="P56" s="10">
        <f>O56+C56-G56</f>
        <v/>
      </c>
      <c r="S56" s="14" t="n"/>
    </row>
    <row r="57">
      <c r="A57" s="9" t="n">
        <v>55</v>
      </c>
      <c r="B57" s="10" t="n">
        <v>0</v>
      </c>
      <c r="C57" s="10" t="n">
        <v>0</v>
      </c>
      <c r="D57" s="10" t="n">
        <v>1770000</v>
      </c>
      <c r="E57" s="10" t="n">
        <v>1217170</v>
      </c>
      <c r="F57" s="10" t="n">
        <v>2083.33</v>
      </c>
      <c r="G57" s="10" t="n">
        <v>0</v>
      </c>
      <c r="H57" s="10" t="n">
        <v>176905.6</v>
      </c>
      <c r="I57" s="10" t="n">
        <v>0</v>
      </c>
      <c r="J57" s="10" t="n">
        <v>373841.07</v>
      </c>
      <c r="K57" s="10" t="n">
        <v>0</v>
      </c>
      <c r="L57" s="10" t="n">
        <v>373841.07</v>
      </c>
      <c r="M57" s="10">
        <f>$N56</f>
        <v/>
      </c>
      <c r="N57" s="10">
        <f>$M57+$L57</f>
        <v/>
      </c>
      <c r="O57" s="10">
        <f>P56</f>
        <v/>
      </c>
      <c r="P57" s="10">
        <f>O57+C57-G57</f>
        <v/>
      </c>
      <c r="S57" s="14" t="n"/>
    </row>
    <row r="58">
      <c r="A58" s="9" t="n">
        <v>56</v>
      </c>
      <c r="B58" s="10" t="n">
        <v>0</v>
      </c>
      <c r="C58" s="10" t="n">
        <v>0</v>
      </c>
      <c r="D58" s="10" t="n">
        <v>1770000</v>
      </c>
      <c r="E58" s="10" t="n">
        <v>1217170</v>
      </c>
      <c r="F58" s="10" t="n">
        <v>2083.33</v>
      </c>
      <c r="G58" s="10" t="n">
        <v>0</v>
      </c>
      <c r="H58" s="10" t="n">
        <v>176905.6</v>
      </c>
      <c r="I58" s="10" t="n">
        <v>0</v>
      </c>
      <c r="J58" s="10" t="n">
        <v>373841.07</v>
      </c>
      <c r="K58" s="10" t="n">
        <v>360000</v>
      </c>
      <c r="L58" s="10" t="n">
        <v>13841.07</v>
      </c>
      <c r="M58" s="10">
        <f>$N57</f>
        <v/>
      </c>
      <c r="N58" s="10">
        <f>$M58+$L58</f>
        <v/>
      </c>
      <c r="O58" s="10">
        <f>P57</f>
        <v/>
      </c>
      <c r="P58" s="10">
        <f>O58+C58-G58</f>
        <v/>
      </c>
      <c r="S58" s="14" t="n"/>
    </row>
    <row r="59">
      <c r="A59" s="9" t="n">
        <v>57</v>
      </c>
      <c r="B59" s="10" t="n">
        <v>0</v>
      </c>
      <c r="C59" s="10" t="n">
        <v>0</v>
      </c>
      <c r="D59" s="10" t="n">
        <v>1830000</v>
      </c>
      <c r="E59" s="10" t="n">
        <v>1258430</v>
      </c>
      <c r="F59" s="10" t="n">
        <v>2083.33</v>
      </c>
      <c r="G59" s="10" t="n">
        <v>0</v>
      </c>
      <c r="H59" s="10" t="n">
        <v>182902.4</v>
      </c>
      <c r="I59" s="10" t="n">
        <v>0</v>
      </c>
      <c r="J59" s="10" t="n">
        <v>386584.27</v>
      </c>
      <c r="K59" s="10" t="n">
        <v>0</v>
      </c>
      <c r="L59" s="10" t="n">
        <v>386584.27</v>
      </c>
      <c r="M59" s="10">
        <f>$N58</f>
        <v/>
      </c>
      <c r="N59" s="10">
        <f>$M59+$L59</f>
        <v/>
      </c>
      <c r="O59" s="10">
        <f>P58</f>
        <v/>
      </c>
      <c r="P59" s="10">
        <f>O59+C59-G59</f>
        <v/>
      </c>
      <c r="S59" s="14" t="n"/>
    </row>
    <row r="60">
      <c r="A60" s="9" t="n">
        <v>58</v>
      </c>
      <c r="B60" s="10" t="n">
        <v>0</v>
      </c>
      <c r="C60" s="10" t="n">
        <v>0</v>
      </c>
      <c r="D60" s="10" t="n">
        <v>1830000</v>
      </c>
      <c r="E60" s="10" t="n">
        <v>1258430</v>
      </c>
      <c r="F60" s="10" t="n">
        <v>2083.33</v>
      </c>
      <c r="G60" s="10" t="n">
        <v>0</v>
      </c>
      <c r="H60" s="10" t="n">
        <v>182902.4</v>
      </c>
      <c r="I60" s="10" t="n">
        <v>0</v>
      </c>
      <c r="J60" s="10" t="n">
        <v>386584.27</v>
      </c>
      <c r="K60" s="10" t="n">
        <v>300000</v>
      </c>
      <c r="L60" s="10" t="n">
        <v>86584.27</v>
      </c>
      <c r="M60" s="10">
        <f>$N59</f>
        <v/>
      </c>
      <c r="N60" s="10">
        <f>$M60+$L60</f>
        <v/>
      </c>
      <c r="O60" s="10">
        <f>P59</f>
        <v/>
      </c>
      <c r="P60" s="10">
        <f>O60+C60-G60</f>
        <v/>
      </c>
      <c r="S60" s="14" t="n"/>
    </row>
    <row r="61">
      <c r="A61" s="9" t="n">
        <v>59</v>
      </c>
      <c r="B61" s="10" t="n">
        <v>0</v>
      </c>
      <c r="C61" s="10" t="n">
        <v>0</v>
      </c>
      <c r="D61" s="10" t="n">
        <v>1890000</v>
      </c>
      <c r="E61" s="10" t="n">
        <v>1299690</v>
      </c>
      <c r="F61" s="10" t="n">
        <v>2083.33</v>
      </c>
      <c r="G61" s="10" t="n">
        <v>0</v>
      </c>
      <c r="H61" s="10" t="n">
        <v>188899.2</v>
      </c>
      <c r="I61" s="10" t="n">
        <v>0</v>
      </c>
      <c r="J61" s="10" t="n">
        <v>399327.47</v>
      </c>
      <c r="K61" s="10" t="n">
        <v>0</v>
      </c>
      <c r="L61" s="10" t="n">
        <v>399327.47</v>
      </c>
      <c r="M61" s="10">
        <f>$N60</f>
        <v/>
      </c>
      <c r="N61" s="10">
        <f>$M61+$L61</f>
        <v/>
      </c>
      <c r="O61" s="10">
        <f>P60</f>
        <v/>
      </c>
      <c r="P61" s="10">
        <f>O61+C61-G61</f>
        <v/>
      </c>
      <c r="S61" s="14" t="n"/>
    </row>
    <row r="62">
      <c r="A62" s="9" t="n">
        <v>60</v>
      </c>
      <c r="B62" s="10" t="n">
        <v>0</v>
      </c>
      <c r="C62" s="10" t="n">
        <v>0</v>
      </c>
      <c r="D62" s="10" t="n">
        <v>1890000</v>
      </c>
      <c r="E62" s="10" t="n">
        <v>1299690</v>
      </c>
      <c r="F62" s="10" t="n">
        <v>2083.33</v>
      </c>
      <c r="G62" s="10" t="n">
        <v>0</v>
      </c>
      <c r="H62" s="10" t="n">
        <v>188899.2</v>
      </c>
      <c r="I62" s="10" t="n">
        <v>0</v>
      </c>
      <c r="J62" s="10" t="n">
        <v>399327.47</v>
      </c>
      <c r="K62" s="10" t="n">
        <v>360000</v>
      </c>
      <c r="L62" s="10" t="n">
        <v>39327.47</v>
      </c>
      <c r="M62" s="10">
        <f>$N61</f>
        <v/>
      </c>
      <c r="N62" s="10">
        <f>$M62+$L62</f>
        <v/>
      </c>
      <c r="O62" s="10">
        <f>P61</f>
        <v/>
      </c>
      <c r="P62" s="10">
        <f>O62+C62-G62</f>
        <v/>
      </c>
      <c r="S62" s="14" t="n"/>
    </row>
    <row r="63" ht="15" customHeight="1">
      <c r="J63" s="14" t="n"/>
    </row>
  </sheetData>
  <mergeCells count="1">
    <mergeCell ref="A1:P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62"/>
  <sheetViews>
    <sheetView showGridLines="0" zoomScale="130" zoomScaleNormal="130" workbookViewId="0">
      <pane xSplit="3" ySplit="2" topLeftCell="E3" activePane="bottomRight" state="frozen"/>
      <selection pane="topRight" activeCell="C1" sqref="C1"/>
      <selection pane="bottomLeft" activeCell="A3" sqref="A3"/>
      <selection pane="bottomRight" activeCell="S10" sqref="S10"/>
    </sheetView>
  </sheetViews>
  <sheetFormatPr baseColWidth="8" defaultColWidth="8.7109375" defaultRowHeight="15" customHeight="1"/>
  <cols>
    <col width="10" customWidth="1" min="2" max="2"/>
    <col width="12" customWidth="1" min="3" max="3"/>
    <col width="14.140625" bestFit="1" customWidth="1" min="4" max="4"/>
    <col width="17.7109375" customWidth="1" min="5" max="5"/>
    <col width="12" customWidth="1" min="6" max="9"/>
    <col width="13.140625" customWidth="1" min="10" max="10"/>
    <col width="11.140625" bestFit="1" customWidth="1" min="11" max="11"/>
    <col width="14.85546875" bestFit="1" customWidth="1" min="12" max="12"/>
    <col width="12.7109375" bestFit="1" customWidth="1" min="13" max="13"/>
    <col width="12" customWidth="1" min="14" max="14"/>
    <col width="12.7109375" bestFit="1" customWidth="1" min="15" max="15"/>
    <col width="12" customWidth="1" min="16" max="16"/>
    <col width="12.7109375" bestFit="1" customWidth="1" min="17" max="17"/>
    <col width="19.7109375" customWidth="1" min="18" max="18"/>
    <col width="12" customWidth="1" min="19" max="19"/>
    <col width="15.28515625" customWidth="1" min="20" max="20"/>
    <col width="14.42578125" customWidth="1" min="21" max="21"/>
    <col width="12" customWidth="1" min="22" max="25"/>
  </cols>
  <sheetData>
    <row r="1" ht="17.25" customHeight="1">
      <c r="A1" s="21" t="inlineStr">
        <is>
          <t>Monthly Income Statement</t>
        </is>
      </c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</row>
    <row r="2" ht="31.5" customHeight="1">
      <c r="A2" s="19" t="inlineStr">
        <is>
          <t>Year #</t>
        </is>
      </c>
      <c r="B2" s="2" t="inlineStr">
        <is>
          <t>Month #</t>
        </is>
      </c>
      <c r="C2" s="2" t="inlineStr">
        <is>
          <t>Cars in Operation</t>
        </is>
      </c>
      <c r="D2" s="2" t="inlineStr">
        <is>
          <t>Monthly Gross Revenue</t>
        </is>
      </c>
      <c r="E2" s="2" t="inlineStr">
        <is>
          <t>Fuel</t>
        </is>
      </c>
      <c r="F2" s="2" t="inlineStr">
        <is>
          <t>Airtime</t>
        </is>
      </c>
      <c r="G2" s="2" t="inlineStr">
        <is>
          <t>Carwash</t>
        </is>
      </c>
      <c r="H2" s="2" t="inlineStr">
        <is>
          <t>Maintenance</t>
        </is>
      </c>
      <c r="I2" s="2" t="inlineStr">
        <is>
          <t>Driver Subsistence Allocation</t>
        </is>
      </c>
      <c r="J2" s="2" t="inlineStr">
        <is>
          <t>Incidental Repair Reserve</t>
        </is>
      </c>
      <c r="K2" s="2" t="inlineStr">
        <is>
          <t>Tracking Device</t>
        </is>
      </c>
      <c r="L2" s="2" t="inlineStr">
        <is>
          <t>Cost of Sales</t>
        </is>
      </c>
      <c r="M2" s="15" t="inlineStr">
        <is>
          <t>Gross Profit</t>
        </is>
      </c>
      <c r="N2" s="2" t="inlineStr">
        <is>
          <t>Salary</t>
        </is>
      </c>
      <c r="O2" s="2" t="inlineStr">
        <is>
          <t>Total Operating Expenses</t>
        </is>
      </c>
      <c r="P2" s="2" t="inlineStr">
        <is>
          <t>EBIT</t>
        </is>
      </c>
      <c r="Q2" s="15" t="inlineStr">
        <is>
          <t>Income Tax</t>
        </is>
      </c>
      <c r="R2" s="2" t="inlineStr">
        <is>
          <t>Net Profit</t>
        </is>
      </c>
      <c r="S2" s="2" t="inlineStr">
        <is>
          <t>Retained Profits</t>
        </is>
      </c>
      <c r="T2" s="2" t="n"/>
      <c r="U2" s="2" t="n"/>
      <c r="V2" s="2" t="n"/>
      <c r="W2" s="2" t="n"/>
      <c r="X2" s="2" t="n"/>
      <c r="Y2" s="2" t="n"/>
    </row>
    <row r="3">
      <c r="A3" s="9" t="n">
        <v>1</v>
      </c>
      <c r="B3" s="9" t="n">
        <v>1</v>
      </c>
      <c r="C3" s="8" t="n">
        <v>4</v>
      </c>
      <c r="D3" s="10" t="n">
        <v>120000</v>
      </c>
      <c r="E3" s="10" t="n">
        <v>52000</v>
      </c>
      <c r="F3" s="10" t="n">
        <v>1160</v>
      </c>
      <c r="G3" s="10" t="n">
        <v>960</v>
      </c>
      <c r="H3" s="10" t="n">
        <v>5000</v>
      </c>
      <c r="I3" s="10" t="n">
        <v>5600</v>
      </c>
      <c r="J3" s="10" t="n">
        <v>2000</v>
      </c>
      <c r="K3" s="10" t="n">
        <v>3800</v>
      </c>
      <c r="L3" s="10" t="n">
        <v>70520</v>
      </c>
      <c r="M3" s="10" t="n">
        <v>49480</v>
      </c>
      <c r="N3" s="10" t="n">
        <v>12000</v>
      </c>
      <c r="O3" s="10" t="n">
        <v>12000</v>
      </c>
      <c r="P3" s="10" t="n">
        <v>37480</v>
      </c>
      <c r="Q3" s="10" t="n">
        <v>11993.6</v>
      </c>
      <c r="R3" s="10" t="n">
        <v>25486.4</v>
      </c>
      <c r="S3" s="10">
        <f>$Q3-$R3</f>
        <v/>
      </c>
      <c r="T3" s="10" t="n"/>
      <c r="U3" s="10" t="n"/>
      <c r="V3" s="10" t="n"/>
      <c r="W3" s="10" t="n"/>
      <c r="X3" s="10" t="n"/>
      <c r="Y3" s="10" t="n"/>
    </row>
    <row r="4">
      <c r="A4" s="9" t="n">
        <v>1</v>
      </c>
      <c r="B4" s="9" t="n">
        <v>2</v>
      </c>
      <c r="C4" s="8" t="n">
        <v>4</v>
      </c>
      <c r="D4" s="10" t="n">
        <v>120000</v>
      </c>
      <c r="E4" s="10" t="n">
        <v>52000</v>
      </c>
      <c r="F4" s="10" t="n">
        <v>1160</v>
      </c>
      <c r="G4" s="10" t="n">
        <v>960</v>
      </c>
      <c r="H4" s="10" t="n">
        <v>5000</v>
      </c>
      <c r="I4" s="10" t="n">
        <v>5600</v>
      </c>
      <c r="J4" s="10" t="n">
        <v>2000</v>
      </c>
      <c r="K4" s="10" t="n">
        <v>3800</v>
      </c>
      <c r="L4" s="10" t="n">
        <v>70520</v>
      </c>
      <c r="M4" s="10" t="n">
        <v>49480</v>
      </c>
      <c r="N4" s="10" t="n">
        <v>12000</v>
      </c>
      <c r="O4" s="10" t="n">
        <v>12000</v>
      </c>
      <c r="P4" s="10" t="n">
        <v>37480</v>
      </c>
      <c r="Q4" s="10" t="n">
        <v>11993.6</v>
      </c>
      <c r="R4" s="10" t="n">
        <v>25486.4</v>
      </c>
      <c r="S4" s="10">
        <f>$Q4-$R4</f>
        <v/>
      </c>
      <c r="T4" s="10" t="n"/>
      <c r="U4" s="10" t="n"/>
      <c r="V4" s="10" t="n"/>
      <c r="W4" s="10" t="n"/>
      <c r="X4" s="10" t="n"/>
      <c r="Y4" s="10" t="n"/>
    </row>
    <row r="5">
      <c r="A5" s="9" t="n">
        <v>1</v>
      </c>
      <c r="B5" s="9" t="n">
        <v>3</v>
      </c>
      <c r="C5" s="8" t="n">
        <v>4</v>
      </c>
      <c r="D5" s="10" t="n">
        <v>120000</v>
      </c>
      <c r="E5" s="10" t="n">
        <v>52000</v>
      </c>
      <c r="F5" s="10" t="n">
        <v>1160</v>
      </c>
      <c r="G5" s="10" t="n">
        <v>960</v>
      </c>
      <c r="H5" s="10" t="n">
        <v>5000</v>
      </c>
      <c r="I5" s="10" t="n">
        <v>5600</v>
      </c>
      <c r="J5" s="10" t="n">
        <v>2000</v>
      </c>
      <c r="K5" s="10" t="n">
        <v>3800</v>
      </c>
      <c r="L5" s="10" t="n">
        <v>70520</v>
      </c>
      <c r="M5" s="10" t="n">
        <v>49480</v>
      </c>
      <c r="N5" s="10" t="n">
        <v>12000</v>
      </c>
      <c r="O5" s="10" t="n">
        <v>12000</v>
      </c>
      <c r="P5" s="10" t="n">
        <v>37480</v>
      </c>
      <c r="Q5" s="10" t="n">
        <v>11993.6</v>
      </c>
      <c r="R5" s="10" t="n">
        <v>25486.4</v>
      </c>
      <c r="S5" s="10">
        <f>$Q5-$R5</f>
        <v/>
      </c>
      <c r="T5" s="10" t="n"/>
      <c r="U5" s="10" t="n"/>
      <c r="V5" s="10" t="n"/>
      <c r="W5" s="10" t="n"/>
      <c r="X5" s="10" t="n"/>
      <c r="Y5" s="10" t="n"/>
    </row>
    <row r="6">
      <c r="A6" s="9" t="n">
        <v>1</v>
      </c>
      <c r="B6" s="9" t="n">
        <v>4</v>
      </c>
      <c r="C6" s="8" t="n">
        <v>4</v>
      </c>
      <c r="D6" s="10" t="n">
        <v>120000</v>
      </c>
      <c r="E6" s="10" t="n">
        <v>52000</v>
      </c>
      <c r="F6" s="10" t="n">
        <v>1160</v>
      </c>
      <c r="G6" s="10" t="n">
        <v>960</v>
      </c>
      <c r="H6" s="10" t="n">
        <v>5000</v>
      </c>
      <c r="I6" s="10" t="n">
        <v>5600</v>
      </c>
      <c r="J6" s="10" t="n">
        <v>2000</v>
      </c>
      <c r="K6" s="10" t="n">
        <v>3800</v>
      </c>
      <c r="L6" s="10" t="n">
        <v>70520</v>
      </c>
      <c r="M6" s="10" t="n">
        <v>49480</v>
      </c>
      <c r="N6" s="10" t="n">
        <v>12000</v>
      </c>
      <c r="O6" s="10" t="n">
        <v>12000</v>
      </c>
      <c r="P6" s="10" t="n">
        <v>37480</v>
      </c>
      <c r="Q6" s="10" t="n">
        <v>11993.6</v>
      </c>
      <c r="R6" s="10" t="n">
        <v>25486.4</v>
      </c>
      <c r="S6" s="10">
        <f>$Q6-$R6</f>
        <v/>
      </c>
      <c r="T6" s="10" t="n"/>
      <c r="U6" s="10" t="n"/>
      <c r="V6" s="10" t="n"/>
      <c r="W6" s="10" t="n"/>
      <c r="X6" s="10" t="n"/>
      <c r="Y6" s="10" t="n"/>
    </row>
    <row r="7">
      <c r="A7" s="9" t="n">
        <v>1</v>
      </c>
      <c r="B7" s="9" t="n">
        <v>5</v>
      </c>
      <c r="C7" s="8" t="n">
        <v>4</v>
      </c>
      <c r="D7" s="10" t="n">
        <v>120000</v>
      </c>
      <c r="E7" s="10" t="n">
        <v>52000</v>
      </c>
      <c r="F7" s="10" t="n">
        <v>1160</v>
      </c>
      <c r="G7" s="10" t="n">
        <v>960</v>
      </c>
      <c r="H7" s="10" t="n">
        <v>5000</v>
      </c>
      <c r="I7" s="10" t="n">
        <v>5600</v>
      </c>
      <c r="J7" s="10" t="n">
        <v>2000</v>
      </c>
      <c r="K7" s="10" t="n">
        <v>3800</v>
      </c>
      <c r="L7" s="10" t="n">
        <v>70520</v>
      </c>
      <c r="M7" s="10" t="n">
        <v>49480</v>
      </c>
      <c r="N7" s="10" t="n">
        <v>12000</v>
      </c>
      <c r="O7" s="10" t="n">
        <v>12000</v>
      </c>
      <c r="P7" s="10" t="n">
        <v>37480</v>
      </c>
      <c r="Q7" s="10" t="n">
        <v>11993.6</v>
      </c>
      <c r="R7" s="10" t="n">
        <v>25486.4</v>
      </c>
      <c r="S7" s="10">
        <f>$Q7-$R7</f>
        <v/>
      </c>
      <c r="V7" s="10" t="n"/>
      <c r="W7" s="10" t="n"/>
      <c r="X7" s="10" t="n"/>
      <c r="Y7" s="10" t="n"/>
    </row>
    <row r="8">
      <c r="A8" s="9" t="n">
        <v>1</v>
      </c>
      <c r="B8" s="9" t="n">
        <v>6</v>
      </c>
      <c r="C8" s="8" t="n">
        <v>4</v>
      </c>
      <c r="D8" s="10" t="n">
        <v>120000</v>
      </c>
      <c r="E8" s="10" t="n">
        <v>52000</v>
      </c>
      <c r="F8" s="10" t="n">
        <v>1160</v>
      </c>
      <c r="G8" s="10" t="n">
        <v>960</v>
      </c>
      <c r="H8" s="10" t="n">
        <v>5000</v>
      </c>
      <c r="I8" s="10" t="n">
        <v>5600</v>
      </c>
      <c r="J8" s="10" t="n">
        <v>2000</v>
      </c>
      <c r="K8" s="10" t="n">
        <v>3800</v>
      </c>
      <c r="L8" s="10" t="n">
        <v>70520</v>
      </c>
      <c r="M8" s="10" t="n">
        <v>49480</v>
      </c>
      <c r="N8" s="10" t="n">
        <v>12000</v>
      </c>
      <c r="O8" s="10" t="n">
        <v>12000</v>
      </c>
      <c r="P8" s="10" t="n">
        <v>37480</v>
      </c>
      <c r="Q8" s="10" t="n">
        <v>11993.6</v>
      </c>
      <c r="R8" s="10" t="n">
        <v>25486.4</v>
      </c>
      <c r="S8" s="10">
        <f>$Q8-$R8</f>
        <v/>
      </c>
      <c r="V8" s="10" t="n"/>
      <c r="W8" s="10" t="n"/>
      <c r="X8" s="10" t="n"/>
      <c r="Y8" s="10" t="n"/>
    </row>
    <row r="9">
      <c r="A9" s="9" t="n">
        <v>1</v>
      </c>
      <c r="B9" s="9" t="n">
        <v>7</v>
      </c>
      <c r="C9" s="8" t="n">
        <v>4</v>
      </c>
      <c r="D9" s="10" t="n">
        <v>120000</v>
      </c>
      <c r="E9" s="10" t="n">
        <v>52000</v>
      </c>
      <c r="F9" s="10" t="n">
        <v>1160</v>
      </c>
      <c r="G9" s="10" t="n">
        <v>960</v>
      </c>
      <c r="H9" s="10" t="n">
        <v>5000</v>
      </c>
      <c r="I9" s="10" t="n">
        <v>5600</v>
      </c>
      <c r="J9" s="10" t="n">
        <v>2000</v>
      </c>
      <c r="K9" s="10" t="n">
        <v>3800</v>
      </c>
      <c r="L9" s="10" t="n">
        <v>70520</v>
      </c>
      <c r="M9" s="10" t="n">
        <v>49480</v>
      </c>
      <c r="N9" s="10" t="n">
        <v>12000</v>
      </c>
      <c r="O9" s="10" t="n">
        <v>12000</v>
      </c>
      <c r="P9" s="10" t="n">
        <v>37480</v>
      </c>
      <c r="Q9" s="10" t="n">
        <v>11993.6</v>
      </c>
      <c r="R9" s="10" t="n">
        <v>25486.4</v>
      </c>
      <c r="S9" s="10">
        <f>$Q9-$R9</f>
        <v/>
      </c>
      <c r="T9" s="10" t="n"/>
      <c r="U9" s="10" t="n"/>
      <c r="V9" s="10" t="n"/>
      <c r="W9" s="10" t="n"/>
      <c r="X9" s="10" t="n"/>
      <c r="Y9" s="10" t="n"/>
    </row>
    <row r="10">
      <c r="A10" s="9" t="n">
        <v>1</v>
      </c>
      <c r="B10" s="9" t="n">
        <v>8</v>
      </c>
      <c r="C10" s="8" t="n">
        <v>13</v>
      </c>
      <c r="D10" s="10" t="n">
        <v>390000</v>
      </c>
      <c r="E10" s="10" t="n">
        <v>169000</v>
      </c>
      <c r="F10" s="10" t="n">
        <v>3770</v>
      </c>
      <c r="G10" s="10" t="n">
        <v>3120</v>
      </c>
      <c r="H10" s="10" t="n">
        <v>16250</v>
      </c>
      <c r="I10" s="10" t="n">
        <v>18200</v>
      </c>
      <c r="J10" s="10" t="n">
        <v>6500</v>
      </c>
      <c r="K10" s="10" t="n">
        <v>12350</v>
      </c>
      <c r="L10" s="10" t="n">
        <v>229190</v>
      </c>
      <c r="M10" s="10" t="n">
        <v>160810</v>
      </c>
      <c r="N10" s="10" t="n">
        <v>39000</v>
      </c>
      <c r="O10" s="10" t="n">
        <v>39000</v>
      </c>
      <c r="P10" s="10" t="n">
        <v>121810</v>
      </c>
      <c r="Q10" s="10" t="n">
        <v>38979.2</v>
      </c>
      <c r="R10" s="10" t="n">
        <v>82830.8</v>
      </c>
      <c r="S10" s="10">
        <f>$Q10-$R10</f>
        <v/>
      </c>
      <c r="T10" s="10" t="n"/>
      <c r="U10" s="10" t="n"/>
      <c r="V10" s="10" t="n"/>
      <c r="W10" s="10" t="n"/>
      <c r="X10" s="10" t="n"/>
      <c r="Y10" s="10" t="n"/>
    </row>
    <row r="11">
      <c r="A11" s="9" t="n">
        <v>1</v>
      </c>
      <c r="B11" s="9" t="n">
        <v>9</v>
      </c>
      <c r="C11" s="8" t="n">
        <v>13</v>
      </c>
      <c r="D11" s="10" t="n">
        <v>390000</v>
      </c>
      <c r="E11" s="10" t="n">
        <v>169000</v>
      </c>
      <c r="F11" s="10" t="n">
        <v>3770</v>
      </c>
      <c r="G11" s="10" t="n">
        <v>3120</v>
      </c>
      <c r="H11" s="10" t="n">
        <v>16250</v>
      </c>
      <c r="I11" s="10" t="n">
        <v>18200</v>
      </c>
      <c r="J11" s="10" t="n">
        <v>6500</v>
      </c>
      <c r="K11" s="10" t="n">
        <v>12350</v>
      </c>
      <c r="L11" s="10" t="n">
        <v>229190</v>
      </c>
      <c r="M11" s="10" t="n">
        <v>160810</v>
      </c>
      <c r="N11" s="10" t="n">
        <v>39000</v>
      </c>
      <c r="O11" s="10" t="n">
        <v>39000</v>
      </c>
      <c r="P11" s="10" t="n">
        <v>121810</v>
      </c>
      <c r="Q11" s="10" t="n">
        <v>38979.2</v>
      </c>
      <c r="R11" s="10" t="n">
        <v>82830.8</v>
      </c>
      <c r="S11" s="10">
        <f>$Q11-$R11</f>
        <v/>
      </c>
      <c r="T11" s="10" t="n"/>
      <c r="U11" s="10" t="n"/>
      <c r="V11" s="10" t="n"/>
      <c r="W11" s="10" t="n"/>
      <c r="X11" s="10" t="n"/>
      <c r="Y11" s="10" t="n"/>
    </row>
    <row r="12">
      <c r="A12" s="9" t="n">
        <v>1</v>
      </c>
      <c r="B12" s="9" t="n">
        <v>10</v>
      </c>
      <c r="C12" s="8" t="n">
        <v>13</v>
      </c>
      <c r="D12" s="10" t="n">
        <v>390000</v>
      </c>
      <c r="E12" s="10" t="n">
        <v>169000</v>
      </c>
      <c r="F12" s="10" t="n">
        <v>3770</v>
      </c>
      <c r="G12" s="10" t="n">
        <v>3120</v>
      </c>
      <c r="H12" s="10" t="n">
        <v>16250</v>
      </c>
      <c r="I12" s="10" t="n">
        <v>18200</v>
      </c>
      <c r="J12" s="10" t="n">
        <v>6500</v>
      </c>
      <c r="K12" s="10" t="n">
        <v>12350</v>
      </c>
      <c r="L12" s="10" t="n">
        <v>229190</v>
      </c>
      <c r="M12" s="10" t="n">
        <v>160810</v>
      </c>
      <c r="N12" s="10" t="n">
        <v>39000</v>
      </c>
      <c r="O12" s="10" t="n">
        <v>39000</v>
      </c>
      <c r="P12" s="10" t="n">
        <v>121810</v>
      </c>
      <c r="Q12" s="10" t="n">
        <v>38979.2</v>
      </c>
      <c r="R12" s="10" t="n">
        <v>82830.8</v>
      </c>
      <c r="S12" s="10">
        <f>$Q12-$R12</f>
        <v/>
      </c>
      <c r="T12" s="10" t="n"/>
      <c r="U12" s="10" t="n"/>
      <c r="V12" s="10" t="n"/>
      <c r="W12" s="10" t="n"/>
      <c r="X12" s="10" t="n"/>
      <c r="Y12" s="10" t="n"/>
    </row>
    <row r="13">
      <c r="A13" s="9" t="n">
        <v>1</v>
      </c>
      <c r="B13" s="9" t="n">
        <v>11</v>
      </c>
      <c r="C13" s="8" t="n">
        <v>13</v>
      </c>
      <c r="D13" s="10" t="n">
        <v>390000</v>
      </c>
      <c r="E13" s="10" t="n">
        <v>169000</v>
      </c>
      <c r="F13" s="10" t="n">
        <v>3770</v>
      </c>
      <c r="G13" s="10" t="n">
        <v>3120</v>
      </c>
      <c r="H13" s="10" t="n">
        <v>16250</v>
      </c>
      <c r="I13" s="10" t="n">
        <v>18200</v>
      </c>
      <c r="J13" s="10" t="n">
        <v>6500</v>
      </c>
      <c r="K13" s="10" t="n">
        <v>12350</v>
      </c>
      <c r="L13" s="10" t="n">
        <v>229190</v>
      </c>
      <c r="M13" s="10" t="n">
        <v>160810</v>
      </c>
      <c r="N13" s="10" t="n">
        <v>39000</v>
      </c>
      <c r="O13" s="10" t="n">
        <v>39000</v>
      </c>
      <c r="P13" s="10" t="n">
        <v>121810</v>
      </c>
      <c r="Q13" s="10" t="n">
        <v>38979.2</v>
      </c>
      <c r="R13" s="10" t="n">
        <v>82830.8</v>
      </c>
      <c r="S13" s="10">
        <f>$Q13-$R13</f>
        <v/>
      </c>
      <c r="T13" s="10" t="n"/>
      <c r="U13" s="10" t="n"/>
      <c r="V13" s="10" t="n"/>
      <c r="W13" s="10" t="n"/>
      <c r="X13" s="10" t="n"/>
      <c r="Y13" s="10" t="n"/>
    </row>
    <row r="14">
      <c r="A14" s="9" t="n">
        <v>1</v>
      </c>
      <c r="B14" s="9" t="n">
        <v>12</v>
      </c>
      <c r="C14" s="8" t="n">
        <v>13</v>
      </c>
      <c r="D14" s="10" t="n">
        <v>390000</v>
      </c>
      <c r="E14" s="10" t="n">
        <v>169000</v>
      </c>
      <c r="F14" s="10" t="n">
        <v>3770</v>
      </c>
      <c r="G14" s="10" t="n">
        <v>3120</v>
      </c>
      <c r="H14" s="10" t="n">
        <v>16250</v>
      </c>
      <c r="I14" s="10" t="n">
        <v>18200</v>
      </c>
      <c r="J14" s="10" t="n">
        <v>6500</v>
      </c>
      <c r="K14" s="10" t="n">
        <v>12350</v>
      </c>
      <c r="L14" s="10" t="n">
        <v>229190</v>
      </c>
      <c r="M14" s="10" t="n">
        <v>160810</v>
      </c>
      <c r="N14" s="10" t="n">
        <v>39000</v>
      </c>
      <c r="O14" s="10" t="n">
        <v>39000</v>
      </c>
      <c r="P14" s="10" t="n">
        <v>121810</v>
      </c>
      <c r="Q14" s="10" t="n">
        <v>38979.2</v>
      </c>
      <c r="R14" s="10" t="n">
        <v>82830.8</v>
      </c>
      <c r="S14" s="10">
        <f>$Q14-$R14</f>
        <v/>
      </c>
      <c r="T14" s="10" t="n"/>
      <c r="U14" s="10" t="n"/>
      <c r="V14" s="10" t="n"/>
      <c r="W14" s="10" t="n"/>
      <c r="X14" s="10" t="n"/>
      <c r="Y14" s="10" t="n"/>
    </row>
    <row r="15">
      <c r="A15" s="9" t="n">
        <v>2</v>
      </c>
      <c r="B15" s="9" t="n">
        <v>13</v>
      </c>
      <c r="C15" s="8" t="n">
        <v>17</v>
      </c>
      <c r="D15" s="10" t="n">
        <v>510000</v>
      </c>
      <c r="E15" s="10" t="n">
        <v>221000</v>
      </c>
      <c r="F15" s="10" t="n">
        <v>4930</v>
      </c>
      <c r="G15" s="10" t="n">
        <v>4080</v>
      </c>
      <c r="H15" s="10" t="n">
        <v>21250</v>
      </c>
      <c r="I15" s="10" t="n">
        <v>23800</v>
      </c>
      <c r="J15" s="10" t="n">
        <v>8500</v>
      </c>
      <c r="K15" s="10" t="n">
        <v>16150</v>
      </c>
      <c r="L15" s="10" t="n">
        <v>299710</v>
      </c>
      <c r="M15" s="10" t="n">
        <v>210290</v>
      </c>
      <c r="N15" s="10" t="n">
        <v>51000</v>
      </c>
      <c r="O15" s="10" t="n">
        <v>51000</v>
      </c>
      <c r="P15" s="10" t="n">
        <v>159290</v>
      </c>
      <c r="Q15" s="10" t="n">
        <v>50972.8</v>
      </c>
      <c r="R15" s="10" t="n">
        <v>108317.2</v>
      </c>
      <c r="S15" s="10">
        <f>$Q15-$R15</f>
        <v/>
      </c>
      <c r="T15" s="10" t="n"/>
      <c r="U15" s="10" t="n"/>
      <c r="V15" s="10" t="n"/>
      <c r="W15" s="10" t="n"/>
      <c r="X15" s="10" t="n"/>
      <c r="Y15" s="10" t="n"/>
    </row>
    <row r="16">
      <c r="A16" s="9" t="n">
        <v>2</v>
      </c>
      <c r="B16" s="9" t="n">
        <v>14</v>
      </c>
      <c r="C16" s="8" t="n">
        <v>17</v>
      </c>
      <c r="D16" s="10" t="n">
        <v>510000</v>
      </c>
      <c r="E16" s="10" t="n">
        <v>221000</v>
      </c>
      <c r="F16" s="10" t="n">
        <v>4930</v>
      </c>
      <c r="G16" s="10" t="n">
        <v>4080</v>
      </c>
      <c r="H16" s="10" t="n">
        <v>21250</v>
      </c>
      <c r="I16" s="10" t="n">
        <v>23800</v>
      </c>
      <c r="J16" s="10" t="n">
        <v>8500</v>
      </c>
      <c r="K16" s="10" t="n">
        <v>16150</v>
      </c>
      <c r="L16" s="10" t="n">
        <v>299710</v>
      </c>
      <c r="M16" s="10" t="n">
        <v>210290</v>
      </c>
      <c r="N16" s="10" t="n">
        <v>51000</v>
      </c>
      <c r="O16" s="10" t="n">
        <v>51000</v>
      </c>
      <c r="P16" s="10" t="n">
        <v>159290</v>
      </c>
      <c r="Q16" s="10" t="n">
        <v>50972.8</v>
      </c>
      <c r="R16" s="10" t="n">
        <v>108317.2</v>
      </c>
      <c r="S16" s="10">
        <f>$Q16-$R16</f>
        <v/>
      </c>
      <c r="T16" s="10" t="n"/>
      <c r="U16" s="10" t="n"/>
      <c r="V16" s="10" t="n"/>
      <c r="W16" s="10" t="n"/>
      <c r="X16" s="10" t="n"/>
      <c r="Y16" s="10" t="n"/>
    </row>
    <row r="17">
      <c r="A17" s="9" t="n">
        <v>2</v>
      </c>
      <c r="B17" s="9" t="n">
        <v>15</v>
      </c>
      <c r="C17" s="8" t="n">
        <v>17</v>
      </c>
      <c r="D17" s="10" t="n">
        <v>510000</v>
      </c>
      <c r="E17" s="10" t="n">
        <v>221000</v>
      </c>
      <c r="F17" s="10" t="n">
        <v>4930</v>
      </c>
      <c r="G17" s="10" t="n">
        <v>4080</v>
      </c>
      <c r="H17" s="10" t="n">
        <v>21250</v>
      </c>
      <c r="I17" s="10" t="n">
        <v>23800</v>
      </c>
      <c r="J17" s="10" t="n">
        <v>8500</v>
      </c>
      <c r="K17" s="10" t="n">
        <v>16150</v>
      </c>
      <c r="L17" s="10" t="n">
        <v>299710</v>
      </c>
      <c r="M17" s="10" t="n">
        <v>210290</v>
      </c>
      <c r="N17" s="10" t="n">
        <v>51000</v>
      </c>
      <c r="O17" s="10" t="n">
        <v>51000</v>
      </c>
      <c r="P17" s="10" t="n">
        <v>159290</v>
      </c>
      <c r="Q17" s="10" t="n">
        <v>50972.8</v>
      </c>
      <c r="R17" s="10" t="n">
        <v>108317.2</v>
      </c>
      <c r="S17" s="10">
        <f>$Q17-$R17</f>
        <v/>
      </c>
      <c r="T17" s="10" t="n"/>
      <c r="U17" s="10" t="n"/>
      <c r="V17" s="10" t="n"/>
      <c r="W17" s="10" t="n"/>
      <c r="X17" s="10" t="n"/>
      <c r="Y17" s="10" t="n"/>
    </row>
    <row r="18">
      <c r="A18" s="9" t="n">
        <v>2</v>
      </c>
      <c r="B18" s="9" t="n">
        <v>16</v>
      </c>
      <c r="C18" s="8" t="n">
        <v>21</v>
      </c>
      <c r="D18" s="10" t="n">
        <v>630000</v>
      </c>
      <c r="E18" s="10" t="n">
        <v>273000</v>
      </c>
      <c r="F18" s="10" t="n">
        <v>6090</v>
      </c>
      <c r="G18" s="10" t="n">
        <v>5040</v>
      </c>
      <c r="H18" s="10" t="n">
        <v>26250</v>
      </c>
      <c r="I18" s="10" t="n">
        <v>29400</v>
      </c>
      <c r="J18" s="10" t="n">
        <v>10500</v>
      </c>
      <c r="K18" s="10" t="n">
        <v>19950</v>
      </c>
      <c r="L18" s="10" t="n">
        <v>370230</v>
      </c>
      <c r="M18" s="10" t="n">
        <v>259770</v>
      </c>
      <c r="N18" s="10" t="n">
        <v>63000</v>
      </c>
      <c r="O18" s="10" t="n">
        <v>63000</v>
      </c>
      <c r="P18" s="10" t="n">
        <v>196770</v>
      </c>
      <c r="Q18" s="10" t="n">
        <v>62966.4</v>
      </c>
      <c r="R18" s="10" t="n">
        <v>133803.6</v>
      </c>
      <c r="S18" s="10">
        <f>$Q18-$R18</f>
        <v/>
      </c>
      <c r="T18" s="10" t="n"/>
      <c r="U18" s="10" t="n"/>
      <c r="V18" s="10" t="n"/>
      <c r="W18" s="10" t="n"/>
      <c r="X18" s="10" t="n"/>
      <c r="Y18" s="10" t="n"/>
    </row>
    <row r="19">
      <c r="A19" s="9" t="n">
        <v>2</v>
      </c>
      <c r="B19" s="9" t="n">
        <v>17</v>
      </c>
      <c r="C19" s="8" t="n">
        <v>21</v>
      </c>
      <c r="D19" s="10" t="n">
        <v>630000</v>
      </c>
      <c r="E19" s="10" t="n">
        <v>273000</v>
      </c>
      <c r="F19" s="10" t="n">
        <v>6090</v>
      </c>
      <c r="G19" s="10" t="n">
        <v>5040</v>
      </c>
      <c r="H19" s="10" t="n">
        <v>26250</v>
      </c>
      <c r="I19" s="10" t="n">
        <v>29400</v>
      </c>
      <c r="J19" s="10" t="n">
        <v>10500</v>
      </c>
      <c r="K19" s="10" t="n">
        <v>19950</v>
      </c>
      <c r="L19" s="10" t="n">
        <v>370230</v>
      </c>
      <c r="M19" s="10" t="n">
        <v>259770</v>
      </c>
      <c r="N19" s="10" t="n">
        <v>63000</v>
      </c>
      <c r="O19" s="10" t="n">
        <v>63000</v>
      </c>
      <c r="P19" s="10" t="n">
        <v>196770</v>
      </c>
      <c r="Q19" s="10" t="n">
        <v>62966.4</v>
      </c>
      <c r="R19" s="10" t="n">
        <v>133803.6</v>
      </c>
      <c r="S19" s="10">
        <f>$Q19-$R19</f>
        <v/>
      </c>
      <c r="T19" s="10" t="n"/>
      <c r="U19" s="10" t="n"/>
      <c r="V19" s="10" t="n"/>
      <c r="W19" s="10" t="n"/>
      <c r="X19" s="10" t="n"/>
      <c r="Y19" s="10" t="n"/>
    </row>
    <row r="20">
      <c r="A20" s="9" t="n">
        <v>2</v>
      </c>
      <c r="B20" s="9" t="n">
        <v>18</v>
      </c>
      <c r="C20" s="8" t="n">
        <v>21</v>
      </c>
      <c r="D20" s="10" t="n">
        <v>630000</v>
      </c>
      <c r="E20" s="10" t="n">
        <v>273000</v>
      </c>
      <c r="F20" s="10" t="n">
        <v>6090</v>
      </c>
      <c r="G20" s="10" t="n">
        <v>5040</v>
      </c>
      <c r="H20" s="10" t="n">
        <v>26250</v>
      </c>
      <c r="I20" s="10" t="n">
        <v>29400</v>
      </c>
      <c r="J20" s="10" t="n">
        <v>10500</v>
      </c>
      <c r="K20" s="10" t="n">
        <v>19950</v>
      </c>
      <c r="L20" s="10" t="n">
        <v>370230</v>
      </c>
      <c r="M20" s="10" t="n">
        <v>259770</v>
      </c>
      <c r="N20" s="10" t="n">
        <v>63000</v>
      </c>
      <c r="O20" s="10" t="n">
        <v>63000</v>
      </c>
      <c r="P20" s="10" t="n">
        <v>196770</v>
      </c>
      <c r="Q20" s="10" t="n">
        <v>62966.4</v>
      </c>
      <c r="R20" s="10" t="n">
        <v>133803.6</v>
      </c>
      <c r="S20" s="10">
        <f>$Q20-$R20</f>
        <v/>
      </c>
      <c r="T20" s="10" t="n"/>
      <c r="U20" s="10" t="n"/>
      <c r="V20" s="10" t="n"/>
      <c r="W20" s="10" t="n"/>
      <c r="X20" s="10" t="n"/>
      <c r="Y20" s="10" t="n"/>
    </row>
    <row r="21">
      <c r="A21" s="9" t="n">
        <v>2</v>
      </c>
      <c r="B21" s="9" t="n">
        <v>19</v>
      </c>
      <c r="C21" s="8" t="n">
        <v>25</v>
      </c>
      <c r="D21" s="10" t="n">
        <v>750000</v>
      </c>
      <c r="E21" s="10" t="n">
        <v>325000</v>
      </c>
      <c r="F21" s="10" t="n">
        <v>7250</v>
      </c>
      <c r="G21" s="10" t="n">
        <v>6000</v>
      </c>
      <c r="H21" s="10" t="n">
        <v>31250</v>
      </c>
      <c r="I21" s="10" t="n">
        <v>35000</v>
      </c>
      <c r="J21" s="10" t="n">
        <v>12500</v>
      </c>
      <c r="K21" s="10" t="n">
        <v>23750</v>
      </c>
      <c r="L21" s="10" t="n">
        <v>440750</v>
      </c>
      <c r="M21" s="10" t="n">
        <v>309250</v>
      </c>
      <c r="N21" s="10" t="n">
        <v>75000</v>
      </c>
      <c r="O21" s="10" t="n">
        <v>75000</v>
      </c>
      <c r="P21" s="10" t="n">
        <v>234250</v>
      </c>
      <c r="Q21" s="10" t="n">
        <v>74960</v>
      </c>
      <c r="R21" s="10" t="n">
        <v>159290</v>
      </c>
      <c r="S21" s="10">
        <f>$Q21-$R21</f>
        <v/>
      </c>
      <c r="T21" s="10" t="n"/>
      <c r="U21" s="10" t="n"/>
      <c r="V21" s="10" t="n"/>
      <c r="W21" s="10" t="n"/>
      <c r="X21" s="10" t="n"/>
      <c r="Y21" s="10" t="n"/>
    </row>
    <row r="22">
      <c r="A22" s="9" t="n">
        <v>2</v>
      </c>
      <c r="B22" s="9" t="n">
        <v>20</v>
      </c>
      <c r="C22" s="8" t="n">
        <v>25</v>
      </c>
      <c r="D22" s="10" t="n">
        <v>750000</v>
      </c>
      <c r="E22" s="10" t="n">
        <v>325000</v>
      </c>
      <c r="F22" s="10" t="n">
        <v>7250</v>
      </c>
      <c r="G22" s="10" t="n">
        <v>6000</v>
      </c>
      <c r="H22" s="10" t="n">
        <v>31250</v>
      </c>
      <c r="I22" s="10" t="n">
        <v>35000</v>
      </c>
      <c r="J22" s="10" t="n">
        <v>12500</v>
      </c>
      <c r="K22" s="10" t="n">
        <v>23750</v>
      </c>
      <c r="L22" s="10" t="n">
        <v>440750</v>
      </c>
      <c r="M22" s="10" t="n">
        <v>309250</v>
      </c>
      <c r="N22" s="10" t="n">
        <v>75000</v>
      </c>
      <c r="O22" s="10" t="n">
        <v>75000</v>
      </c>
      <c r="P22" s="10" t="n">
        <v>234250</v>
      </c>
      <c r="Q22" s="10" t="n">
        <v>74960</v>
      </c>
      <c r="R22" s="10" t="n">
        <v>159290</v>
      </c>
      <c r="S22" s="10">
        <f>$Q22-$R22</f>
        <v/>
      </c>
      <c r="T22" s="10" t="n"/>
      <c r="U22" s="10" t="n"/>
      <c r="V22" s="10" t="n"/>
      <c r="W22" s="10" t="n"/>
      <c r="X22" s="10" t="n"/>
      <c r="Y22" s="10" t="n"/>
    </row>
    <row r="23">
      <c r="A23" s="9" t="n">
        <v>2</v>
      </c>
      <c r="B23" s="9" t="n">
        <v>21</v>
      </c>
      <c r="C23" s="8" t="n">
        <v>29</v>
      </c>
      <c r="D23" s="10" t="n">
        <v>870000</v>
      </c>
      <c r="E23" s="10" t="n">
        <v>377000</v>
      </c>
      <c r="F23" s="10" t="n">
        <v>8410</v>
      </c>
      <c r="G23" s="10" t="n">
        <v>6960</v>
      </c>
      <c r="H23" s="10" t="n">
        <v>36250</v>
      </c>
      <c r="I23" s="10" t="n">
        <v>40600</v>
      </c>
      <c r="J23" s="10" t="n">
        <v>14500</v>
      </c>
      <c r="K23" s="10" t="n">
        <v>27550</v>
      </c>
      <c r="L23" s="10" t="n">
        <v>511270</v>
      </c>
      <c r="M23" s="10" t="n">
        <v>358730</v>
      </c>
      <c r="N23" s="10" t="n">
        <v>87000</v>
      </c>
      <c r="O23" s="10" t="n">
        <v>87000</v>
      </c>
      <c r="P23" s="10" t="n">
        <v>271730</v>
      </c>
      <c r="Q23" s="10" t="n">
        <v>86953.60000000001</v>
      </c>
      <c r="R23" s="10" t="n">
        <v>184776.4</v>
      </c>
      <c r="S23" s="10">
        <f>$Q23-$R23</f>
        <v/>
      </c>
      <c r="T23" s="10" t="n"/>
      <c r="U23" s="10" t="n"/>
      <c r="V23" s="10" t="n"/>
      <c r="W23" s="10" t="n"/>
      <c r="X23" s="10" t="n"/>
      <c r="Y23" s="10" t="n"/>
    </row>
    <row r="24">
      <c r="A24" s="9" t="n">
        <v>2</v>
      </c>
      <c r="B24" s="9" t="n">
        <v>22</v>
      </c>
      <c r="C24" s="8" t="n">
        <v>29</v>
      </c>
      <c r="D24" s="10" t="n">
        <v>870000</v>
      </c>
      <c r="E24" s="10" t="n">
        <v>377000</v>
      </c>
      <c r="F24" s="10" t="n">
        <v>8410</v>
      </c>
      <c r="G24" s="10" t="n">
        <v>6960</v>
      </c>
      <c r="H24" s="10" t="n">
        <v>36250</v>
      </c>
      <c r="I24" s="10" t="n">
        <v>40600</v>
      </c>
      <c r="J24" s="10" t="n">
        <v>14500</v>
      </c>
      <c r="K24" s="10" t="n">
        <v>27550</v>
      </c>
      <c r="L24" s="10" t="n">
        <v>511270</v>
      </c>
      <c r="M24" s="10" t="n">
        <v>358730</v>
      </c>
      <c r="N24" s="10" t="n">
        <v>87000</v>
      </c>
      <c r="O24" s="10" t="n">
        <v>87000</v>
      </c>
      <c r="P24" s="10" t="n">
        <v>271730</v>
      </c>
      <c r="Q24" s="10" t="n">
        <v>86953.60000000001</v>
      </c>
      <c r="R24" s="10" t="n">
        <v>184776.4</v>
      </c>
      <c r="S24" s="10">
        <f>$Q24-$R24</f>
        <v/>
      </c>
      <c r="T24" s="10" t="n"/>
      <c r="U24" s="10" t="n"/>
      <c r="V24" s="10" t="n"/>
      <c r="W24" s="10" t="n"/>
      <c r="X24" s="10" t="n"/>
      <c r="Y24" s="10" t="n"/>
    </row>
    <row r="25">
      <c r="A25" s="9" t="n">
        <v>2</v>
      </c>
      <c r="B25" s="9" t="n">
        <v>23</v>
      </c>
      <c r="C25" s="8" t="n">
        <v>29</v>
      </c>
      <c r="D25" s="10" t="n">
        <v>870000</v>
      </c>
      <c r="E25" s="10" t="n">
        <v>377000</v>
      </c>
      <c r="F25" s="10" t="n">
        <v>8410</v>
      </c>
      <c r="G25" s="10" t="n">
        <v>6960</v>
      </c>
      <c r="H25" s="10" t="n">
        <v>36250</v>
      </c>
      <c r="I25" s="10" t="n">
        <v>40600</v>
      </c>
      <c r="J25" s="10" t="n">
        <v>14500</v>
      </c>
      <c r="K25" s="10" t="n">
        <v>27550</v>
      </c>
      <c r="L25" s="10" t="n">
        <v>511270</v>
      </c>
      <c r="M25" s="10" t="n">
        <v>358730</v>
      </c>
      <c r="N25" s="10" t="n">
        <v>87000</v>
      </c>
      <c r="O25" s="10" t="n">
        <v>87000</v>
      </c>
      <c r="P25" s="10" t="n">
        <v>271730</v>
      </c>
      <c r="Q25" s="10" t="n">
        <v>86953.60000000001</v>
      </c>
      <c r="R25" s="10" t="n">
        <v>184776.4</v>
      </c>
      <c r="S25" s="10">
        <f>$Q25-$R25</f>
        <v/>
      </c>
      <c r="T25" s="10" t="n"/>
      <c r="U25" s="10" t="n"/>
      <c r="V25" s="10" t="n"/>
      <c r="W25" s="10" t="n"/>
      <c r="X25" s="10" t="n"/>
      <c r="Y25" s="10" t="n"/>
    </row>
    <row r="26">
      <c r="A26" s="9" t="n">
        <v>2</v>
      </c>
      <c r="B26" s="9" t="n">
        <v>24</v>
      </c>
      <c r="C26" s="8" t="n">
        <v>33</v>
      </c>
      <c r="D26" s="10" t="n">
        <v>990000</v>
      </c>
      <c r="E26" s="10" t="n">
        <v>429000</v>
      </c>
      <c r="F26" s="10" t="n">
        <v>9570</v>
      </c>
      <c r="G26" s="10" t="n">
        <v>7920</v>
      </c>
      <c r="H26" s="10" t="n">
        <v>41250</v>
      </c>
      <c r="I26" s="10" t="n">
        <v>46200</v>
      </c>
      <c r="J26" s="10" t="n">
        <v>16500</v>
      </c>
      <c r="K26" s="10" t="n">
        <v>31350</v>
      </c>
      <c r="L26" s="10" t="n">
        <v>581790</v>
      </c>
      <c r="M26" s="10" t="n">
        <v>408210</v>
      </c>
      <c r="N26" s="10" t="n">
        <v>99000</v>
      </c>
      <c r="O26" s="10" t="n">
        <v>99000</v>
      </c>
      <c r="P26" s="10" t="n">
        <v>309210</v>
      </c>
      <c r="Q26" s="10" t="n">
        <v>98947.2</v>
      </c>
      <c r="R26" s="10" t="n">
        <v>210262.8</v>
      </c>
      <c r="S26" s="10">
        <f>$Q26-$R26</f>
        <v/>
      </c>
      <c r="T26" s="10" t="n"/>
      <c r="U26" s="10" t="n"/>
      <c r="V26" s="10" t="n"/>
      <c r="W26" s="10" t="n"/>
      <c r="X26" s="10" t="n"/>
      <c r="Y26" s="10" t="n"/>
    </row>
    <row r="27">
      <c r="A27" s="9" t="n">
        <v>3</v>
      </c>
      <c r="B27" s="9" t="n">
        <v>25</v>
      </c>
      <c r="C27" s="8" t="n">
        <v>33</v>
      </c>
      <c r="D27" s="10" t="n">
        <v>990000</v>
      </c>
      <c r="E27" s="10" t="n">
        <v>429000</v>
      </c>
      <c r="F27" s="10" t="n">
        <v>9570</v>
      </c>
      <c r="G27" s="10" t="n">
        <v>7920</v>
      </c>
      <c r="H27" s="10" t="n">
        <v>41250</v>
      </c>
      <c r="I27" s="10" t="n">
        <v>46200</v>
      </c>
      <c r="J27" s="10" t="n">
        <v>16500</v>
      </c>
      <c r="K27" s="10" t="n">
        <v>31350</v>
      </c>
      <c r="L27" s="10" t="n">
        <v>581790</v>
      </c>
      <c r="M27" s="10" t="n">
        <v>408210</v>
      </c>
      <c r="N27" s="10" t="n">
        <v>99000</v>
      </c>
      <c r="O27" s="10" t="n">
        <v>99000</v>
      </c>
      <c r="P27" s="10" t="n">
        <v>309210</v>
      </c>
      <c r="Q27" s="10" t="n">
        <v>98947.2</v>
      </c>
      <c r="R27" s="10" t="n">
        <v>210262.8</v>
      </c>
      <c r="S27" s="10">
        <f>$Q27-$R27</f>
        <v/>
      </c>
      <c r="T27" s="10" t="n"/>
      <c r="U27" s="10" t="n"/>
      <c r="V27" s="10" t="n"/>
      <c r="W27" s="10" t="n"/>
      <c r="X27" s="10" t="n"/>
      <c r="Y27" s="10" t="n"/>
    </row>
    <row r="28">
      <c r="A28" s="9" t="n">
        <v>3</v>
      </c>
      <c r="B28" s="9" t="n">
        <v>26</v>
      </c>
      <c r="C28" s="8" t="n">
        <v>37</v>
      </c>
      <c r="D28" s="10" t="n">
        <v>1110000</v>
      </c>
      <c r="E28" s="10" t="n">
        <v>481000</v>
      </c>
      <c r="F28" s="10" t="n">
        <v>10730</v>
      </c>
      <c r="G28" s="10" t="n">
        <v>8880</v>
      </c>
      <c r="H28" s="10" t="n">
        <v>46250</v>
      </c>
      <c r="I28" s="10" t="n">
        <v>51800</v>
      </c>
      <c r="J28" s="10" t="n">
        <v>18500</v>
      </c>
      <c r="K28" s="10" t="n">
        <v>35150</v>
      </c>
      <c r="L28" s="10" t="n">
        <v>652310</v>
      </c>
      <c r="M28" s="10" t="n">
        <v>457690</v>
      </c>
      <c r="N28" s="10" t="n">
        <v>111000</v>
      </c>
      <c r="O28" s="10" t="n">
        <v>111000</v>
      </c>
      <c r="P28" s="10" t="n">
        <v>346690</v>
      </c>
      <c r="Q28" s="10" t="n">
        <v>110940.8</v>
      </c>
      <c r="R28" s="10" t="n">
        <v>235749.2</v>
      </c>
      <c r="S28" s="10">
        <f>$Q28-$R28</f>
        <v/>
      </c>
      <c r="T28" s="10" t="n"/>
      <c r="U28" s="10" t="n"/>
      <c r="V28" s="10" t="n"/>
      <c r="W28" s="10" t="n"/>
      <c r="X28" s="10" t="n"/>
      <c r="Y28" s="10" t="n"/>
    </row>
    <row r="29">
      <c r="A29" s="9" t="n">
        <v>3</v>
      </c>
      <c r="B29" s="9" t="n">
        <v>27</v>
      </c>
      <c r="C29" s="8" t="n">
        <v>37</v>
      </c>
      <c r="D29" s="10" t="n">
        <v>1110000</v>
      </c>
      <c r="E29" s="10" t="n">
        <v>481000</v>
      </c>
      <c r="F29" s="10" t="n">
        <v>10730</v>
      </c>
      <c r="G29" s="10" t="n">
        <v>8880</v>
      </c>
      <c r="H29" s="10" t="n">
        <v>46250</v>
      </c>
      <c r="I29" s="10" t="n">
        <v>51800</v>
      </c>
      <c r="J29" s="10" t="n">
        <v>18500</v>
      </c>
      <c r="K29" s="10" t="n">
        <v>35150</v>
      </c>
      <c r="L29" s="10" t="n">
        <v>652310</v>
      </c>
      <c r="M29" s="10" t="n">
        <v>457690</v>
      </c>
      <c r="N29" s="10" t="n">
        <v>111000</v>
      </c>
      <c r="O29" s="10" t="n">
        <v>111000</v>
      </c>
      <c r="P29" s="10" t="n">
        <v>346690</v>
      </c>
      <c r="Q29" s="10" t="n">
        <v>110940.8</v>
      </c>
      <c r="R29" s="10" t="n">
        <v>235749.2</v>
      </c>
      <c r="S29" s="10">
        <f>$Q29-$R29</f>
        <v/>
      </c>
      <c r="T29" s="10" t="n"/>
      <c r="U29" s="10" t="n"/>
      <c r="V29" s="10" t="n"/>
      <c r="W29" s="10" t="n"/>
      <c r="X29" s="10" t="n"/>
      <c r="Y29" s="10" t="n"/>
    </row>
    <row r="30">
      <c r="A30" s="9" t="n">
        <v>3</v>
      </c>
      <c r="B30" s="9" t="n">
        <v>28</v>
      </c>
      <c r="C30" s="8" t="n">
        <v>37</v>
      </c>
      <c r="D30" s="10" t="n">
        <v>1110000</v>
      </c>
      <c r="E30" s="10" t="n">
        <v>481000</v>
      </c>
      <c r="F30" s="10" t="n">
        <v>10730</v>
      </c>
      <c r="G30" s="10" t="n">
        <v>8880</v>
      </c>
      <c r="H30" s="10" t="n">
        <v>46250</v>
      </c>
      <c r="I30" s="10" t="n">
        <v>51800</v>
      </c>
      <c r="J30" s="10" t="n">
        <v>18500</v>
      </c>
      <c r="K30" s="10" t="n">
        <v>35150</v>
      </c>
      <c r="L30" s="10" t="n">
        <v>652310</v>
      </c>
      <c r="M30" s="10" t="n">
        <v>457690</v>
      </c>
      <c r="N30" s="10" t="n">
        <v>111000</v>
      </c>
      <c r="O30" s="10" t="n">
        <v>111000</v>
      </c>
      <c r="P30" s="10" t="n">
        <v>346690</v>
      </c>
      <c r="Q30" s="10" t="n">
        <v>110940.8</v>
      </c>
      <c r="R30" s="10" t="n">
        <v>235749.2</v>
      </c>
      <c r="S30" s="10">
        <f>$Q30-$R30</f>
        <v/>
      </c>
      <c r="T30" s="10" t="n"/>
      <c r="U30" s="10" t="n"/>
      <c r="V30" s="10" t="n"/>
      <c r="W30" s="10" t="n"/>
      <c r="X30" s="10" t="n"/>
      <c r="Y30" s="10" t="n"/>
    </row>
    <row r="31">
      <c r="A31" s="9" t="n">
        <v>3</v>
      </c>
      <c r="B31" s="9" t="n">
        <v>29</v>
      </c>
      <c r="C31" s="8" t="n">
        <v>42</v>
      </c>
      <c r="D31" s="10" t="n">
        <v>1260000</v>
      </c>
      <c r="E31" s="10" t="n">
        <v>546000</v>
      </c>
      <c r="F31" s="10" t="n">
        <v>12180</v>
      </c>
      <c r="G31" s="10" t="n">
        <v>10080</v>
      </c>
      <c r="H31" s="10" t="n">
        <v>52500</v>
      </c>
      <c r="I31" s="10" t="n">
        <v>58800</v>
      </c>
      <c r="J31" s="10" t="n">
        <v>21000</v>
      </c>
      <c r="K31" s="10" t="n">
        <v>39900</v>
      </c>
      <c r="L31" s="10" t="n">
        <v>740460</v>
      </c>
      <c r="M31" s="10" t="n">
        <v>519540</v>
      </c>
      <c r="N31" s="10" t="n">
        <v>126000</v>
      </c>
      <c r="O31" s="10" t="n">
        <v>126000</v>
      </c>
      <c r="P31" s="10" t="n">
        <v>393540</v>
      </c>
      <c r="Q31" s="10" t="n">
        <v>125932.8</v>
      </c>
      <c r="R31" s="10" t="n">
        <v>267607.2</v>
      </c>
      <c r="S31" s="10">
        <f>$Q31-$R31</f>
        <v/>
      </c>
      <c r="T31" s="10" t="n"/>
      <c r="U31" s="10" t="n"/>
      <c r="V31" s="10" t="n"/>
      <c r="W31" s="10" t="n"/>
      <c r="X31" s="10" t="n"/>
      <c r="Y31" s="10" t="n"/>
    </row>
    <row r="32">
      <c r="A32" s="9" t="n">
        <v>3</v>
      </c>
      <c r="B32" s="9" t="n">
        <v>30</v>
      </c>
      <c r="C32" s="8" t="n">
        <v>42</v>
      </c>
      <c r="D32" s="10" t="n">
        <v>1260000</v>
      </c>
      <c r="E32" s="10" t="n">
        <v>546000</v>
      </c>
      <c r="F32" s="10" t="n">
        <v>12180</v>
      </c>
      <c r="G32" s="10" t="n">
        <v>10080</v>
      </c>
      <c r="H32" s="10" t="n">
        <v>52500</v>
      </c>
      <c r="I32" s="10" t="n">
        <v>58800</v>
      </c>
      <c r="J32" s="10" t="n">
        <v>21000</v>
      </c>
      <c r="K32" s="10" t="n">
        <v>39900</v>
      </c>
      <c r="L32" s="10" t="n">
        <v>740460</v>
      </c>
      <c r="M32" s="10" t="n">
        <v>519540</v>
      </c>
      <c r="N32" s="10" t="n">
        <v>126000</v>
      </c>
      <c r="O32" s="10" t="n">
        <v>126000</v>
      </c>
      <c r="P32" s="10" t="n">
        <v>393540</v>
      </c>
      <c r="Q32" s="10" t="n">
        <v>125932.8</v>
      </c>
      <c r="R32" s="10" t="n">
        <v>267607.2</v>
      </c>
      <c r="S32" s="10">
        <f>$Q32-$R32</f>
        <v/>
      </c>
      <c r="T32" s="10" t="n"/>
      <c r="U32" s="10" t="n"/>
      <c r="V32" s="10" t="n"/>
      <c r="W32" s="10" t="n"/>
      <c r="X32" s="10" t="n"/>
      <c r="Y32" s="10" t="n"/>
    </row>
    <row r="33">
      <c r="A33" s="9" t="n">
        <v>3</v>
      </c>
      <c r="B33" s="9" t="n">
        <v>31</v>
      </c>
      <c r="C33" s="8" t="n">
        <v>46</v>
      </c>
      <c r="D33" s="10" t="n">
        <v>1380000</v>
      </c>
      <c r="E33" s="10" t="n">
        <v>598000</v>
      </c>
      <c r="F33" s="10" t="n">
        <v>13340</v>
      </c>
      <c r="G33" s="10" t="n">
        <v>11040</v>
      </c>
      <c r="H33" s="10" t="n">
        <v>57500</v>
      </c>
      <c r="I33" s="10" t="n">
        <v>64400</v>
      </c>
      <c r="J33" s="10" t="n">
        <v>23000</v>
      </c>
      <c r="K33" s="10" t="n">
        <v>43700</v>
      </c>
      <c r="L33" s="10" t="n">
        <v>810980</v>
      </c>
      <c r="M33" s="10" t="n">
        <v>569020</v>
      </c>
      <c r="N33" s="10" t="n">
        <v>138000</v>
      </c>
      <c r="O33" s="10" t="n">
        <v>138000</v>
      </c>
      <c r="P33" s="10" t="n">
        <v>431020</v>
      </c>
      <c r="Q33" s="10" t="n">
        <v>137926.4</v>
      </c>
      <c r="R33" s="10" t="n">
        <v>293093.6</v>
      </c>
      <c r="S33" s="10">
        <f>$Q33-$R33</f>
        <v/>
      </c>
      <c r="T33" s="10" t="n"/>
      <c r="U33" s="10" t="n"/>
      <c r="V33" s="10" t="n"/>
      <c r="W33" s="10" t="n"/>
      <c r="X33" s="10" t="n"/>
      <c r="Y33" s="10" t="n"/>
    </row>
    <row r="34">
      <c r="A34" s="9" t="n">
        <v>3</v>
      </c>
      <c r="B34" s="9" t="n">
        <v>32</v>
      </c>
      <c r="C34" s="8" t="n">
        <v>37</v>
      </c>
      <c r="D34" s="10" t="n">
        <v>1110000</v>
      </c>
      <c r="E34" s="10" t="n">
        <v>481000</v>
      </c>
      <c r="F34" s="10" t="n">
        <v>10730</v>
      </c>
      <c r="G34" s="10" t="n">
        <v>8880</v>
      </c>
      <c r="H34" s="10" t="n">
        <v>46250</v>
      </c>
      <c r="I34" s="10" t="n">
        <v>51800</v>
      </c>
      <c r="J34" s="10" t="n">
        <v>18500</v>
      </c>
      <c r="K34" s="10" t="n">
        <v>35150</v>
      </c>
      <c r="L34" s="10" t="n">
        <v>652310</v>
      </c>
      <c r="M34" s="10" t="n">
        <v>457690</v>
      </c>
      <c r="N34" s="10" t="n">
        <v>111000</v>
      </c>
      <c r="O34" s="10" t="n">
        <v>111000</v>
      </c>
      <c r="P34" s="10" t="n">
        <v>346690</v>
      </c>
      <c r="Q34" s="10" t="n">
        <v>110940.8</v>
      </c>
      <c r="R34" s="10" t="n">
        <v>235749.2</v>
      </c>
      <c r="S34" s="10">
        <f>$Q34-$R34</f>
        <v/>
      </c>
      <c r="T34" s="10" t="n"/>
      <c r="U34" s="10" t="n"/>
      <c r="V34" s="10" t="n"/>
      <c r="W34" s="10" t="n"/>
      <c r="X34" s="10" t="n"/>
      <c r="Y34" s="10" t="n"/>
    </row>
    <row r="35">
      <c r="A35" s="9" t="n">
        <v>3</v>
      </c>
      <c r="B35" s="9" t="n">
        <v>33</v>
      </c>
      <c r="C35" s="8" t="n">
        <v>41</v>
      </c>
      <c r="D35" s="10" t="n">
        <v>1230000</v>
      </c>
      <c r="E35" s="10" t="n">
        <v>533000</v>
      </c>
      <c r="F35" s="10" t="n">
        <v>11890</v>
      </c>
      <c r="G35" s="10" t="n">
        <v>9840</v>
      </c>
      <c r="H35" s="10" t="n">
        <v>51250</v>
      </c>
      <c r="I35" s="10" t="n">
        <v>57400</v>
      </c>
      <c r="J35" s="10" t="n">
        <v>20500</v>
      </c>
      <c r="K35" s="10" t="n">
        <v>38950</v>
      </c>
      <c r="L35" s="10" t="n">
        <v>722830</v>
      </c>
      <c r="M35" s="10" t="n">
        <v>507170</v>
      </c>
      <c r="N35" s="10" t="n">
        <v>123000</v>
      </c>
      <c r="O35" s="10" t="n">
        <v>123000</v>
      </c>
      <c r="P35" s="10" t="n">
        <v>384170</v>
      </c>
      <c r="Q35" s="10" t="n">
        <v>122934.4</v>
      </c>
      <c r="R35" s="10" t="n">
        <v>261235.6</v>
      </c>
      <c r="S35" s="10">
        <f>$Q35-$R35</f>
        <v/>
      </c>
      <c r="T35" s="10" t="n"/>
      <c r="U35" s="10" t="n"/>
      <c r="V35" s="10" t="n"/>
      <c r="W35" s="10" t="n"/>
      <c r="X35" s="10" t="n"/>
      <c r="Y35" s="10" t="n"/>
    </row>
    <row r="36">
      <c r="A36" s="9" t="n">
        <v>3</v>
      </c>
      <c r="B36" s="9" t="n">
        <v>34</v>
      </c>
      <c r="C36" s="8" t="n">
        <v>41</v>
      </c>
      <c r="D36" s="10" t="n">
        <v>1230000</v>
      </c>
      <c r="E36" s="10" t="n">
        <v>533000</v>
      </c>
      <c r="F36" s="10" t="n">
        <v>11890</v>
      </c>
      <c r="G36" s="10" t="n">
        <v>9840</v>
      </c>
      <c r="H36" s="10" t="n">
        <v>51250</v>
      </c>
      <c r="I36" s="10" t="n">
        <v>57400</v>
      </c>
      <c r="J36" s="10" t="n">
        <v>20500</v>
      </c>
      <c r="K36" s="10" t="n">
        <v>38950</v>
      </c>
      <c r="L36" s="10" t="n">
        <v>722830</v>
      </c>
      <c r="M36" s="10" t="n">
        <v>507170</v>
      </c>
      <c r="N36" s="10" t="n">
        <v>123000</v>
      </c>
      <c r="O36" s="10" t="n">
        <v>123000</v>
      </c>
      <c r="P36" s="10" t="n">
        <v>384170</v>
      </c>
      <c r="Q36" s="10" t="n">
        <v>122934.4</v>
      </c>
      <c r="R36" s="10" t="n">
        <v>261235.6</v>
      </c>
      <c r="S36" s="10">
        <f>$Q36-$R36</f>
        <v/>
      </c>
      <c r="T36" s="10" t="n"/>
      <c r="U36" s="10" t="n"/>
      <c r="V36" s="10" t="n"/>
      <c r="W36" s="10" t="n"/>
      <c r="X36" s="10" t="n"/>
      <c r="Y36" s="10" t="n"/>
    </row>
    <row r="37">
      <c r="A37" s="9" t="n">
        <v>3</v>
      </c>
      <c r="B37" s="9" t="n">
        <v>35</v>
      </c>
      <c r="C37" s="8" t="n">
        <v>45</v>
      </c>
      <c r="D37" s="10" t="n">
        <v>1350000</v>
      </c>
      <c r="E37" s="10" t="n">
        <v>585000</v>
      </c>
      <c r="F37" s="10" t="n">
        <v>13050</v>
      </c>
      <c r="G37" s="10" t="n">
        <v>10800</v>
      </c>
      <c r="H37" s="10" t="n">
        <v>56250</v>
      </c>
      <c r="I37" s="10" t="n">
        <v>63000</v>
      </c>
      <c r="J37" s="10" t="n">
        <v>22500</v>
      </c>
      <c r="K37" s="10" t="n">
        <v>42750</v>
      </c>
      <c r="L37" s="10" t="n">
        <v>793350</v>
      </c>
      <c r="M37" s="10" t="n">
        <v>556650</v>
      </c>
      <c r="N37" s="10" t="n">
        <v>135000</v>
      </c>
      <c r="O37" s="10" t="n">
        <v>135000</v>
      </c>
      <c r="P37" s="10" t="n">
        <v>421650</v>
      </c>
      <c r="Q37" s="10" t="n">
        <v>134928</v>
      </c>
      <c r="R37" s="10" t="n">
        <v>286722</v>
      </c>
      <c r="S37" s="10">
        <f>$Q37-$R37</f>
        <v/>
      </c>
      <c r="T37" s="10" t="n"/>
      <c r="U37" s="10" t="n"/>
      <c r="V37" s="10" t="n"/>
      <c r="W37" s="10" t="n"/>
      <c r="X37" s="10" t="n"/>
      <c r="Y37" s="10" t="n"/>
    </row>
    <row r="38">
      <c r="A38" s="9" t="n">
        <v>3</v>
      </c>
      <c r="B38" s="9" t="n">
        <v>36</v>
      </c>
      <c r="C38" s="8" t="n">
        <v>45</v>
      </c>
      <c r="D38" s="10" t="n">
        <v>1350000</v>
      </c>
      <c r="E38" s="10" t="n">
        <v>585000</v>
      </c>
      <c r="F38" s="10" t="n">
        <v>13050</v>
      </c>
      <c r="G38" s="10" t="n">
        <v>10800</v>
      </c>
      <c r="H38" s="10" t="n">
        <v>56250</v>
      </c>
      <c r="I38" s="10" t="n">
        <v>63000</v>
      </c>
      <c r="J38" s="10" t="n">
        <v>22500</v>
      </c>
      <c r="K38" s="10" t="n">
        <v>42750</v>
      </c>
      <c r="L38" s="10" t="n">
        <v>793350</v>
      </c>
      <c r="M38" s="10" t="n">
        <v>556650</v>
      </c>
      <c r="N38" s="10" t="n">
        <v>135000</v>
      </c>
      <c r="O38" s="10" t="n">
        <v>135000</v>
      </c>
      <c r="P38" s="10" t="n">
        <v>421650</v>
      </c>
      <c r="Q38" s="10" t="n">
        <v>134928</v>
      </c>
      <c r="R38" s="10" t="n">
        <v>286722</v>
      </c>
      <c r="S38" s="10">
        <f>$Q38-$R38</f>
        <v/>
      </c>
      <c r="T38" s="10" t="n"/>
      <c r="U38" s="10" t="n"/>
      <c r="V38" s="10" t="n"/>
      <c r="W38" s="10" t="n"/>
      <c r="X38" s="10" t="n"/>
      <c r="Y38" s="10" t="n"/>
    </row>
    <row r="39">
      <c r="A39" s="9" t="n">
        <v>4</v>
      </c>
      <c r="B39" s="9" t="n">
        <v>37</v>
      </c>
      <c r="C39" s="8" t="n">
        <v>45</v>
      </c>
      <c r="D39" s="10" t="n">
        <v>1350000</v>
      </c>
      <c r="E39" s="10" t="n">
        <v>585000</v>
      </c>
      <c r="F39" s="10" t="n">
        <v>13050</v>
      </c>
      <c r="G39" s="10" t="n">
        <v>10800</v>
      </c>
      <c r="H39" s="10" t="n">
        <v>56250</v>
      </c>
      <c r="I39" s="10" t="n">
        <v>63000</v>
      </c>
      <c r="J39" s="10" t="n">
        <v>22500</v>
      </c>
      <c r="K39" s="10" t="n">
        <v>42750</v>
      </c>
      <c r="L39" s="10" t="n">
        <v>793350</v>
      </c>
      <c r="M39" s="10" t="n">
        <v>556650</v>
      </c>
      <c r="N39" s="10" t="n">
        <v>135000</v>
      </c>
      <c r="O39" s="10" t="n">
        <v>135000</v>
      </c>
      <c r="P39" s="10" t="n">
        <v>421650</v>
      </c>
      <c r="Q39" s="10" t="n">
        <v>134928</v>
      </c>
      <c r="R39" s="10" t="n">
        <v>286722</v>
      </c>
      <c r="S39" s="10">
        <f>$Q39-$R39</f>
        <v/>
      </c>
      <c r="T39" s="10" t="n"/>
      <c r="U39" s="10" t="n"/>
      <c r="V39" s="10" t="n"/>
      <c r="W39" s="10" t="n"/>
      <c r="X39" s="10" t="n"/>
      <c r="Y39" s="10" t="n"/>
    </row>
    <row r="40">
      <c r="A40" s="9" t="n">
        <v>4</v>
      </c>
      <c r="B40" s="9" t="n">
        <v>38</v>
      </c>
      <c r="C40" s="8" t="n">
        <v>45</v>
      </c>
      <c r="D40" s="10" t="n">
        <v>1350000</v>
      </c>
      <c r="E40" s="10" t="n">
        <v>585000</v>
      </c>
      <c r="F40" s="10" t="n">
        <v>13050</v>
      </c>
      <c r="G40" s="10" t="n">
        <v>10800</v>
      </c>
      <c r="H40" s="10" t="n">
        <v>56250</v>
      </c>
      <c r="I40" s="10" t="n">
        <v>63000</v>
      </c>
      <c r="J40" s="10" t="n">
        <v>22500</v>
      </c>
      <c r="K40" s="10" t="n">
        <v>42750</v>
      </c>
      <c r="L40" s="10" t="n">
        <v>793350</v>
      </c>
      <c r="M40" s="10" t="n">
        <v>556650</v>
      </c>
      <c r="N40" s="10" t="n">
        <v>135000</v>
      </c>
      <c r="O40" s="10" t="n">
        <v>135000</v>
      </c>
      <c r="P40" s="10" t="n">
        <v>421650</v>
      </c>
      <c r="Q40" s="10" t="n">
        <v>134928</v>
      </c>
      <c r="R40" s="10" t="n">
        <v>286722</v>
      </c>
      <c r="S40" s="10">
        <f>$Q40-$R40</f>
        <v/>
      </c>
      <c r="T40" s="10" t="n"/>
      <c r="U40" s="10" t="n"/>
      <c r="V40" s="10" t="n"/>
      <c r="W40" s="10" t="n"/>
      <c r="X40" s="10" t="n"/>
      <c r="Y40" s="10" t="n"/>
    </row>
    <row r="41">
      <c r="A41" s="9" t="n">
        <v>4</v>
      </c>
      <c r="B41" s="9" t="n">
        <v>39</v>
      </c>
      <c r="C41" s="8" t="n">
        <v>49</v>
      </c>
      <c r="D41" s="10" t="n">
        <v>1470000</v>
      </c>
      <c r="E41" s="10" t="n">
        <v>637000</v>
      </c>
      <c r="F41" s="10" t="n">
        <v>14210</v>
      </c>
      <c r="G41" s="10" t="n">
        <v>11760</v>
      </c>
      <c r="H41" s="10" t="n">
        <v>61250</v>
      </c>
      <c r="I41" s="10" t="n">
        <v>68600</v>
      </c>
      <c r="J41" s="10" t="n">
        <v>24500</v>
      </c>
      <c r="K41" s="10" t="n">
        <v>46550</v>
      </c>
      <c r="L41" s="10" t="n">
        <v>863870</v>
      </c>
      <c r="M41" s="10" t="n">
        <v>606130</v>
      </c>
      <c r="N41" s="10" t="n">
        <v>147000</v>
      </c>
      <c r="O41" s="10" t="n">
        <v>147000</v>
      </c>
      <c r="P41" s="10" t="n">
        <v>459130</v>
      </c>
      <c r="Q41" s="10" t="n">
        <v>146921.6</v>
      </c>
      <c r="R41" s="10" t="n">
        <v>312208.4</v>
      </c>
      <c r="S41" s="10">
        <f>$Q41-$R41</f>
        <v/>
      </c>
      <c r="T41" s="10" t="n"/>
      <c r="U41" s="10" t="n"/>
      <c r="V41" s="10" t="n"/>
      <c r="W41" s="10" t="n"/>
      <c r="X41" s="10" t="n"/>
      <c r="Y41" s="10" t="n"/>
    </row>
    <row r="42">
      <c r="A42" s="9" t="n">
        <v>4</v>
      </c>
      <c r="B42" s="9" t="n">
        <v>40</v>
      </c>
      <c r="C42" s="8" t="n">
        <v>45</v>
      </c>
      <c r="D42" s="10" t="n">
        <v>1350000</v>
      </c>
      <c r="E42" s="10" t="n">
        <v>585000</v>
      </c>
      <c r="F42" s="10" t="n">
        <v>13050</v>
      </c>
      <c r="G42" s="10" t="n">
        <v>10800</v>
      </c>
      <c r="H42" s="10" t="n">
        <v>56250</v>
      </c>
      <c r="I42" s="10" t="n">
        <v>63000</v>
      </c>
      <c r="J42" s="10" t="n">
        <v>22500</v>
      </c>
      <c r="K42" s="10" t="n">
        <v>42750</v>
      </c>
      <c r="L42" s="10" t="n">
        <v>793350</v>
      </c>
      <c r="M42" s="10" t="n">
        <v>556650</v>
      </c>
      <c r="N42" s="10" t="n">
        <v>135000</v>
      </c>
      <c r="O42" s="10" t="n">
        <v>135000</v>
      </c>
      <c r="P42" s="10" t="n">
        <v>421650</v>
      </c>
      <c r="Q42" s="10" t="n">
        <v>134928</v>
      </c>
      <c r="R42" s="10" t="n">
        <v>286722</v>
      </c>
      <c r="S42" s="10">
        <f>$Q42-$R42</f>
        <v/>
      </c>
      <c r="T42" s="10" t="n"/>
      <c r="U42" s="10" t="n"/>
      <c r="V42" s="10" t="n"/>
      <c r="W42" s="10" t="n"/>
      <c r="X42" s="10" t="n"/>
      <c r="Y42" s="10" t="n"/>
    </row>
    <row r="43">
      <c r="A43" s="9" t="n">
        <v>4</v>
      </c>
      <c r="B43" s="9" t="n">
        <v>41</v>
      </c>
      <c r="C43" s="8" t="n">
        <v>49</v>
      </c>
      <c r="D43" s="10" t="n">
        <v>1470000</v>
      </c>
      <c r="E43" s="10" t="n">
        <v>637000</v>
      </c>
      <c r="F43" s="10" t="n">
        <v>14210</v>
      </c>
      <c r="G43" s="10" t="n">
        <v>11760</v>
      </c>
      <c r="H43" s="10" t="n">
        <v>61250</v>
      </c>
      <c r="I43" s="10" t="n">
        <v>68600</v>
      </c>
      <c r="J43" s="10" t="n">
        <v>24500</v>
      </c>
      <c r="K43" s="10" t="n">
        <v>46550</v>
      </c>
      <c r="L43" s="10" t="n">
        <v>863870</v>
      </c>
      <c r="M43" s="10" t="n">
        <v>606130</v>
      </c>
      <c r="N43" s="10" t="n">
        <v>147000</v>
      </c>
      <c r="O43" s="10" t="n">
        <v>147000</v>
      </c>
      <c r="P43" s="10" t="n">
        <v>459130</v>
      </c>
      <c r="Q43" s="10" t="n">
        <v>146921.6</v>
      </c>
      <c r="R43" s="10" t="n">
        <v>312208.4</v>
      </c>
      <c r="S43" s="10">
        <f>$Q43-$R43</f>
        <v/>
      </c>
      <c r="T43" s="10" t="n"/>
      <c r="U43" s="10" t="n"/>
      <c r="V43" s="10" t="n"/>
      <c r="W43" s="10" t="n"/>
      <c r="X43" s="10" t="n"/>
      <c r="Y43" s="10" t="n"/>
    </row>
    <row r="44">
      <c r="A44" s="9" t="n">
        <v>4</v>
      </c>
      <c r="B44" s="9" t="n">
        <v>42</v>
      </c>
      <c r="C44" s="8" t="n">
        <v>49</v>
      </c>
      <c r="D44" s="10" t="n">
        <v>1470000</v>
      </c>
      <c r="E44" s="10" t="n">
        <v>637000</v>
      </c>
      <c r="F44" s="10" t="n">
        <v>14210</v>
      </c>
      <c r="G44" s="10" t="n">
        <v>11760</v>
      </c>
      <c r="H44" s="10" t="n">
        <v>61250</v>
      </c>
      <c r="I44" s="10" t="n">
        <v>68600</v>
      </c>
      <c r="J44" s="10" t="n">
        <v>24500</v>
      </c>
      <c r="K44" s="10" t="n">
        <v>46550</v>
      </c>
      <c r="L44" s="10" t="n">
        <v>863870</v>
      </c>
      <c r="M44" s="10" t="n">
        <v>606130</v>
      </c>
      <c r="N44" s="10" t="n">
        <v>147000</v>
      </c>
      <c r="O44" s="10" t="n">
        <v>147000</v>
      </c>
      <c r="P44" s="10" t="n">
        <v>459130</v>
      </c>
      <c r="Q44" s="10" t="n">
        <v>146921.6</v>
      </c>
      <c r="R44" s="10" t="n">
        <v>312208.4</v>
      </c>
      <c r="S44" s="10">
        <f>$Q44-$R44</f>
        <v/>
      </c>
      <c r="T44" s="10" t="n"/>
      <c r="U44" s="10" t="n"/>
      <c r="V44" s="10" t="n"/>
      <c r="W44" s="10" t="n"/>
      <c r="X44" s="10" t="n"/>
      <c r="Y44" s="10" t="n"/>
    </row>
    <row r="45">
      <c r="A45" s="9" t="n">
        <v>4</v>
      </c>
      <c r="B45" s="9" t="n">
        <v>43</v>
      </c>
      <c r="C45" s="8" t="n">
        <v>50</v>
      </c>
      <c r="D45" s="10" t="n">
        <v>1500000</v>
      </c>
      <c r="E45" s="10" t="n">
        <v>650000</v>
      </c>
      <c r="F45" s="10" t="n">
        <v>14500</v>
      </c>
      <c r="G45" s="10" t="n">
        <v>12000</v>
      </c>
      <c r="H45" s="10" t="n">
        <v>62500</v>
      </c>
      <c r="I45" s="10" t="n">
        <v>70000</v>
      </c>
      <c r="J45" s="10" t="n">
        <v>25000</v>
      </c>
      <c r="K45" s="10" t="n">
        <v>47500</v>
      </c>
      <c r="L45" s="10" t="n">
        <v>881500</v>
      </c>
      <c r="M45" s="10" t="n">
        <v>618500</v>
      </c>
      <c r="N45" s="10" t="n">
        <v>150000</v>
      </c>
      <c r="O45" s="10" t="n">
        <v>150000</v>
      </c>
      <c r="P45" s="10" t="n">
        <v>468500</v>
      </c>
      <c r="Q45" s="10" t="n">
        <v>149920</v>
      </c>
      <c r="R45" s="10" t="n">
        <v>318580</v>
      </c>
      <c r="S45" s="10">
        <f>$Q45-$R45</f>
        <v/>
      </c>
      <c r="T45" s="10" t="n"/>
      <c r="U45" s="10" t="n"/>
      <c r="V45" s="10" t="n"/>
      <c r="W45" s="10" t="n"/>
      <c r="X45" s="10" t="n"/>
      <c r="Y45" s="10" t="n"/>
    </row>
    <row r="46">
      <c r="A46" s="9" t="n">
        <v>4</v>
      </c>
      <c r="B46" s="9" t="n">
        <v>44</v>
      </c>
      <c r="C46" s="8" t="n">
        <v>50</v>
      </c>
      <c r="D46" s="10" t="n">
        <v>1500000</v>
      </c>
      <c r="E46" s="10" t="n">
        <v>650000</v>
      </c>
      <c r="F46" s="10" t="n">
        <v>14500</v>
      </c>
      <c r="G46" s="10" t="n">
        <v>12000</v>
      </c>
      <c r="H46" s="10" t="n">
        <v>62500</v>
      </c>
      <c r="I46" s="10" t="n">
        <v>70000</v>
      </c>
      <c r="J46" s="10" t="n">
        <v>25000</v>
      </c>
      <c r="K46" s="10" t="n">
        <v>47500</v>
      </c>
      <c r="L46" s="10" t="n">
        <v>881500</v>
      </c>
      <c r="M46" s="10" t="n">
        <v>618500</v>
      </c>
      <c r="N46" s="10" t="n">
        <v>150000</v>
      </c>
      <c r="O46" s="10" t="n">
        <v>150000</v>
      </c>
      <c r="P46" s="10" t="n">
        <v>468500</v>
      </c>
      <c r="Q46" s="10" t="n">
        <v>149920</v>
      </c>
      <c r="R46" s="10" t="n">
        <v>318580</v>
      </c>
      <c r="S46" s="10">
        <f>$Q46-$R46</f>
        <v/>
      </c>
      <c r="T46" s="10" t="n"/>
      <c r="U46" s="10" t="n"/>
      <c r="V46" s="10" t="n"/>
      <c r="W46" s="10" t="n"/>
      <c r="X46" s="10" t="n"/>
      <c r="Y46" s="10" t="n"/>
    </row>
    <row r="47">
      <c r="A47" s="9" t="n">
        <v>4</v>
      </c>
      <c r="B47" s="9" t="n">
        <v>45</v>
      </c>
      <c r="C47" s="8" t="n">
        <v>51</v>
      </c>
      <c r="D47" s="10" t="n">
        <v>1530000</v>
      </c>
      <c r="E47" s="10" t="n">
        <v>663000</v>
      </c>
      <c r="F47" s="10" t="n">
        <v>14790</v>
      </c>
      <c r="G47" s="10" t="n">
        <v>12240</v>
      </c>
      <c r="H47" s="10" t="n">
        <v>63750</v>
      </c>
      <c r="I47" s="10" t="n">
        <v>71400</v>
      </c>
      <c r="J47" s="10" t="n">
        <v>25500</v>
      </c>
      <c r="K47" s="10" t="n">
        <v>48450</v>
      </c>
      <c r="L47" s="10" t="n">
        <v>899130</v>
      </c>
      <c r="M47" s="10" t="n">
        <v>630870</v>
      </c>
      <c r="N47" s="10" t="n">
        <v>153000</v>
      </c>
      <c r="O47" s="10" t="n">
        <v>153000</v>
      </c>
      <c r="P47" s="10" t="n">
        <v>477870</v>
      </c>
      <c r="Q47" s="10" t="n">
        <v>152918.4</v>
      </c>
      <c r="R47" s="10" t="n">
        <v>324951.6</v>
      </c>
      <c r="S47" s="10">
        <f>$Q47-$R47</f>
        <v/>
      </c>
      <c r="T47" s="10" t="n"/>
      <c r="U47" s="10" t="n"/>
      <c r="V47" s="10" t="n"/>
      <c r="W47" s="10" t="n"/>
      <c r="X47" s="10" t="n"/>
      <c r="Y47" s="10" t="n"/>
    </row>
    <row r="48">
      <c r="A48" s="9" t="n">
        <v>4</v>
      </c>
      <c r="B48" s="9" t="n">
        <v>46</v>
      </c>
      <c r="C48" s="8" t="n">
        <v>51</v>
      </c>
      <c r="D48" s="10" t="n">
        <v>1530000</v>
      </c>
      <c r="E48" s="10" t="n">
        <v>663000</v>
      </c>
      <c r="F48" s="10" t="n">
        <v>14790</v>
      </c>
      <c r="G48" s="10" t="n">
        <v>12240</v>
      </c>
      <c r="H48" s="10" t="n">
        <v>63750</v>
      </c>
      <c r="I48" s="10" t="n">
        <v>71400</v>
      </c>
      <c r="J48" s="10" t="n">
        <v>25500</v>
      </c>
      <c r="K48" s="10" t="n">
        <v>48450</v>
      </c>
      <c r="L48" s="10" t="n">
        <v>899130</v>
      </c>
      <c r="M48" s="10" t="n">
        <v>630870</v>
      </c>
      <c r="N48" s="10" t="n">
        <v>153000</v>
      </c>
      <c r="O48" s="10" t="n">
        <v>153000</v>
      </c>
      <c r="P48" s="10" t="n">
        <v>477870</v>
      </c>
      <c r="Q48" s="10" t="n">
        <v>152918.4</v>
      </c>
      <c r="R48" s="10" t="n">
        <v>324951.6</v>
      </c>
      <c r="S48" s="10">
        <f>$Q48-$R48</f>
        <v/>
      </c>
      <c r="T48" s="10" t="n"/>
      <c r="U48" s="10" t="n"/>
      <c r="V48" s="10" t="n"/>
      <c r="W48" s="10" t="n"/>
      <c r="X48" s="10" t="n"/>
      <c r="Y48" s="10" t="n"/>
    </row>
    <row r="49">
      <c r="A49" s="9" t="n">
        <v>4</v>
      </c>
      <c r="B49" s="9" t="n">
        <v>47</v>
      </c>
      <c r="C49" s="8" t="n">
        <v>56</v>
      </c>
      <c r="D49" s="10" t="n">
        <v>1680000</v>
      </c>
      <c r="E49" s="10" t="n">
        <v>728000</v>
      </c>
      <c r="F49" s="10" t="n">
        <v>16240</v>
      </c>
      <c r="G49" s="10" t="n">
        <v>13440</v>
      </c>
      <c r="H49" s="10" t="n">
        <v>70000</v>
      </c>
      <c r="I49" s="10" t="n">
        <v>78400</v>
      </c>
      <c r="J49" s="10" t="n">
        <v>28000</v>
      </c>
      <c r="K49" s="10" t="n">
        <v>53200</v>
      </c>
      <c r="L49" s="10" t="n">
        <v>987280</v>
      </c>
      <c r="M49" s="10" t="n">
        <v>692720</v>
      </c>
      <c r="N49" s="10" t="n">
        <v>168000</v>
      </c>
      <c r="O49" s="10" t="n">
        <v>168000</v>
      </c>
      <c r="P49" s="10" t="n">
        <v>524720</v>
      </c>
      <c r="Q49" s="10" t="n">
        <v>167910.4</v>
      </c>
      <c r="R49" s="10" t="n">
        <v>356809.6</v>
      </c>
      <c r="S49" s="10">
        <f>$Q49-$R49</f>
        <v/>
      </c>
      <c r="T49" s="10" t="n"/>
      <c r="U49" s="10" t="n"/>
      <c r="V49" s="10" t="n"/>
      <c r="W49" s="10" t="n"/>
      <c r="X49" s="10" t="n"/>
      <c r="Y49" s="10" t="n"/>
    </row>
    <row r="50">
      <c r="A50" s="9" t="n">
        <v>4</v>
      </c>
      <c r="B50" s="9" t="n">
        <v>48</v>
      </c>
      <c r="C50" s="8" t="n">
        <v>52</v>
      </c>
      <c r="D50" s="10" t="n">
        <v>1560000</v>
      </c>
      <c r="E50" s="10" t="n">
        <v>676000</v>
      </c>
      <c r="F50" s="10" t="n">
        <v>15080</v>
      </c>
      <c r="G50" s="10" t="n">
        <v>12480</v>
      </c>
      <c r="H50" s="10" t="n">
        <v>65000</v>
      </c>
      <c r="I50" s="10" t="n">
        <v>72800</v>
      </c>
      <c r="J50" s="10" t="n">
        <v>26000</v>
      </c>
      <c r="K50" s="10" t="n">
        <v>49400</v>
      </c>
      <c r="L50" s="10" t="n">
        <v>916760</v>
      </c>
      <c r="M50" s="10" t="n">
        <v>643240</v>
      </c>
      <c r="N50" s="10" t="n">
        <v>156000</v>
      </c>
      <c r="O50" s="10" t="n">
        <v>156000</v>
      </c>
      <c r="P50" s="10" t="n">
        <v>487240</v>
      </c>
      <c r="Q50" s="10" t="n">
        <v>155916.8</v>
      </c>
      <c r="R50" s="10" t="n">
        <v>331323.2</v>
      </c>
      <c r="S50" s="10">
        <f>$Q50-$R50</f>
        <v/>
      </c>
      <c r="T50" s="10" t="n"/>
      <c r="U50" s="10" t="n"/>
      <c r="V50" s="10" t="n"/>
      <c r="W50" s="10" t="n"/>
      <c r="X50" s="10" t="n"/>
      <c r="Y50" s="10" t="n"/>
    </row>
    <row r="51">
      <c r="A51" s="9" t="n">
        <v>5</v>
      </c>
      <c r="B51" s="9" t="n">
        <v>49</v>
      </c>
      <c r="C51" s="8" t="n">
        <v>56</v>
      </c>
      <c r="D51" s="10" t="n">
        <v>1680000</v>
      </c>
      <c r="E51" s="10" t="n">
        <v>728000</v>
      </c>
      <c r="F51" s="10" t="n">
        <v>16240</v>
      </c>
      <c r="G51" s="10" t="n">
        <v>13440</v>
      </c>
      <c r="H51" s="10" t="n">
        <v>70000</v>
      </c>
      <c r="I51" s="10" t="n">
        <v>78400</v>
      </c>
      <c r="J51" s="10" t="n">
        <v>28000</v>
      </c>
      <c r="K51" s="10" t="n">
        <v>53200</v>
      </c>
      <c r="L51" s="10" t="n">
        <v>987280</v>
      </c>
      <c r="M51" s="10" t="n">
        <v>692720</v>
      </c>
      <c r="N51" s="10" t="n">
        <v>168000</v>
      </c>
      <c r="O51" s="10" t="n">
        <v>168000</v>
      </c>
      <c r="P51" s="10" t="n">
        <v>524720</v>
      </c>
      <c r="Q51" s="10" t="n">
        <v>167910.4</v>
      </c>
      <c r="R51" s="10" t="n">
        <v>356809.6</v>
      </c>
      <c r="S51" s="10">
        <f>$Q51-$R51</f>
        <v/>
      </c>
      <c r="T51" s="10" t="n"/>
      <c r="U51" s="10" t="n"/>
      <c r="V51" s="10" t="n"/>
      <c r="W51" s="10" t="n"/>
      <c r="X51" s="10" t="n"/>
      <c r="Y51" s="10" t="n"/>
    </row>
    <row r="52">
      <c r="A52" s="9" t="n">
        <v>5</v>
      </c>
      <c r="B52" s="9" t="n">
        <v>50</v>
      </c>
      <c r="C52" s="8" t="n">
        <v>52</v>
      </c>
      <c r="D52" s="10" t="n">
        <v>1560000</v>
      </c>
      <c r="E52" s="10" t="n">
        <v>676000</v>
      </c>
      <c r="F52" s="10" t="n">
        <v>15080</v>
      </c>
      <c r="G52" s="10" t="n">
        <v>12480</v>
      </c>
      <c r="H52" s="10" t="n">
        <v>65000</v>
      </c>
      <c r="I52" s="10" t="n">
        <v>72800</v>
      </c>
      <c r="J52" s="10" t="n">
        <v>26000</v>
      </c>
      <c r="K52" s="10" t="n">
        <v>49400</v>
      </c>
      <c r="L52" s="10" t="n">
        <v>916760</v>
      </c>
      <c r="M52" s="10" t="n">
        <v>643240</v>
      </c>
      <c r="N52" s="10" t="n">
        <v>156000</v>
      </c>
      <c r="O52" s="10" t="n">
        <v>156000</v>
      </c>
      <c r="P52" s="10" t="n">
        <v>487240</v>
      </c>
      <c r="Q52" s="10" t="n">
        <v>155916.8</v>
      </c>
      <c r="R52" s="10" t="n">
        <v>331323.2</v>
      </c>
      <c r="S52" s="10">
        <f>$Q52-$R52</f>
        <v/>
      </c>
      <c r="T52" s="10" t="n"/>
      <c r="U52" s="10" t="n"/>
      <c r="V52" s="10" t="n"/>
      <c r="W52" s="10" t="n"/>
      <c r="X52" s="10" t="n"/>
      <c r="Y52" s="10" t="n"/>
    </row>
    <row r="53">
      <c r="A53" s="9" t="n">
        <v>5</v>
      </c>
      <c r="B53" s="9" t="n">
        <v>51</v>
      </c>
      <c r="C53" s="8" t="n">
        <v>58</v>
      </c>
      <c r="D53" s="10" t="n">
        <v>1740000</v>
      </c>
      <c r="E53" s="10" t="n">
        <v>754000</v>
      </c>
      <c r="F53" s="10" t="n">
        <v>16820</v>
      </c>
      <c r="G53" s="10" t="n">
        <v>13920</v>
      </c>
      <c r="H53" s="10" t="n">
        <v>72500</v>
      </c>
      <c r="I53" s="10" t="n">
        <v>81200</v>
      </c>
      <c r="J53" s="10" t="n">
        <v>29000</v>
      </c>
      <c r="K53" s="10" t="n">
        <v>55100</v>
      </c>
      <c r="L53" s="10" t="n">
        <v>1022540</v>
      </c>
      <c r="M53" s="10" t="n">
        <v>717460</v>
      </c>
      <c r="N53" s="10" t="n">
        <v>174000</v>
      </c>
      <c r="O53" s="10" t="n">
        <v>174000</v>
      </c>
      <c r="P53" s="10" t="n">
        <v>543460</v>
      </c>
      <c r="Q53" s="10" t="n">
        <v>173907.2</v>
      </c>
      <c r="R53" s="10" t="n">
        <v>369552.8</v>
      </c>
      <c r="S53" s="10">
        <f>$Q53-$R53</f>
        <v/>
      </c>
      <c r="T53" s="10" t="n"/>
      <c r="U53" s="10" t="n"/>
      <c r="V53" s="10" t="n"/>
      <c r="W53" s="10" t="n"/>
      <c r="X53" s="10" t="n"/>
      <c r="Y53" s="10" t="n"/>
    </row>
    <row r="54">
      <c r="A54" s="9" t="n">
        <v>5</v>
      </c>
      <c r="B54" s="9" t="n">
        <v>52</v>
      </c>
      <c r="C54" s="8" t="n">
        <v>58</v>
      </c>
      <c r="D54" s="10" t="n">
        <v>1740000</v>
      </c>
      <c r="E54" s="10" t="n">
        <v>754000</v>
      </c>
      <c r="F54" s="10" t="n">
        <v>16820</v>
      </c>
      <c r="G54" s="10" t="n">
        <v>13920</v>
      </c>
      <c r="H54" s="10" t="n">
        <v>72500</v>
      </c>
      <c r="I54" s="10" t="n">
        <v>81200</v>
      </c>
      <c r="J54" s="10" t="n">
        <v>29000</v>
      </c>
      <c r="K54" s="10" t="n">
        <v>55100</v>
      </c>
      <c r="L54" s="10" t="n">
        <v>1022540</v>
      </c>
      <c r="M54" s="10" t="n">
        <v>717460</v>
      </c>
      <c r="N54" s="10" t="n">
        <v>174000</v>
      </c>
      <c r="O54" s="10" t="n">
        <v>174000</v>
      </c>
      <c r="P54" s="10" t="n">
        <v>543460</v>
      </c>
      <c r="Q54" s="10" t="n">
        <v>173907.2</v>
      </c>
      <c r="R54" s="10" t="n">
        <v>369552.8</v>
      </c>
      <c r="S54" s="10">
        <f>$Q54-$R54</f>
        <v/>
      </c>
      <c r="T54" s="10" t="n"/>
      <c r="U54" s="10" t="n"/>
      <c r="V54" s="10" t="n"/>
      <c r="W54" s="10" t="n"/>
      <c r="X54" s="10" t="n"/>
      <c r="Y54" s="10" t="n"/>
    </row>
    <row r="55">
      <c r="A55" s="9" t="n">
        <v>5</v>
      </c>
      <c r="B55" s="9" t="n">
        <v>53</v>
      </c>
      <c r="C55" s="8" t="n">
        <v>58</v>
      </c>
      <c r="D55" s="10" t="n">
        <v>1740000</v>
      </c>
      <c r="E55" s="10" t="n">
        <v>754000</v>
      </c>
      <c r="F55" s="10" t="n">
        <v>16820</v>
      </c>
      <c r="G55" s="10" t="n">
        <v>13920</v>
      </c>
      <c r="H55" s="10" t="n">
        <v>72500</v>
      </c>
      <c r="I55" s="10" t="n">
        <v>81200</v>
      </c>
      <c r="J55" s="10" t="n">
        <v>29000</v>
      </c>
      <c r="K55" s="10" t="n">
        <v>55100</v>
      </c>
      <c r="L55" s="10" t="n">
        <v>1022540</v>
      </c>
      <c r="M55" s="10" t="n">
        <v>717460</v>
      </c>
      <c r="N55" s="10" t="n">
        <v>174000</v>
      </c>
      <c r="O55" s="10" t="n">
        <v>174000</v>
      </c>
      <c r="P55" s="10" t="n">
        <v>543460</v>
      </c>
      <c r="Q55" s="10" t="n">
        <v>173907.2</v>
      </c>
      <c r="R55" s="10" t="n">
        <v>369552.8</v>
      </c>
      <c r="S55" s="10">
        <f>$Q55-$R55</f>
        <v/>
      </c>
      <c r="T55" s="10" t="n"/>
      <c r="U55" s="10" t="n"/>
      <c r="V55" s="10" t="n"/>
      <c r="W55" s="10" t="n"/>
      <c r="X55" s="10" t="n"/>
      <c r="Y55" s="10" t="n"/>
    </row>
    <row r="56">
      <c r="A56" s="9" t="n">
        <v>5</v>
      </c>
      <c r="B56" s="9" t="n">
        <v>54</v>
      </c>
      <c r="C56" s="8" t="n">
        <v>58</v>
      </c>
      <c r="D56" s="10" t="n">
        <v>1740000</v>
      </c>
      <c r="E56" s="10" t="n">
        <v>754000</v>
      </c>
      <c r="F56" s="10" t="n">
        <v>16820</v>
      </c>
      <c r="G56" s="10" t="n">
        <v>13920</v>
      </c>
      <c r="H56" s="10" t="n">
        <v>72500</v>
      </c>
      <c r="I56" s="10" t="n">
        <v>81200</v>
      </c>
      <c r="J56" s="10" t="n">
        <v>29000</v>
      </c>
      <c r="K56" s="10" t="n">
        <v>55100</v>
      </c>
      <c r="L56" s="10" t="n">
        <v>1022540</v>
      </c>
      <c r="M56" s="10" t="n">
        <v>717460</v>
      </c>
      <c r="N56" s="10" t="n">
        <v>174000</v>
      </c>
      <c r="O56" s="10" t="n">
        <v>174000</v>
      </c>
      <c r="P56" s="10" t="n">
        <v>543460</v>
      </c>
      <c r="Q56" s="10" t="n">
        <v>173907.2</v>
      </c>
      <c r="R56" s="10" t="n">
        <v>369552.8</v>
      </c>
      <c r="S56" s="10">
        <f>$Q56-$R56</f>
        <v/>
      </c>
      <c r="T56" s="10" t="n"/>
      <c r="U56" s="10" t="n"/>
      <c r="V56" s="10" t="n"/>
      <c r="W56" s="10" t="n"/>
      <c r="X56" s="10" t="n"/>
      <c r="Y56" s="10" t="n"/>
    </row>
    <row r="57">
      <c r="A57" s="9" t="n">
        <v>5</v>
      </c>
      <c r="B57" s="9" t="n">
        <v>55</v>
      </c>
      <c r="C57" s="8" t="n">
        <v>59</v>
      </c>
      <c r="D57" s="10" t="n">
        <v>1770000</v>
      </c>
      <c r="E57" s="10" t="n">
        <v>767000</v>
      </c>
      <c r="F57" s="10" t="n">
        <v>17110</v>
      </c>
      <c r="G57" s="10" t="n">
        <v>14160</v>
      </c>
      <c r="H57" s="10" t="n">
        <v>73750</v>
      </c>
      <c r="I57" s="10" t="n">
        <v>82600</v>
      </c>
      <c r="J57" s="10" t="n">
        <v>29500</v>
      </c>
      <c r="K57" s="10" t="n">
        <v>56050</v>
      </c>
      <c r="L57" s="10" t="n">
        <v>1040170</v>
      </c>
      <c r="M57" s="10" t="n">
        <v>729830</v>
      </c>
      <c r="N57" s="10" t="n">
        <v>177000</v>
      </c>
      <c r="O57" s="10" t="n">
        <v>177000</v>
      </c>
      <c r="P57" s="10" t="n">
        <v>552830</v>
      </c>
      <c r="Q57" s="10" t="n">
        <v>176905.6</v>
      </c>
      <c r="R57" s="10" t="n">
        <v>375924.4</v>
      </c>
      <c r="S57" s="10">
        <f>$Q57-$R57</f>
        <v/>
      </c>
      <c r="T57" s="10" t="n"/>
      <c r="U57" s="10" t="n"/>
      <c r="V57" s="10" t="n"/>
      <c r="W57" s="10" t="n"/>
      <c r="X57" s="10" t="n"/>
      <c r="Y57" s="10" t="n"/>
    </row>
    <row r="58">
      <c r="A58" s="9" t="n">
        <v>5</v>
      </c>
      <c r="B58" s="9" t="n">
        <v>56</v>
      </c>
      <c r="C58" s="8" t="n">
        <v>59</v>
      </c>
      <c r="D58" s="10" t="n">
        <v>1770000</v>
      </c>
      <c r="E58" s="10" t="n">
        <v>767000</v>
      </c>
      <c r="F58" s="10" t="n">
        <v>17110</v>
      </c>
      <c r="G58" s="10" t="n">
        <v>14160</v>
      </c>
      <c r="H58" s="10" t="n">
        <v>73750</v>
      </c>
      <c r="I58" s="10" t="n">
        <v>82600</v>
      </c>
      <c r="J58" s="10" t="n">
        <v>29500</v>
      </c>
      <c r="K58" s="10" t="n">
        <v>56050</v>
      </c>
      <c r="L58" s="10" t="n">
        <v>1040170</v>
      </c>
      <c r="M58" s="10" t="n">
        <v>729830</v>
      </c>
      <c r="N58" s="10" t="n">
        <v>177000</v>
      </c>
      <c r="O58" s="10" t="n">
        <v>177000</v>
      </c>
      <c r="P58" s="10" t="n">
        <v>552830</v>
      </c>
      <c r="Q58" s="10" t="n">
        <v>176905.6</v>
      </c>
      <c r="R58" s="10" t="n">
        <v>375924.4</v>
      </c>
      <c r="S58" s="10">
        <f>$Q58-$R58</f>
        <v/>
      </c>
      <c r="T58" s="10" t="n"/>
      <c r="U58" s="10" t="n"/>
      <c r="V58" s="10" t="n"/>
      <c r="W58" s="10" t="n"/>
      <c r="X58" s="10" t="n"/>
      <c r="Y58" s="10" t="n"/>
    </row>
    <row r="59">
      <c r="A59" s="9" t="n">
        <v>5</v>
      </c>
      <c r="B59" s="9" t="n">
        <v>57</v>
      </c>
      <c r="C59" s="8" t="n">
        <v>61</v>
      </c>
      <c r="D59" s="10" t="n">
        <v>1830000</v>
      </c>
      <c r="E59" s="10" t="n">
        <v>793000</v>
      </c>
      <c r="F59" s="10" t="n">
        <v>17690</v>
      </c>
      <c r="G59" s="10" t="n">
        <v>14640</v>
      </c>
      <c r="H59" s="10" t="n">
        <v>76250</v>
      </c>
      <c r="I59" s="10" t="n">
        <v>85400</v>
      </c>
      <c r="J59" s="10" t="n">
        <v>30500</v>
      </c>
      <c r="K59" s="10" t="n">
        <v>57950</v>
      </c>
      <c r="L59" s="10" t="n">
        <v>1075430</v>
      </c>
      <c r="M59" s="10" t="n">
        <v>754570</v>
      </c>
      <c r="N59" s="10" t="n">
        <v>183000</v>
      </c>
      <c r="O59" s="10" t="n">
        <v>183000</v>
      </c>
      <c r="P59" s="10" t="n">
        <v>571570</v>
      </c>
      <c r="Q59" s="10" t="n">
        <v>182902.4</v>
      </c>
      <c r="R59" s="10" t="n">
        <v>388667.6</v>
      </c>
      <c r="S59" s="10">
        <f>$Q59-$R59</f>
        <v/>
      </c>
      <c r="T59" s="10" t="n"/>
      <c r="U59" s="10" t="n"/>
      <c r="V59" s="10" t="n"/>
      <c r="W59" s="10" t="n"/>
      <c r="X59" s="10" t="n"/>
      <c r="Y59" s="10" t="n"/>
    </row>
    <row r="60">
      <c r="A60" s="9" t="n">
        <v>5</v>
      </c>
      <c r="B60" s="9" t="n">
        <v>58</v>
      </c>
      <c r="C60" s="8" t="n">
        <v>61</v>
      </c>
      <c r="D60" s="10" t="n">
        <v>1830000</v>
      </c>
      <c r="E60" s="10" t="n">
        <v>793000</v>
      </c>
      <c r="F60" s="10" t="n">
        <v>17690</v>
      </c>
      <c r="G60" s="10" t="n">
        <v>14640</v>
      </c>
      <c r="H60" s="10" t="n">
        <v>76250</v>
      </c>
      <c r="I60" s="10" t="n">
        <v>85400</v>
      </c>
      <c r="J60" s="10" t="n">
        <v>30500</v>
      </c>
      <c r="K60" s="10" t="n">
        <v>57950</v>
      </c>
      <c r="L60" s="10" t="n">
        <v>1075430</v>
      </c>
      <c r="M60" s="10" t="n">
        <v>754570</v>
      </c>
      <c r="N60" s="10" t="n">
        <v>183000</v>
      </c>
      <c r="O60" s="10" t="n">
        <v>183000</v>
      </c>
      <c r="P60" s="10" t="n">
        <v>571570</v>
      </c>
      <c r="Q60" s="10" t="n">
        <v>182902.4</v>
      </c>
      <c r="R60" s="10" t="n">
        <v>388667.6</v>
      </c>
      <c r="S60" s="10">
        <f>$Q60-$R60</f>
        <v/>
      </c>
      <c r="T60" s="10" t="n"/>
      <c r="U60" s="10" t="n"/>
      <c r="V60" s="10" t="n"/>
      <c r="W60" s="10" t="n"/>
      <c r="X60" s="10" t="n"/>
      <c r="Y60" s="10" t="n"/>
    </row>
    <row r="61">
      <c r="A61" s="9" t="n">
        <v>5</v>
      </c>
      <c r="B61" s="9" t="n">
        <v>59</v>
      </c>
      <c r="C61" s="8" t="n">
        <v>63</v>
      </c>
      <c r="D61" s="10" t="n">
        <v>1890000</v>
      </c>
      <c r="E61" s="10" t="n">
        <v>819000</v>
      </c>
      <c r="F61" s="10" t="n">
        <v>18270</v>
      </c>
      <c r="G61" s="10" t="n">
        <v>15120</v>
      </c>
      <c r="H61" s="10" t="n">
        <v>78750</v>
      </c>
      <c r="I61" s="10" t="n">
        <v>88200</v>
      </c>
      <c r="J61" s="10" t="n">
        <v>31500</v>
      </c>
      <c r="K61" s="10" t="n">
        <v>59850</v>
      </c>
      <c r="L61" s="10" t="n">
        <v>1110690</v>
      </c>
      <c r="M61" s="10" t="n">
        <v>779310</v>
      </c>
      <c r="N61" s="10" t="n">
        <v>189000</v>
      </c>
      <c r="O61" s="10" t="n">
        <v>189000</v>
      </c>
      <c r="P61" s="10" t="n">
        <v>590310</v>
      </c>
      <c r="Q61" s="10" t="n">
        <v>188899.2</v>
      </c>
      <c r="R61" s="10" t="n">
        <v>401410.8</v>
      </c>
      <c r="S61" s="10">
        <f>$Q61-$R61</f>
        <v/>
      </c>
      <c r="T61" s="10" t="n"/>
      <c r="U61" s="10" t="n"/>
      <c r="V61" s="10" t="n"/>
      <c r="W61" s="10" t="n"/>
      <c r="X61" s="10" t="n"/>
      <c r="Y61" s="10" t="n"/>
    </row>
    <row r="62">
      <c r="A62" s="9" t="n">
        <v>5</v>
      </c>
      <c r="B62" s="9" t="n">
        <v>60</v>
      </c>
      <c r="C62" s="8" t="n">
        <v>63</v>
      </c>
      <c r="D62" s="10" t="n">
        <v>1890000</v>
      </c>
      <c r="E62" s="10" t="n">
        <v>819000</v>
      </c>
      <c r="F62" s="10" t="n">
        <v>18270</v>
      </c>
      <c r="G62" s="10" t="n">
        <v>15120</v>
      </c>
      <c r="H62" s="10" t="n">
        <v>78750</v>
      </c>
      <c r="I62" s="10" t="n">
        <v>88200</v>
      </c>
      <c r="J62" s="10" t="n">
        <v>31500</v>
      </c>
      <c r="K62" s="10" t="n">
        <v>59850</v>
      </c>
      <c r="L62" s="10" t="n">
        <v>1110690</v>
      </c>
      <c r="M62" s="10" t="n">
        <v>779310</v>
      </c>
      <c r="N62" s="10" t="n">
        <v>189000</v>
      </c>
      <c r="O62" s="10" t="n">
        <v>189000</v>
      </c>
      <c r="P62" s="10" t="n">
        <v>590310</v>
      </c>
      <c r="Q62" s="10" t="n">
        <v>188899.2</v>
      </c>
      <c r="R62" s="10" t="n">
        <v>401410.8</v>
      </c>
      <c r="S62" s="10">
        <f>$Q62-$R62</f>
        <v/>
      </c>
      <c r="T62" s="10" t="n"/>
      <c r="U62" s="10" t="n"/>
      <c r="V62" s="10" t="n"/>
      <c r="W62" s="10" t="n"/>
      <c r="X62" s="10" t="n"/>
      <c r="Y62" s="10" t="n"/>
    </row>
  </sheetData>
  <mergeCells count="1">
    <mergeCell ref="A1:C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2"/>
  <sheetViews>
    <sheetView showGridLines="0" zoomScale="130" zoomScaleNormal="130" workbookViewId="0">
      <pane xSplit="2" ySplit="2" topLeftCell="C9" activePane="bottomRight" state="frozen"/>
      <selection pane="topRight" activeCell="B1" sqref="B1"/>
      <selection pane="bottomLeft" activeCell="A3" sqref="A3"/>
      <selection pane="bottomRight" activeCell="D2" sqref="D2"/>
    </sheetView>
  </sheetViews>
  <sheetFormatPr baseColWidth="8" defaultColWidth="8.7109375" defaultRowHeight="15" customHeight="1"/>
  <cols>
    <col width="10" customWidth="1" min="2" max="2"/>
    <col width="20.28515625" bestFit="1" customWidth="1" min="3" max="3"/>
    <col width="18.42578125" customWidth="1" min="4" max="4"/>
    <col width="21.42578125" customWidth="1" min="5" max="5"/>
    <col width="16" customWidth="1" min="6" max="6"/>
    <col width="21.7109375" customWidth="1" min="7" max="7"/>
    <col width="16" customWidth="1" min="8" max="8"/>
    <col width="18.140625" customWidth="1" min="9" max="11"/>
    <col width="16" customWidth="1" min="12" max="12"/>
    <col width="18.42578125" customWidth="1" min="13" max="20"/>
    <col width="23.5703125" customWidth="1" min="21" max="22"/>
    <col width="20.42578125" customWidth="1" min="23" max="23"/>
    <col width="12.5703125" bestFit="1" customWidth="1" min="24" max="24"/>
  </cols>
  <sheetData>
    <row r="1" ht="17.25" customHeight="1">
      <c r="B1" s="20" t="inlineStr">
        <is>
          <t xml:space="preserve">Monthly Balance Sheet Snapshot </t>
        </is>
      </c>
      <c r="I1" s="20" t="n"/>
      <c r="J1" s="20" t="n"/>
      <c r="K1" s="20" t="n"/>
      <c r="L1" s="20" t="n"/>
    </row>
    <row r="2" ht="58.5" customHeight="1">
      <c r="A2" s="19" t="inlineStr">
        <is>
          <t>Year #</t>
        </is>
      </c>
      <c r="B2" s="2" t="inlineStr">
        <is>
          <t>Month #</t>
        </is>
      </c>
      <c r="C2" s="2" t="inlineStr">
        <is>
          <t>Total Owner/Investor Capital Invested</t>
        </is>
      </c>
      <c r="D2" s="2" t="inlineStr">
        <is>
          <t>Net Owner/Investor Capital Outstanding</t>
        </is>
      </c>
      <c r="E2" s="2" t="inlineStr">
        <is>
          <t>Loan Closing Balance</t>
        </is>
      </c>
      <c r="F2" s="2" t="inlineStr">
        <is>
          <t>Cars in Operation (count)</t>
        </is>
      </c>
      <c r="G2" s="2" t="inlineStr">
        <is>
          <t>Total Cars Operation (Cummulative)</t>
        </is>
      </c>
      <c r="H2" s="2" t="inlineStr">
        <is>
          <t>Vehicles In Use - Cost</t>
        </is>
      </c>
      <c r="I2" s="2" t="inlineStr">
        <is>
          <t>Total Cars Cost (Cummulative)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Gross Revenue (Cummulative)</t>
        </is>
      </c>
      <c r="M2" s="18" t="inlineStr">
        <is>
          <t>Operating Expenses (Cummulative)</t>
        </is>
      </c>
      <c r="N2" s="15" t="inlineStr">
        <is>
          <t>Operating Profit (Cummulative)</t>
        </is>
      </c>
      <c r="O2" s="15" t="inlineStr">
        <is>
          <t>Loan Repayment (Cummulative)</t>
        </is>
      </c>
      <c r="P2" s="15" t="inlineStr">
        <is>
          <t>Income Tax</t>
        </is>
      </c>
      <c r="Q2" s="15" t="inlineStr">
        <is>
          <t>Income Tax (Cummulative)</t>
        </is>
      </c>
      <c r="R2" s="15" t="inlineStr">
        <is>
          <t>Net Profit (Cummulative)</t>
        </is>
      </c>
      <c r="S2" s="15" t="inlineStr">
        <is>
          <t>Investor Payout/Profit Distribution</t>
        </is>
      </c>
      <c r="T2" s="15" t="inlineStr">
        <is>
          <t xml:space="preserve">Net Profit </t>
        </is>
      </c>
      <c r="U2" s="15" t="inlineStr">
        <is>
          <t>Investor Payout/Profit Distribution (Cummulative)</t>
        </is>
      </c>
      <c r="V2" s="15" t="inlineStr">
        <is>
          <t xml:space="preserve">Retained Profits Closing </t>
        </is>
      </c>
      <c r="W2" s="15" t="inlineStr">
        <is>
          <t>Retained Profits (Cummulative)</t>
        </is>
      </c>
    </row>
    <row r="3">
      <c r="A3" s="9" t="n">
        <v>1</v>
      </c>
      <c r="B3" s="9" t="n">
        <v>1</v>
      </c>
      <c r="C3" s="10" t="n">
        <v>250000</v>
      </c>
      <c r="D3" s="10" t="n">
        <v>250000</v>
      </c>
      <c r="E3" s="10" t="n">
        <v>0</v>
      </c>
      <c r="F3" s="8" t="n">
        <v>4</v>
      </c>
      <c r="G3" s="8" t="n">
        <v>0</v>
      </c>
      <c r="H3" s="10" t="n">
        <v>0</v>
      </c>
      <c r="I3" s="10" t="n">
        <v>0</v>
      </c>
      <c r="J3" s="16" t="n">
        <v>25486.4</v>
      </c>
      <c r="K3" s="16" t="n">
        <v>0</v>
      </c>
      <c r="L3" s="16" t="n">
        <v>120000</v>
      </c>
      <c r="M3" s="17">
        <f>Cash_Flow!$E3</f>
        <v/>
      </c>
      <c r="N3" s="17">
        <f>Income_Statement!$M3</f>
        <v/>
      </c>
      <c r="O3" s="17">
        <f>(Cash_Flow!$F3+Cash_Flow!$G3)</f>
        <v/>
      </c>
      <c r="P3" s="17">
        <f>Income_Statement!$P3</f>
        <v/>
      </c>
      <c r="Q3" s="17">
        <f>Income_Statement!$P3</f>
        <v/>
      </c>
      <c r="R3" s="17">
        <f>Income_Statement!$Q3</f>
        <v/>
      </c>
      <c r="S3" s="17">
        <f>Income_Statement!$R3</f>
        <v/>
      </c>
      <c r="T3" s="17">
        <f>Income_Statement!$Q3</f>
        <v/>
      </c>
      <c r="U3" s="17">
        <f>Cash_Flow!$I3</f>
        <v/>
      </c>
      <c r="V3" s="17">
        <f>Cash_Flow!$N3</f>
        <v/>
      </c>
      <c r="W3" s="17">
        <f>Cash_Flow!$N3</f>
        <v/>
      </c>
      <c r="X3" s="14" t="n"/>
    </row>
    <row r="4">
      <c r="A4" s="9" t="n">
        <v>1</v>
      </c>
      <c r="B4" s="9" t="n">
        <v>2</v>
      </c>
      <c r="C4" s="10" t="n">
        <v>250000</v>
      </c>
      <c r="D4" s="10" t="n">
        <v>250000</v>
      </c>
      <c r="E4" s="10" t="n">
        <v>0</v>
      </c>
      <c r="F4" s="8" t="n">
        <v>4</v>
      </c>
      <c r="G4" s="8" t="n">
        <v>0</v>
      </c>
      <c r="H4" s="10" t="n">
        <v>0</v>
      </c>
      <c r="I4" s="10" t="n">
        <v>0</v>
      </c>
      <c r="J4" s="16" t="n">
        <v>25486.4</v>
      </c>
      <c r="K4" s="16" t="n">
        <v>0</v>
      </c>
      <c r="L4" s="16" t="n">
        <v>240000</v>
      </c>
      <c r="M4" s="17">
        <f>$M3+Cash_Flow!$E4</f>
        <v/>
      </c>
      <c r="N4" s="17">
        <f>$N3+Income_Statement!$M4</f>
        <v/>
      </c>
      <c r="O4" s="17">
        <f>IF(Cash_Flow!$F4&lt;=0,0,$O3+(Cash_Flow!$F4+Cash_Flow!$G4))</f>
        <v/>
      </c>
      <c r="P4" s="17">
        <f>Income_Statement!$P4</f>
        <v/>
      </c>
      <c r="Q4" s="17">
        <f>$Q3+Income_Statement!$P4</f>
        <v/>
      </c>
      <c r="R4" s="17">
        <f>$R3+Income_Statement!$Q4</f>
        <v/>
      </c>
      <c r="S4" s="17">
        <f>Income_Statement!$R4</f>
        <v/>
      </c>
      <c r="T4" s="17">
        <f>Income_Statement!$Q4</f>
        <v/>
      </c>
      <c r="U4" s="17">
        <f>$U3+Cash_Flow!$I4</f>
        <v/>
      </c>
      <c r="V4" s="17">
        <f>Cash_Flow!$N4</f>
        <v/>
      </c>
      <c r="W4" s="17">
        <f>($W3+Cash_Flow!$J4)-(Cash_Flow!$B4+Cash_Flow!$C4)</f>
        <v/>
      </c>
    </row>
    <row r="5">
      <c r="A5" s="9" t="n">
        <v>1</v>
      </c>
      <c r="B5" s="9" t="n">
        <v>3</v>
      </c>
      <c r="C5" s="10" t="n">
        <v>250000</v>
      </c>
      <c r="D5" s="10" t="n">
        <v>250000</v>
      </c>
      <c r="E5" s="10" t="n">
        <v>0</v>
      </c>
      <c r="F5" s="8" t="n">
        <v>4</v>
      </c>
      <c r="G5" s="8" t="n">
        <v>0</v>
      </c>
      <c r="H5" s="10" t="n">
        <v>0</v>
      </c>
      <c r="I5" s="10" t="n">
        <v>0</v>
      </c>
      <c r="J5" s="16" t="n">
        <v>25486.4</v>
      </c>
      <c r="K5" s="16" t="n">
        <v>0</v>
      </c>
      <c r="L5" s="16" t="n">
        <v>360000</v>
      </c>
      <c r="M5" s="17">
        <f>$M4+Cash_Flow!$E5</f>
        <v/>
      </c>
      <c r="N5" s="17">
        <f>$N4+Income_Statement!$M5</f>
        <v/>
      </c>
      <c r="O5" s="17">
        <f>IF(Cash_Flow!$F5&lt;=0,0,$O4+(Cash_Flow!$F5+Cash_Flow!$G5))</f>
        <v/>
      </c>
      <c r="P5" s="17">
        <f>Income_Statement!$P5</f>
        <v/>
      </c>
      <c r="Q5" s="17">
        <f>$Q4+Income_Statement!$P5</f>
        <v/>
      </c>
      <c r="R5" s="17">
        <f>$R4+Income_Statement!$Q5</f>
        <v/>
      </c>
      <c r="S5" s="17">
        <f>Income_Statement!$R5</f>
        <v/>
      </c>
      <c r="T5" s="17">
        <f>Income_Statement!$Q5</f>
        <v/>
      </c>
      <c r="U5" s="17">
        <f>$U4+Cash_Flow!$I5</f>
        <v/>
      </c>
      <c r="V5" s="17">
        <f>Cash_Flow!$N5</f>
        <v/>
      </c>
      <c r="W5" s="17">
        <f>($W4+Cash_Flow!$J5)-(Cash_Flow!$B5+Cash_Flow!$C5)</f>
        <v/>
      </c>
    </row>
    <row r="6">
      <c r="A6" s="9" t="n">
        <v>1</v>
      </c>
      <c r="B6" s="9" t="n">
        <v>4</v>
      </c>
      <c r="C6" s="10" t="n">
        <v>250000</v>
      </c>
      <c r="D6" s="10" t="n">
        <v>250000</v>
      </c>
      <c r="E6" s="10" t="n">
        <v>0</v>
      </c>
      <c r="F6" s="8" t="n">
        <v>4</v>
      </c>
      <c r="G6" s="8" t="n">
        <v>0</v>
      </c>
      <c r="H6" s="10" t="n">
        <v>0</v>
      </c>
      <c r="I6" s="10" t="n">
        <v>0</v>
      </c>
      <c r="J6" s="16" t="n">
        <v>25486.4</v>
      </c>
      <c r="K6" s="16" t="n">
        <v>0</v>
      </c>
      <c r="L6" s="16" t="n">
        <v>480000</v>
      </c>
      <c r="M6" s="17">
        <f>$M5+Cash_Flow!$E6</f>
        <v/>
      </c>
      <c r="N6" s="17">
        <f>$N5+Income_Statement!$M6</f>
        <v/>
      </c>
      <c r="O6" s="17">
        <f>IF(Cash_Flow!$F6&lt;=0,0,$O5+(Cash_Flow!$F6+Cash_Flow!$G6))</f>
        <v/>
      </c>
      <c r="P6" s="17">
        <f>Income_Statement!$P6</f>
        <v/>
      </c>
      <c r="Q6" s="17">
        <f>$Q5+Income_Statement!$P6</f>
        <v/>
      </c>
      <c r="R6" s="17">
        <f>$R5+Income_Statement!$Q6</f>
        <v/>
      </c>
      <c r="S6" s="17">
        <f>Income_Statement!$R6</f>
        <v/>
      </c>
      <c r="T6" s="17">
        <f>Income_Statement!$Q6</f>
        <v/>
      </c>
      <c r="U6" s="17">
        <f>$U5+Cash_Flow!$I6</f>
        <v/>
      </c>
      <c r="V6" s="17">
        <f>Cash_Flow!$N6</f>
        <v/>
      </c>
      <c r="W6" s="17">
        <f>($W5+Cash_Flow!$J6)-(Cash_Flow!$B6+Cash_Flow!$C6)</f>
        <v/>
      </c>
    </row>
    <row r="7">
      <c r="A7" s="9" t="n">
        <v>1</v>
      </c>
      <c r="B7" s="9" t="n">
        <v>5</v>
      </c>
      <c r="C7" s="10" t="n">
        <v>500000</v>
      </c>
      <c r="D7" s="10" t="n">
        <v>0</v>
      </c>
      <c r="E7" s="10" t="n">
        <v>250000</v>
      </c>
      <c r="F7" s="8" t="n">
        <v>4</v>
      </c>
      <c r="G7" s="8" t="n">
        <v>9</v>
      </c>
      <c r="H7" s="10" t="n">
        <v>240000</v>
      </c>
      <c r="I7" s="10" t="n">
        <v>540000</v>
      </c>
      <c r="J7" s="16" t="n">
        <v>523403.07</v>
      </c>
      <c r="K7" s="16" t="n">
        <v>540000</v>
      </c>
      <c r="L7" s="16" t="n">
        <v>600000</v>
      </c>
      <c r="M7" s="17">
        <f>$M6+Cash_Flow!$E7</f>
        <v/>
      </c>
      <c r="N7" s="17">
        <f>$N6+Income_Statement!$M7</f>
        <v/>
      </c>
      <c r="O7" s="17">
        <f>IF(Cash_Flow!$F7&lt;=0,0,$O6+(Cash_Flow!$F7+Cash_Flow!$G7))</f>
        <v/>
      </c>
      <c r="P7" s="17">
        <f>Income_Statement!$P7</f>
        <v/>
      </c>
      <c r="Q7" s="17">
        <f>$Q6+Income_Statement!$P7</f>
        <v/>
      </c>
      <c r="R7" s="17">
        <f>$R6+Income_Statement!$Q7</f>
        <v/>
      </c>
      <c r="S7" s="17">
        <f>Income_Statement!$R7</f>
        <v/>
      </c>
      <c r="T7" s="17">
        <f>Income_Statement!$Q7</f>
        <v/>
      </c>
      <c r="U7" s="17">
        <f>$U6+Cash_Flow!$I7</f>
        <v/>
      </c>
      <c r="V7" s="17">
        <f>Cash_Flow!$N7</f>
        <v/>
      </c>
      <c r="W7" s="17">
        <f>($W6+Cash_Flow!$J7)-(Cash_Flow!$B7+Cash_Flow!$C7)</f>
        <v/>
      </c>
    </row>
    <row r="8">
      <c r="A8" s="9" t="n">
        <v>1</v>
      </c>
      <c r="B8" s="9" t="n">
        <v>6</v>
      </c>
      <c r="C8" s="10" t="n">
        <v>500000</v>
      </c>
      <c r="D8" s="10" t="n">
        <v>0</v>
      </c>
      <c r="E8" s="10" t="n">
        <v>250000</v>
      </c>
      <c r="F8" s="8" t="n">
        <v>4</v>
      </c>
      <c r="G8" s="8" t="n">
        <v>9</v>
      </c>
      <c r="H8" s="10" t="n">
        <v>240000</v>
      </c>
      <c r="I8" s="10" t="n">
        <v>540000</v>
      </c>
      <c r="J8" s="16" t="n">
        <v>23403.07</v>
      </c>
      <c r="K8" s="16" t="n">
        <v>0</v>
      </c>
      <c r="L8" s="16" t="n">
        <v>720000</v>
      </c>
      <c r="M8" s="17">
        <f>$M7+Cash_Flow!$E8</f>
        <v/>
      </c>
      <c r="N8" s="17">
        <f>$N7+Income_Statement!$M8</f>
        <v/>
      </c>
      <c r="O8" s="17">
        <f>IF(Cash_Flow!$F8&lt;=0,0,$O7+(Cash_Flow!$F8+Cash_Flow!$G8))</f>
        <v/>
      </c>
      <c r="P8" s="17">
        <f>Income_Statement!$P8</f>
        <v/>
      </c>
      <c r="Q8" s="17">
        <f>$Q7+Income_Statement!$P8</f>
        <v/>
      </c>
      <c r="R8" s="17">
        <f>$R7+Income_Statement!$Q8</f>
        <v/>
      </c>
      <c r="S8" s="17">
        <f>Income_Statement!$R8</f>
        <v/>
      </c>
      <c r="T8" s="17">
        <f>Income_Statement!$Q8</f>
        <v/>
      </c>
      <c r="U8" s="17">
        <f>$U7+Cash_Flow!$I8</f>
        <v/>
      </c>
      <c r="V8" s="17">
        <f>Cash_Flow!$N8</f>
        <v/>
      </c>
      <c r="W8" s="17">
        <f>($W7+Cash_Flow!$J8)-(Cash_Flow!$B8+Cash_Flow!$C8)</f>
        <v/>
      </c>
    </row>
    <row r="9">
      <c r="A9" s="9" t="n">
        <v>1</v>
      </c>
      <c r="B9" s="9" t="n">
        <v>7</v>
      </c>
      <c r="C9" s="10" t="n">
        <v>500000</v>
      </c>
      <c r="D9" s="10" t="n">
        <v>0</v>
      </c>
      <c r="E9" s="10" t="n">
        <v>250000</v>
      </c>
      <c r="F9" s="8" t="n">
        <v>4</v>
      </c>
      <c r="G9" s="8" t="n">
        <v>9</v>
      </c>
      <c r="H9" s="10" t="n">
        <v>240000</v>
      </c>
      <c r="I9" s="10" t="n">
        <v>540000</v>
      </c>
      <c r="J9" s="16" t="n">
        <v>23403.07</v>
      </c>
      <c r="K9" s="16" t="n">
        <v>0</v>
      </c>
      <c r="L9" s="16" t="n">
        <v>840000</v>
      </c>
      <c r="M9" s="17">
        <f>$M8+Cash_Flow!$E9</f>
        <v/>
      </c>
      <c r="N9" s="17">
        <f>$N8+Income_Statement!$M9</f>
        <v/>
      </c>
      <c r="O9" s="17">
        <f>IF(Cash_Flow!$F9&lt;=0,0,$O8+(Cash_Flow!$F9+Cash_Flow!$G9))</f>
        <v/>
      </c>
      <c r="P9" s="17">
        <f>Income_Statement!$P9</f>
        <v/>
      </c>
      <c r="Q9" s="17">
        <f>$Q8+Income_Statement!$P9</f>
        <v/>
      </c>
      <c r="R9" s="17">
        <f>$R8+Income_Statement!$Q9</f>
        <v/>
      </c>
      <c r="S9" s="17">
        <f>Income_Statement!$R9</f>
        <v/>
      </c>
      <c r="T9" s="17">
        <f>Income_Statement!$Q9</f>
        <v/>
      </c>
      <c r="U9" s="17">
        <f>$U8+Cash_Flow!$I9</f>
        <v/>
      </c>
      <c r="V9" s="17">
        <f>Cash_Flow!$N9</f>
        <v/>
      </c>
      <c r="W9" s="17">
        <f>($W8+Cash_Flow!$J9)-(Cash_Flow!$B9+Cash_Flow!$C9)</f>
        <v/>
      </c>
    </row>
    <row r="10">
      <c r="A10" s="9" t="n">
        <v>1</v>
      </c>
      <c r="B10" s="9" t="n">
        <v>8</v>
      </c>
      <c r="C10" s="10" t="n">
        <v>500000</v>
      </c>
      <c r="D10" s="10" t="n">
        <v>0</v>
      </c>
      <c r="E10" s="10" t="n">
        <v>250000</v>
      </c>
      <c r="F10" s="8" t="n">
        <v>13</v>
      </c>
      <c r="G10" s="8" t="n">
        <v>9</v>
      </c>
      <c r="H10" s="10" t="n">
        <v>780000</v>
      </c>
      <c r="I10" s="10" t="n">
        <v>540000</v>
      </c>
      <c r="J10" s="16" t="n">
        <v>80747.47</v>
      </c>
      <c r="K10" s="16" t="n">
        <v>0</v>
      </c>
      <c r="L10" s="16" t="n">
        <v>1230000</v>
      </c>
      <c r="M10" s="17">
        <f>$M9+Cash_Flow!$E10</f>
        <v/>
      </c>
      <c r="N10" s="17">
        <f>$N9+Income_Statement!$M10</f>
        <v/>
      </c>
      <c r="O10" s="17">
        <f>IF(Cash_Flow!$F10&lt;=0,0,$O9+(Cash_Flow!$F10+Cash_Flow!$G10))</f>
        <v/>
      </c>
      <c r="P10" s="17">
        <f>Income_Statement!$P10</f>
        <v/>
      </c>
      <c r="Q10" s="17">
        <f>$Q9+Income_Statement!$P10</f>
        <v/>
      </c>
      <c r="R10" s="17">
        <f>$R9+Income_Statement!$Q10</f>
        <v/>
      </c>
      <c r="S10" s="17">
        <f>Income_Statement!$R10</f>
        <v/>
      </c>
      <c r="T10" s="17">
        <f>Income_Statement!$Q10</f>
        <v/>
      </c>
      <c r="U10" s="17">
        <f>$U9+Cash_Flow!$I10</f>
        <v/>
      </c>
      <c r="V10" s="17">
        <f>Cash_Flow!$N10</f>
        <v/>
      </c>
      <c r="W10" s="17">
        <f>($W9+Cash_Flow!$J10)-(Cash_Flow!$B10+Cash_Flow!$C10)</f>
        <v/>
      </c>
    </row>
    <row r="11">
      <c r="A11" s="9" t="n">
        <v>1</v>
      </c>
      <c r="B11" s="9" t="n">
        <v>9</v>
      </c>
      <c r="C11" s="10" t="n">
        <v>500000</v>
      </c>
      <c r="D11" s="10" t="n">
        <v>0</v>
      </c>
      <c r="E11" s="10" t="n">
        <v>250000</v>
      </c>
      <c r="F11" s="8" t="n">
        <v>13</v>
      </c>
      <c r="G11" s="8" t="n">
        <v>9</v>
      </c>
      <c r="H11" s="10" t="n">
        <v>780000</v>
      </c>
      <c r="I11" s="10" t="n">
        <v>540000</v>
      </c>
      <c r="J11" s="16" t="n">
        <v>80747.47</v>
      </c>
      <c r="K11" s="16" t="n">
        <v>0</v>
      </c>
      <c r="L11" s="16" t="n">
        <v>1620000</v>
      </c>
      <c r="M11" s="17">
        <f>$M10+Cash_Flow!$E11</f>
        <v/>
      </c>
      <c r="N11" s="17">
        <f>$N10+Income_Statement!$M11</f>
        <v/>
      </c>
      <c r="O11" s="17">
        <f>IF(Cash_Flow!$F11&lt;=0,0,$O10+(Cash_Flow!$F11+Cash_Flow!$G11))</f>
        <v/>
      </c>
      <c r="P11" s="17">
        <f>Income_Statement!$P11</f>
        <v/>
      </c>
      <c r="Q11" s="17">
        <f>$Q10+Income_Statement!$P11</f>
        <v/>
      </c>
      <c r="R11" s="17">
        <f>$R10+Income_Statement!$Q11</f>
        <v/>
      </c>
      <c r="S11" s="17">
        <f>Income_Statement!$R11</f>
        <v/>
      </c>
      <c r="T11" s="17">
        <f>Income_Statement!$Q11</f>
        <v/>
      </c>
      <c r="U11" s="17">
        <f>$U10+Cash_Flow!$I11</f>
        <v/>
      </c>
      <c r="V11" s="17">
        <f>Cash_Flow!$N11</f>
        <v/>
      </c>
      <c r="W11" s="17">
        <f>($W10+Cash_Flow!$J11)-(Cash_Flow!$B11+Cash_Flow!$C11)</f>
        <v/>
      </c>
    </row>
    <row r="12">
      <c r="A12" s="9" t="n">
        <v>1</v>
      </c>
      <c r="B12" s="9" t="n">
        <v>10</v>
      </c>
      <c r="C12" s="10" t="n">
        <v>500000</v>
      </c>
      <c r="D12" s="10" t="n">
        <v>0</v>
      </c>
      <c r="E12" s="10" t="n">
        <v>250000</v>
      </c>
      <c r="F12" s="8" t="n">
        <v>13</v>
      </c>
      <c r="G12" s="8" t="n">
        <v>13</v>
      </c>
      <c r="H12" s="10" t="n">
        <v>780000</v>
      </c>
      <c r="I12" s="10" t="n">
        <v>780000</v>
      </c>
      <c r="J12" s="16" t="n">
        <v>80747.47</v>
      </c>
      <c r="K12" s="16" t="n">
        <v>240000</v>
      </c>
      <c r="L12" s="16" t="n">
        <v>2010000</v>
      </c>
      <c r="M12" s="17">
        <f>$M11+Cash_Flow!$E12</f>
        <v/>
      </c>
      <c r="N12" s="17">
        <f>$N11+Income_Statement!$M12</f>
        <v/>
      </c>
      <c r="O12" s="17">
        <f>IF(Cash_Flow!$F12&lt;=0,0,$O11+(Cash_Flow!$F12+Cash_Flow!$G12))</f>
        <v/>
      </c>
      <c r="P12" s="17">
        <f>Income_Statement!$P12</f>
        <v/>
      </c>
      <c r="Q12" s="17">
        <f>$Q11+Income_Statement!$P12</f>
        <v/>
      </c>
      <c r="R12" s="17">
        <f>$R11+Income_Statement!$Q12</f>
        <v/>
      </c>
      <c r="S12" s="17">
        <f>Income_Statement!$R12</f>
        <v/>
      </c>
      <c r="T12" s="17">
        <f>Income_Statement!$Q12</f>
        <v/>
      </c>
      <c r="U12" s="17">
        <f>$U11+Cash_Flow!$I12</f>
        <v/>
      </c>
      <c r="V12" s="17">
        <f>Cash_Flow!$N12</f>
        <v/>
      </c>
      <c r="W12" s="17">
        <f>($W11+Cash_Flow!$J12)-(Cash_Flow!$B12+Cash_Flow!$C12)</f>
        <v/>
      </c>
    </row>
    <row r="13">
      <c r="A13" s="9" t="n">
        <v>1</v>
      </c>
      <c r="B13" s="9" t="n">
        <v>11</v>
      </c>
      <c r="C13" s="10" t="n">
        <v>500000</v>
      </c>
      <c r="D13" s="10" t="n">
        <v>0</v>
      </c>
      <c r="E13" s="10" t="n">
        <v>250000</v>
      </c>
      <c r="F13" s="8" t="n">
        <v>13</v>
      </c>
      <c r="G13" s="8" t="n">
        <v>13</v>
      </c>
      <c r="H13" s="10" t="n">
        <v>780000</v>
      </c>
      <c r="I13" s="10" t="n">
        <v>780000</v>
      </c>
      <c r="J13" s="16" t="n">
        <v>80747.47</v>
      </c>
      <c r="K13" s="16" t="n">
        <v>0</v>
      </c>
      <c r="L13" s="16" t="n">
        <v>2400000</v>
      </c>
      <c r="M13" s="17">
        <f>$M12+Cash_Flow!$E13</f>
        <v/>
      </c>
      <c r="N13" s="17">
        <f>$N12+Income_Statement!$M13</f>
        <v/>
      </c>
      <c r="O13" s="17">
        <f>IF(Cash_Flow!$F13&lt;=0,0,$O12+(Cash_Flow!$F13+Cash_Flow!$G13))</f>
        <v/>
      </c>
      <c r="P13" s="17">
        <f>Income_Statement!$P13</f>
        <v/>
      </c>
      <c r="Q13" s="17">
        <f>$Q12+Income_Statement!$P13</f>
        <v/>
      </c>
      <c r="R13" s="17">
        <f>$R12+Income_Statement!$Q13</f>
        <v/>
      </c>
      <c r="S13" s="17">
        <f>Income_Statement!$R13</f>
        <v/>
      </c>
      <c r="T13" s="17">
        <f>Income_Statement!$Q13</f>
        <v/>
      </c>
      <c r="U13" s="17">
        <f>$U12+Cash_Flow!$I13</f>
        <v/>
      </c>
      <c r="V13" s="17">
        <f>Cash_Flow!$N13</f>
        <v/>
      </c>
      <c r="W13" s="17">
        <f>($W12+Cash_Flow!$J13)-(Cash_Flow!$B13+Cash_Flow!$C13)</f>
        <v/>
      </c>
    </row>
    <row r="14">
      <c r="A14" s="9" t="n">
        <v>1</v>
      </c>
      <c r="B14" s="9" t="n">
        <v>12</v>
      </c>
      <c r="C14" s="10" t="n">
        <v>500000</v>
      </c>
      <c r="D14" s="10" t="n">
        <v>0</v>
      </c>
      <c r="E14" s="10" t="n">
        <v>250000</v>
      </c>
      <c r="F14" s="8" t="n">
        <v>13</v>
      </c>
      <c r="G14" s="8" t="n">
        <v>13</v>
      </c>
      <c r="H14" s="10" t="n">
        <v>780000</v>
      </c>
      <c r="I14" s="10" t="n">
        <v>780000</v>
      </c>
      <c r="J14" s="16" t="n">
        <v>80747.47</v>
      </c>
      <c r="K14" s="16" t="n">
        <v>0</v>
      </c>
      <c r="L14" s="16" t="n">
        <v>2790000</v>
      </c>
      <c r="M14" s="17">
        <f>$M13+Cash_Flow!$E14</f>
        <v/>
      </c>
      <c r="N14" s="17">
        <f>$N13+Income_Statement!$M14</f>
        <v/>
      </c>
      <c r="O14" s="17">
        <f>IF(Cash_Flow!$F14&lt;=0,0,$O13+(Cash_Flow!$F14+Cash_Flow!$G14))</f>
        <v/>
      </c>
      <c r="P14" s="17">
        <f>Income_Statement!$P14</f>
        <v/>
      </c>
      <c r="Q14" s="17">
        <f>$Q13+Income_Statement!$P14</f>
        <v/>
      </c>
      <c r="R14" s="17">
        <f>$R13+Income_Statement!$Q14</f>
        <v/>
      </c>
      <c r="S14" s="17">
        <f>Income_Statement!$R14</f>
        <v/>
      </c>
      <c r="T14" s="17">
        <f>Income_Statement!$Q14</f>
        <v/>
      </c>
      <c r="U14" s="17">
        <f>$U13+Cash_Flow!$I14</f>
        <v/>
      </c>
      <c r="V14" s="17">
        <f>Cash_Flow!$N14</f>
        <v/>
      </c>
      <c r="W14" s="17">
        <f>($W13+Cash_Flow!$J14)-(Cash_Flow!$B14+Cash_Flow!$C14)</f>
        <v/>
      </c>
    </row>
    <row r="15">
      <c r="A15" s="9" t="n">
        <v>2</v>
      </c>
      <c r="B15" s="9" t="n">
        <v>13</v>
      </c>
      <c r="C15" s="10" t="n">
        <v>500000</v>
      </c>
      <c r="D15" s="10" t="n">
        <v>0</v>
      </c>
      <c r="E15" s="10" t="n">
        <v>250000</v>
      </c>
      <c r="F15" s="8" t="n">
        <v>17</v>
      </c>
      <c r="G15" s="8" t="n">
        <v>17</v>
      </c>
      <c r="H15" s="10" t="n">
        <v>1020000</v>
      </c>
      <c r="I15" s="10" t="n">
        <v>1020000</v>
      </c>
      <c r="J15" s="16" t="n">
        <v>106233.87</v>
      </c>
      <c r="K15" s="16" t="n">
        <v>240000</v>
      </c>
      <c r="L15" s="16" t="n">
        <v>3300000</v>
      </c>
      <c r="M15" s="17">
        <f>$M14+Cash_Flow!$E15</f>
        <v/>
      </c>
      <c r="N15" s="17">
        <f>$N14+Income_Statement!$M15</f>
        <v/>
      </c>
      <c r="O15" s="17">
        <f>IF(Cash_Flow!$F15&lt;=0,0,$O14+(Cash_Flow!$F15+Cash_Flow!$G15))</f>
        <v/>
      </c>
      <c r="P15" s="17">
        <f>Income_Statement!$P15</f>
        <v/>
      </c>
      <c r="Q15" s="17">
        <f>$Q14+Income_Statement!$P15</f>
        <v/>
      </c>
      <c r="R15" s="17">
        <f>$R14+Income_Statement!$Q15</f>
        <v/>
      </c>
      <c r="S15" s="17">
        <f>Income_Statement!$R15</f>
        <v/>
      </c>
      <c r="T15" s="17">
        <f>Income_Statement!$Q15</f>
        <v/>
      </c>
      <c r="U15" s="17">
        <f>$U14+Cash_Flow!$I15</f>
        <v/>
      </c>
      <c r="V15" s="17">
        <f>Cash_Flow!$N15</f>
        <v/>
      </c>
      <c r="W15" s="17">
        <f>($W14+Cash_Flow!$J15)-(Cash_Flow!$B15+Cash_Flow!$C15)</f>
        <v/>
      </c>
    </row>
    <row r="16">
      <c r="A16" s="9" t="n">
        <v>2</v>
      </c>
      <c r="B16" s="9" t="n">
        <v>14</v>
      </c>
      <c r="C16" s="10" t="n">
        <v>500000</v>
      </c>
      <c r="D16" s="10" t="n">
        <v>0</v>
      </c>
      <c r="E16" s="10" t="n">
        <v>250000</v>
      </c>
      <c r="F16" s="8" t="n">
        <v>17</v>
      </c>
      <c r="G16" s="8" t="n">
        <v>17</v>
      </c>
      <c r="H16" s="10" t="n">
        <v>1020000</v>
      </c>
      <c r="I16" s="10" t="n">
        <v>1020000</v>
      </c>
      <c r="J16" s="16" t="n">
        <v>106233.87</v>
      </c>
      <c r="K16" s="16" t="n">
        <v>0</v>
      </c>
      <c r="L16" s="16" t="n">
        <v>3810000</v>
      </c>
      <c r="M16" s="17">
        <f>$M15+Cash_Flow!$E16</f>
        <v/>
      </c>
      <c r="N16" s="17">
        <f>$N15+Income_Statement!$M16</f>
        <v/>
      </c>
      <c r="O16" s="17">
        <f>IF(Cash_Flow!$F16&lt;=0,0,$O15+(Cash_Flow!$F16+Cash_Flow!$G16))</f>
        <v/>
      </c>
      <c r="P16" s="17">
        <f>Income_Statement!$P16</f>
        <v/>
      </c>
      <c r="Q16" s="17">
        <f>$Q15+Income_Statement!$P16</f>
        <v/>
      </c>
      <c r="R16" s="17">
        <f>$R15+Income_Statement!$Q16</f>
        <v/>
      </c>
      <c r="S16" s="17">
        <f>Income_Statement!$R16</f>
        <v/>
      </c>
      <c r="T16" s="17">
        <f>Income_Statement!$Q16</f>
        <v/>
      </c>
      <c r="U16" s="17">
        <f>$U15+Cash_Flow!$I16</f>
        <v/>
      </c>
      <c r="V16" s="17">
        <f>Cash_Flow!$N16</f>
        <v/>
      </c>
      <c r="W16" s="17">
        <f>($W15+Cash_Flow!$J16)-(Cash_Flow!$B16+Cash_Flow!$C16)</f>
        <v/>
      </c>
    </row>
    <row r="17">
      <c r="A17" s="9" t="n">
        <v>2</v>
      </c>
      <c r="B17" s="9" t="n">
        <v>15</v>
      </c>
      <c r="C17" s="10" t="n">
        <v>500000</v>
      </c>
      <c r="D17" s="10" t="n">
        <v>0</v>
      </c>
      <c r="E17" s="10" t="n">
        <v>250000</v>
      </c>
      <c r="F17" s="8" t="n">
        <v>17</v>
      </c>
      <c r="G17" s="8" t="n">
        <v>17</v>
      </c>
      <c r="H17" s="10" t="n">
        <v>1020000</v>
      </c>
      <c r="I17" s="10" t="n">
        <v>1020000</v>
      </c>
      <c r="J17" s="16" t="n">
        <v>106233.87</v>
      </c>
      <c r="K17" s="16" t="n">
        <v>0</v>
      </c>
      <c r="L17" s="16" t="n">
        <v>4320000</v>
      </c>
      <c r="M17" s="17">
        <f>$M16+Cash_Flow!$E17</f>
        <v/>
      </c>
      <c r="N17" s="17">
        <f>$N16+Income_Statement!$M17</f>
        <v/>
      </c>
      <c r="O17" s="17">
        <f>IF(Cash_Flow!$F17&lt;=0,0,$O16+(Cash_Flow!$F17+Cash_Flow!$G17))</f>
        <v/>
      </c>
      <c r="P17" s="17">
        <f>Income_Statement!$P17</f>
        <v/>
      </c>
      <c r="Q17" s="17">
        <f>$Q16+Income_Statement!$P17</f>
        <v/>
      </c>
      <c r="R17" s="17">
        <f>$R16+Income_Statement!$Q17</f>
        <v/>
      </c>
      <c r="S17" s="17">
        <f>Income_Statement!$R17</f>
        <v/>
      </c>
      <c r="T17" s="17">
        <f>Income_Statement!$Q17</f>
        <v/>
      </c>
      <c r="U17" s="17">
        <f>$U16+Cash_Flow!$I17</f>
        <v/>
      </c>
      <c r="V17" s="17">
        <f>Cash_Flow!$N17</f>
        <v/>
      </c>
      <c r="W17" s="17">
        <f>($W16+Cash_Flow!$J17)-(Cash_Flow!$B17+Cash_Flow!$C17)</f>
        <v/>
      </c>
    </row>
    <row r="18">
      <c r="A18" s="9" t="n">
        <v>2</v>
      </c>
      <c r="B18" s="9" t="n">
        <v>16</v>
      </c>
      <c r="C18" s="10" t="n">
        <v>500000</v>
      </c>
      <c r="D18" s="10" t="n">
        <v>0</v>
      </c>
      <c r="E18" s="10" t="n">
        <v>250000</v>
      </c>
      <c r="F18" s="8" t="n">
        <v>21</v>
      </c>
      <c r="G18" s="8" t="n">
        <v>21</v>
      </c>
      <c r="H18" s="10" t="n">
        <v>1260000</v>
      </c>
      <c r="I18" s="10" t="n">
        <v>1260000</v>
      </c>
      <c r="J18" s="16" t="n">
        <v>131720.27</v>
      </c>
      <c r="K18" s="16" t="n">
        <v>240000</v>
      </c>
      <c r="L18" s="16" t="n">
        <v>4950000</v>
      </c>
      <c r="M18" s="17">
        <f>$M17+Cash_Flow!$E18</f>
        <v/>
      </c>
      <c r="N18" s="17">
        <f>$N17+Income_Statement!$M18</f>
        <v/>
      </c>
      <c r="O18" s="17">
        <f>IF(Cash_Flow!$F18&lt;=0,0,$O17+(Cash_Flow!$F18+Cash_Flow!$G18))</f>
        <v/>
      </c>
      <c r="P18" s="17">
        <f>Income_Statement!$P18</f>
        <v/>
      </c>
      <c r="Q18" s="17">
        <f>$Q17+Income_Statement!$P18</f>
        <v/>
      </c>
      <c r="R18" s="17">
        <f>$R17+Income_Statement!$Q18</f>
        <v/>
      </c>
      <c r="S18" s="17">
        <f>Income_Statement!$R18</f>
        <v/>
      </c>
      <c r="T18" s="17">
        <f>Income_Statement!$Q18</f>
        <v/>
      </c>
      <c r="U18" s="17">
        <f>$U17+Cash_Flow!$I18</f>
        <v/>
      </c>
      <c r="V18" s="17">
        <f>Cash_Flow!$N18</f>
        <v/>
      </c>
      <c r="W18" s="17">
        <f>($W17+Cash_Flow!$J18)-(Cash_Flow!$B18+Cash_Flow!$C18)</f>
        <v/>
      </c>
    </row>
    <row r="19">
      <c r="A19" s="9" t="n">
        <v>2</v>
      </c>
      <c r="B19" s="9" t="n">
        <v>17</v>
      </c>
      <c r="C19" s="10" t="n">
        <v>500000</v>
      </c>
      <c r="D19" s="10" t="n">
        <v>0</v>
      </c>
      <c r="E19" s="10" t="n">
        <v>250000</v>
      </c>
      <c r="F19" s="8" t="n">
        <v>21</v>
      </c>
      <c r="G19" s="8" t="n">
        <v>21</v>
      </c>
      <c r="H19" s="10" t="n">
        <v>1260000</v>
      </c>
      <c r="I19" s="10" t="n">
        <v>1260000</v>
      </c>
      <c r="J19" s="16" t="n">
        <v>131720.27</v>
      </c>
      <c r="K19" s="16" t="n">
        <v>0</v>
      </c>
      <c r="L19" s="16" t="n">
        <v>5580000</v>
      </c>
      <c r="M19" s="17">
        <f>$M18+Cash_Flow!$E19</f>
        <v/>
      </c>
      <c r="N19" s="17">
        <f>$N18+Income_Statement!$M19</f>
        <v/>
      </c>
      <c r="O19" s="17">
        <f>IF(Cash_Flow!$F19&lt;=0,0,$O18+(Cash_Flow!$F19+Cash_Flow!$G19))</f>
        <v/>
      </c>
      <c r="P19" s="17">
        <f>Income_Statement!$P19</f>
        <v/>
      </c>
      <c r="Q19" s="17">
        <f>$Q18+Income_Statement!$P19</f>
        <v/>
      </c>
      <c r="R19" s="17">
        <f>$R18+Income_Statement!$Q19</f>
        <v/>
      </c>
      <c r="S19" s="17">
        <f>Income_Statement!$R19</f>
        <v/>
      </c>
      <c r="T19" s="17">
        <f>Income_Statement!$Q19</f>
        <v/>
      </c>
      <c r="U19" s="17">
        <f>$U18+Cash_Flow!$I19</f>
        <v/>
      </c>
      <c r="V19" s="17">
        <f>Cash_Flow!$N19</f>
        <v/>
      </c>
      <c r="W19" s="17">
        <f>($W18+Cash_Flow!$J19)-(Cash_Flow!$B19+Cash_Flow!$C19)</f>
        <v/>
      </c>
    </row>
    <row r="20">
      <c r="A20" s="9" t="n">
        <v>2</v>
      </c>
      <c r="B20" s="9" t="n">
        <v>18</v>
      </c>
      <c r="C20" s="10" t="n">
        <v>500000</v>
      </c>
      <c r="D20" s="10" t="n">
        <v>0</v>
      </c>
      <c r="E20" s="10" t="n">
        <v>250000</v>
      </c>
      <c r="F20" s="8" t="n">
        <v>21</v>
      </c>
      <c r="G20" s="8" t="n">
        <v>25</v>
      </c>
      <c r="H20" s="10" t="n">
        <v>1260000</v>
      </c>
      <c r="I20" s="10" t="n">
        <v>1500000</v>
      </c>
      <c r="J20" s="16" t="n">
        <v>131720.27</v>
      </c>
      <c r="K20" s="16" t="n">
        <v>240000</v>
      </c>
      <c r="L20" s="16" t="n">
        <v>6210000</v>
      </c>
      <c r="M20" s="17">
        <f>$M19+Cash_Flow!$E20</f>
        <v/>
      </c>
      <c r="N20" s="17">
        <f>$N19+Income_Statement!$M20</f>
        <v/>
      </c>
      <c r="O20" s="17">
        <f>IF(Cash_Flow!$F20&lt;=0,0,$O19+(Cash_Flow!$F20+Cash_Flow!$G20))</f>
        <v/>
      </c>
      <c r="P20" s="17">
        <f>Income_Statement!$P20</f>
        <v/>
      </c>
      <c r="Q20" s="17">
        <f>$Q19+Income_Statement!$P20</f>
        <v/>
      </c>
      <c r="R20" s="17">
        <f>$R19+Income_Statement!$Q20</f>
        <v/>
      </c>
      <c r="S20" s="17">
        <f>Income_Statement!$R20</f>
        <v/>
      </c>
      <c r="T20" s="17">
        <f>Income_Statement!$Q20</f>
        <v/>
      </c>
      <c r="U20" s="17">
        <f>$U19+Cash_Flow!$I20</f>
        <v/>
      </c>
      <c r="V20" s="17">
        <f>Cash_Flow!$N20</f>
        <v/>
      </c>
      <c r="W20" s="17">
        <f>($W19+Cash_Flow!$J20)-(Cash_Flow!$B20+Cash_Flow!$C20)</f>
        <v/>
      </c>
    </row>
    <row r="21">
      <c r="A21" s="9" t="n">
        <v>2</v>
      </c>
      <c r="B21" s="9" t="n">
        <v>19</v>
      </c>
      <c r="C21" s="10" t="n">
        <v>500000</v>
      </c>
      <c r="D21" s="10" t="n">
        <v>0</v>
      </c>
      <c r="E21" s="10" t="n">
        <v>250000</v>
      </c>
      <c r="F21" s="8" t="n">
        <v>25</v>
      </c>
      <c r="G21" s="8" t="n">
        <v>25</v>
      </c>
      <c r="H21" s="10" t="n">
        <v>1500000</v>
      </c>
      <c r="I21" s="10" t="n">
        <v>1500000</v>
      </c>
      <c r="J21" s="16" t="n">
        <v>157206.67</v>
      </c>
      <c r="K21" s="16" t="n">
        <v>0</v>
      </c>
      <c r="L21" s="16" t="n">
        <v>6960000</v>
      </c>
      <c r="M21" s="17">
        <f>$M20+Cash_Flow!$E21</f>
        <v/>
      </c>
      <c r="N21" s="17">
        <f>$N20+Income_Statement!$M21</f>
        <v/>
      </c>
      <c r="O21" s="17">
        <f>IF(Cash_Flow!$F21&lt;=0,0,$O20+(Cash_Flow!$F21+Cash_Flow!$G21))</f>
        <v/>
      </c>
      <c r="P21" s="17">
        <f>Income_Statement!$P21</f>
        <v/>
      </c>
      <c r="Q21" s="17">
        <f>$Q20+Income_Statement!$P21</f>
        <v/>
      </c>
      <c r="R21" s="17">
        <f>$R20+Income_Statement!$Q21</f>
        <v/>
      </c>
      <c r="S21" s="17">
        <f>Income_Statement!$R21</f>
        <v/>
      </c>
      <c r="T21" s="17">
        <f>Income_Statement!$Q21</f>
        <v/>
      </c>
      <c r="U21" s="17">
        <f>$U20+Cash_Flow!$I21</f>
        <v/>
      </c>
      <c r="V21" s="17">
        <f>Cash_Flow!$N21</f>
        <v/>
      </c>
      <c r="W21" s="17">
        <f>($W20+Cash_Flow!$J21)-(Cash_Flow!$B21+Cash_Flow!$C21)</f>
        <v/>
      </c>
    </row>
    <row r="22">
      <c r="A22" s="9" t="n">
        <v>2</v>
      </c>
      <c r="B22" s="9" t="n">
        <v>20</v>
      </c>
      <c r="C22" s="10" t="n">
        <v>500000</v>
      </c>
      <c r="D22" s="10" t="n">
        <v>0</v>
      </c>
      <c r="E22" s="10" t="n">
        <v>250000</v>
      </c>
      <c r="F22" s="8" t="n">
        <v>25</v>
      </c>
      <c r="G22" s="8" t="n">
        <v>25</v>
      </c>
      <c r="H22" s="10" t="n">
        <v>1500000</v>
      </c>
      <c r="I22" s="10" t="n">
        <v>1500000</v>
      </c>
      <c r="J22" s="16" t="n">
        <v>157206.67</v>
      </c>
      <c r="K22" s="16" t="n">
        <v>0</v>
      </c>
      <c r="L22" s="16" t="n">
        <v>7710000</v>
      </c>
      <c r="M22" s="17">
        <f>$M21+Cash_Flow!$E22</f>
        <v/>
      </c>
      <c r="N22" s="17">
        <f>$N21+Income_Statement!$M22</f>
        <v/>
      </c>
      <c r="O22" s="17">
        <f>IF(Cash_Flow!$F22&lt;=0,0,$O21+(Cash_Flow!$F22+Cash_Flow!$G22))</f>
        <v/>
      </c>
      <c r="P22" s="17">
        <f>Income_Statement!$P22</f>
        <v/>
      </c>
      <c r="Q22" s="17">
        <f>$Q21+Income_Statement!$P22</f>
        <v/>
      </c>
      <c r="R22" s="17">
        <f>$R21+Income_Statement!$Q22</f>
        <v/>
      </c>
      <c r="S22" s="17">
        <f>Income_Statement!$R22</f>
        <v/>
      </c>
      <c r="T22" s="17">
        <f>Income_Statement!$Q22</f>
        <v/>
      </c>
      <c r="U22" s="17">
        <f>$U21+Cash_Flow!$I22</f>
        <v/>
      </c>
      <c r="V22" s="17">
        <f>Cash_Flow!$N22</f>
        <v/>
      </c>
      <c r="W22" s="17">
        <f>($W21+Cash_Flow!$J22)-(Cash_Flow!$B22+Cash_Flow!$C22)</f>
        <v/>
      </c>
    </row>
    <row r="23">
      <c r="A23" s="9" t="n">
        <v>2</v>
      </c>
      <c r="B23" s="9" t="n">
        <v>21</v>
      </c>
      <c r="C23" s="10" t="n">
        <v>500000</v>
      </c>
      <c r="D23" s="10" t="n">
        <v>0</v>
      </c>
      <c r="E23" s="10" t="n">
        <v>250000</v>
      </c>
      <c r="F23" s="8" t="n">
        <v>29</v>
      </c>
      <c r="G23" s="8" t="n">
        <v>29</v>
      </c>
      <c r="H23" s="10" t="n">
        <v>1740000</v>
      </c>
      <c r="I23" s="10" t="n">
        <v>1740000</v>
      </c>
      <c r="J23" s="16" t="n">
        <v>182693.07</v>
      </c>
      <c r="K23" s="16" t="n">
        <v>240000</v>
      </c>
      <c r="L23" s="16" t="n">
        <v>8580000</v>
      </c>
      <c r="M23" s="17">
        <f>$M22+Cash_Flow!$E23</f>
        <v/>
      </c>
      <c r="N23" s="17">
        <f>$N22+Income_Statement!$M23</f>
        <v/>
      </c>
      <c r="O23" s="17">
        <f>IF(Cash_Flow!$F23&lt;=0,0,$O22+(Cash_Flow!$F23+Cash_Flow!$G23))</f>
        <v/>
      </c>
      <c r="P23" s="17">
        <f>Income_Statement!$P23</f>
        <v/>
      </c>
      <c r="Q23" s="17">
        <f>$Q22+Income_Statement!$P23</f>
        <v/>
      </c>
      <c r="R23" s="17">
        <f>$R22+Income_Statement!$Q23</f>
        <v/>
      </c>
      <c r="S23" s="17">
        <f>Income_Statement!$R23</f>
        <v/>
      </c>
      <c r="T23" s="17">
        <f>Income_Statement!$Q23</f>
        <v/>
      </c>
      <c r="U23" s="17">
        <f>$U22+Cash_Flow!$I23</f>
        <v/>
      </c>
      <c r="V23" s="17">
        <f>Cash_Flow!$N23</f>
        <v/>
      </c>
      <c r="W23" s="17">
        <f>($W22+Cash_Flow!$J23)-(Cash_Flow!$B23+Cash_Flow!$C23)</f>
        <v/>
      </c>
    </row>
    <row r="24">
      <c r="A24" s="9" t="n">
        <v>2</v>
      </c>
      <c r="B24" s="9" t="n">
        <v>22</v>
      </c>
      <c r="C24" s="10" t="n">
        <v>500000</v>
      </c>
      <c r="D24" s="10" t="n">
        <v>0</v>
      </c>
      <c r="E24" s="10" t="n">
        <v>250000</v>
      </c>
      <c r="F24" s="8" t="n">
        <v>29</v>
      </c>
      <c r="G24" s="8" t="n">
        <v>29</v>
      </c>
      <c r="H24" s="10" t="n">
        <v>1740000</v>
      </c>
      <c r="I24" s="10" t="n">
        <v>1740000</v>
      </c>
      <c r="J24" s="16" t="n">
        <v>182693.07</v>
      </c>
      <c r="K24" s="16" t="n">
        <v>0</v>
      </c>
      <c r="L24" s="16" t="n">
        <v>9450000</v>
      </c>
      <c r="M24" s="17">
        <f>$M23+Cash_Flow!$E24</f>
        <v/>
      </c>
      <c r="N24" s="17">
        <f>$N23+Income_Statement!$M24</f>
        <v/>
      </c>
      <c r="O24" s="17">
        <f>IF(Cash_Flow!$F24&lt;=0,0,$O23+(Cash_Flow!$F24+Cash_Flow!$G24))</f>
        <v/>
      </c>
      <c r="P24" s="17">
        <f>Income_Statement!$P24</f>
        <v/>
      </c>
      <c r="Q24" s="17">
        <f>$Q23+Income_Statement!$P24</f>
        <v/>
      </c>
      <c r="R24" s="17">
        <f>$R23+Income_Statement!$Q24</f>
        <v/>
      </c>
      <c r="S24" s="17">
        <f>Income_Statement!$R24</f>
        <v/>
      </c>
      <c r="T24" s="17">
        <f>Income_Statement!$Q24</f>
        <v/>
      </c>
      <c r="U24" s="17">
        <f>$U23+Cash_Flow!$I24</f>
        <v/>
      </c>
      <c r="V24" s="17">
        <f>Cash_Flow!$N24</f>
        <v/>
      </c>
      <c r="W24" s="17">
        <f>($W23+Cash_Flow!$J24)-(Cash_Flow!$B24+Cash_Flow!$C24)</f>
        <v/>
      </c>
    </row>
    <row r="25">
      <c r="A25" s="9" t="n">
        <v>2</v>
      </c>
      <c r="B25" s="9" t="n">
        <v>23</v>
      </c>
      <c r="C25" s="10" t="n">
        <v>500000</v>
      </c>
      <c r="D25" s="10" t="n">
        <v>0</v>
      </c>
      <c r="E25" s="10" t="n">
        <v>250000</v>
      </c>
      <c r="F25" s="8" t="n">
        <v>29</v>
      </c>
      <c r="G25" s="8" t="n">
        <v>33</v>
      </c>
      <c r="H25" s="10" t="n">
        <v>1740000</v>
      </c>
      <c r="I25" s="10" t="n">
        <v>1980000</v>
      </c>
      <c r="J25" s="16" t="n">
        <v>182693.07</v>
      </c>
      <c r="K25" s="16" t="n">
        <v>240000</v>
      </c>
      <c r="L25" s="16" t="n">
        <v>10320000</v>
      </c>
      <c r="M25" s="17">
        <f>$M24+Cash_Flow!$E25</f>
        <v/>
      </c>
      <c r="N25" s="17">
        <f>$N24+Income_Statement!$M25</f>
        <v/>
      </c>
      <c r="O25" s="17">
        <f>IF(Cash_Flow!$F25&lt;=0,0,$O24+(Cash_Flow!$F25+Cash_Flow!$G25))</f>
        <v/>
      </c>
      <c r="P25" s="17">
        <f>Income_Statement!$P25</f>
        <v/>
      </c>
      <c r="Q25" s="17">
        <f>$Q24+Income_Statement!$P25</f>
        <v/>
      </c>
      <c r="R25" s="17">
        <f>$R24+Income_Statement!$Q25</f>
        <v/>
      </c>
      <c r="S25" s="17">
        <f>Income_Statement!$R25</f>
        <v/>
      </c>
      <c r="T25" s="17">
        <f>Income_Statement!$Q25</f>
        <v/>
      </c>
      <c r="U25" s="17">
        <f>$U24+Cash_Flow!$I25</f>
        <v/>
      </c>
      <c r="V25" s="17">
        <f>Cash_Flow!$N25</f>
        <v/>
      </c>
      <c r="W25" s="17">
        <f>($W24+Cash_Flow!$J25)-(Cash_Flow!$B25+Cash_Flow!$C25)</f>
        <v/>
      </c>
    </row>
    <row r="26">
      <c r="A26" s="9" t="n">
        <v>2</v>
      </c>
      <c r="B26" s="9" t="n">
        <v>24</v>
      </c>
      <c r="C26" s="10" t="n">
        <v>500000</v>
      </c>
      <c r="D26" s="10" t="n">
        <v>0</v>
      </c>
      <c r="E26" s="10" t="n">
        <v>250000</v>
      </c>
      <c r="F26" s="8" t="n">
        <v>33</v>
      </c>
      <c r="G26" s="8" t="n">
        <v>33</v>
      </c>
      <c r="H26" s="10" t="n">
        <v>1980000</v>
      </c>
      <c r="I26" s="10" t="n">
        <v>1980000</v>
      </c>
      <c r="J26" s="16" t="n">
        <v>208179.47</v>
      </c>
      <c r="K26" s="16" t="n">
        <v>0</v>
      </c>
      <c r="L26" s="16" t="n">
        <v>11310000</v>
      </c>
      <c r="M26" s="17">
        <f>$M25+Cash_Flow!$E26</f>
        <v/>
      </c>
      <c r="N26" s="17">
        <f>$N25+Income_Statement!$M26</f>
        <v/>
      </c>
      <c r="O26" s="17">
        <f>IF(Cash_Flow!$F26&lt;=0,0,$O25+(Cash_Flow!$F26+Cash_Flow!$G26))</f>
        <v/>
      </c>
      <c r="P26" s="17">
        <f>Income_Statement!$P26</f>
        <v/>
      </c>
      <c r="Q26" s="17">
        <f>$Q25+Income_Statement!$P26</f>
        <v/>
      </c>
      <c r="R26" s="17">
        <f>$R25+Income_Statement!$Q26</f>
        <v/>
      </c>
      <c r="S26" s="17">
        <f>Income_Statement!$R26</f>
        <v/>
      </c>
      <c r="T26" s="17">
        <f>Income_Statement!$Q26</f>
        <v/>
      </c>
      <c r="U26" s="17">
        <f>$U25+Cash_Flow!$I26</f>
        <v/>
      </c>
      <c r="V26" s="17">
        <f>Cash_Flow!$N26</f>
        <v/>
      </c>
      <c r="W26" s="17">
        <f>($W25+Cash_Flow!$J26)-(Cash_Flow!$B26+Cash_Flow!$C26)</f>
        <v/>
      </c>
    </row>
    <row r="27">
      <c r="A27" s="9" t="n">
        <v>3</v>
      </c>
      <c r="B27" s="9" t="n">
        <v>25</v>
      </c>
      <c r="C27" s="10" t="n">
        <v>500000</v>
      </c>
      <c r="D27" s="10" t="n">
        <v>0</v>
      </c>
      <c r="E27" s="10" t="n">
        <v>250000</v>
      </c>
      <c r="F27" s="8" t="n">
        <v>33</v>
      </c>
      <c r="G27" s="8" t="n">
        <v>33</v>
      </c>
      <c r="H27" s="10" t="n">
        <v>1980000</v>
      </c>
      <c r="I27" s="10" t="n">
        <v>1980000</v>
      </c>
      <c r="J27" s="16" t="n">
        <v>208179.47</v>
      </c>
      <c r="K27" s="16" t="n">
        <v>0</v>
      </c>
      <c r="L27" s="16" t="n">
        <v>12300000</v>
      </c>
      <c r="M27" s="17">
        <f>$M26+Cash_Flow!$E27</f>
        <v/>
      </c>
      <c r="N27" s="17">
        <f>$N26+Income_Statement!$M27</f>
        <v/>
      </c>
      <c r="O27" s="17">
        <f>IF(Cash_Flow!$F27&lt;=0,0,$O26+(Cash_Flow!$F27+Cash_Flow!$G27))</f>
        <v/>
      </c>
      <c r="P27" s="17">
        <f>Income_Statement!$P27</f>
        <v/>
      </c>
      <c r="Q27" s="17">
        <f>$Q26+Income_Statement!$P27</f>
        <v/>
      </c>
      <c r="R27" s="17">
        <f>$R26+Income_Statement!$Q27</f>
        <v/>
      </c>
      <c r="S27" s="17">
        <f>Income_Statement!$R27</f>
        <v/>
      </c>
      <c r="T27" s="17">
        <f>Income_Statement!$Q27</f>
        <v/>
      </c>
      <c r="U27" s="17">
        <f>$U26+Cash_Flow!$I27</f>
        <v/>
      </c>
      <c r="V27" s="17">
        <f>Cash_Flow!$N27</f>
        <v/>
      </c>
      <c r="W27" s="17">
        <f>($W26+Cash_Flow!$J27)-(Cash_Flow!$B27+Cash_Flow!$C27)</f>
        <v/>
      </c>
    </row>
    <row r="28">
      <c r="A28" s="9" t="n">
        <v>3</v>
      </c>
      <c r="B28" s="9" t="n">
        <v>26</v>
      </c>
      <c r="C28" s="10" t="n">
        <v>500000</v>
      </c>
      <c r="D28" s="10" t="n">
        <v>0</v>
      </c>
      <c r="E28" s="10" t="n">
        <v>250000</v>
      </c>
      <c r="F28" s="8" t="n">
        <v>37</v>
      </c>
      <c r="G28" s="8" t="n">
        <v>38</v>
      </c>
      <c r="H28" s="10" t="n">
        <v>2220000</v>
      </c>
      <c r="I28" s="10" t="n">
        <v>2280000</v>
      </c>
      <c r="J28" s="16" t="n">
        <v>233665.87</v>
      </c>
      <c r="K28" s="16" t="n">
        <v>300000</v>
      </c>
      <c r="L28" s="16" t="n">
        <v>13410000</v>
      </c>
      <c r="M28" s="17">
        <f>$M27+Cash_Flow!$E28</f>
        <v/>
      </c>
      <c r="N28" s="17">
        <f>$N27+Income_Statement!$M28</f>
        <v/>
      </c>
      <c r="O28" s="17">
        <f>IF(Cash_Flow!$F28&lt;=0,0,$O27+(Cash_Flow!$F28+Cash_Flow!$G28))</f>
        <v/>
      </c>
      <c r="P28" s="17">
        <f>Income_Statement!$P28</f>
        <v/>
      </c>
      <c r="Q28" s="17">
        <f>$Q27+Income_Statement!$P28</f>
        <v/>
      </c>
      <c r="R28" s="17">
        <f>$R27+Income_Statement!$Q28</f>
        <v/>
      </c>
      <c r="S28" s="17">
        <f>Income_Statement!$R28</f>
        <v/>
      </c>
      <c r="T28" s="17">
        <f>Income_Statement!$Q28</f>
        <v/>
      </c>
      <c r="U28" s="17">
        <f>$U27+Cash_Flow!$I28</f>
        <v/>
      </c>
      <c r="V28" s="17">
        <f>Cash_Flow!$N28</f>
        <v/>
      </c>
      <c r="W28" s="17">
        <f>($W27+Cash_Flow!$J28)-(Cash_Flow!$B28+Cash_Flow!$C28)</f>
        <v/>
      </c>
    </row>
    <row r="29">
      <c r="A29" s="9" t="n">
        <v>3</v>
      </c>
      <c r="B29" s="9" t="n">
        <v>27</v>
      </c>
      <c r="C29" s="10" t="n">
        <v>500000</v>
      </c>
      <c r="D29" s="10" t="n">
        <v>0</v>
      </c>
      <c r="E29" s="10" t="n">
        <v>250000</v>
      </c>
      <c r="F29" s="8" t="n">
        <v>37</v>
      </c>
      <c r="G29" s="8" t="n">
        <v>38</v>
      </c>
      <c r="H29" s="10" t="n">
        <v>2220000</v>
      </c>
      <c r="I29" s="10" t="n">
        <v>2280000</v>
      </c>
      <c r="J29" s="16" t="n">
        <v>233665.87</v>
      </c>
      <c r="K29" s="16" t="n">
        <v>0</v>
      </c>
      <c r="L29" s="16" t="n">
        <v>14520000</v>
      </c>
      <c r="M29" s="17">
        <f>$M28+Cash_Flow!$E29</f>
        <v/>
      </c>
      <c r="N29" s="17">
        <f>$N28+Income_Statement!$M29</f>
        <v/>
      </c>
      <c r="O29" s="17">
        <f>IF(Cash_Flow!$F29&lt;=0,0,$O28+(Cash_Flow!$F29+Cash_Flow!$G29))</f>
        <v/>
      </c>
      <c r="P29" s="17">
        <f>Income_Statement!$P29</f>
        <v/>
      </c>
      <c r="Q29" s="17">
        <f>$Q28+Income_Statement!$P29</f>
        <v/>
      </c>
      <c r="R29" s="17">
        <f>$R28+Income_Statement!$Q29</f>
        <v/>
      </c>
      <c r="S29" s="17">
        <f>Income_Statement!$R29</f>
        <v/>
      </c>
      <c r="T29" s="17">
        <f>Income_Statement!$Q29</f>
        <v/>
      </c>
      <c r="U29" s="17">
        <f>$U28+Cash_Flow!$I29</f>
        <v/>
      </c>
      <c r="V29" s="17">
        <f>Cash_Flow!$N29</f>
        <v/>
      </c>
      <c r="W29" s="17">
        <f>($W28+Cash_Flow!$J29)-(Cash_Flow!$B29+Cash_Flow!$C29)</f>
        <v/>
      </c>
    </row>
    <row r="30">
      <c r="A30" s="9" t="n">
        <v>3</v>
      </c>
      <c r="B30" s="9" t="n">
        <v>28</v>
      </c>
      <c r="C30" s="10" t="n">
        <v>500000</v>
      </c>
      <c r="D30" s="10" t="n">
        <v>0</v>
      </c>
      <c r="E30" s="10" t="n">
        <v>250000</v>
      </c>
      <c r="F30" s="8" t="n">
        <v>37</v>
      </c>
      <c r="G30" s="8" t="n">
        <v>42</v>
      </c>
      <c r="H30" s="10" t="n">
        <v>2220000</v>
      </c>
      <c r="I30" s="10" t="n">
        <v>2520000</v>
      </c>
      <c r="J30" s="16" t="n">
        <v>233665.87</v>
      </c>
      <c r="K30" s="16" t="n">
        <v>240000</v>
      </c>
      <c r="L30" s="16" t="n">
        <v>15630000</v>
      </c>
      <c r="M30" s="17">
        <f>$M29+Cash_Flow!$E30</f>
        <v/>
      </c>
      <c r="N30" s="17">
        <f>$N29+Income_Statement!$M30</f>
        <v/>
      </c>
      <c r="O30" s="17">
        <f>IF(Cash_Flow!$F30&lt;=0,0,$O29+(Cash_Flow!$F30+Cash_Flow!$G30))</f>
        <v/>
      </c>
      <c r="P30" s="17">
        <f>Income_Statement!$P30</f>
        <v/>
      </c>
      <c r="Q30" s="17">
        <f>$Q29+Income_Statement!$P30</f>
        <v/>
      </c>
      <c r="R30" s="17">
        <f>$R29+Income_Statement!$Q30</f>
        <v/>
      </c>
      <c r="S30" s="17">
        <f>Income_Statement!$R30</f>
        <v/>
      </c>
      <c r="T30" s="17">
        <f>Income_Statement!$Q30</f>
        <v/>
      </c>
      <c r="U30" s="17">
        <f>$U29+Cash_Flow!$I30</f>
        <v/>
      </c>
      <c r="V30" s="17">
        <f>Cash_Flow!$N30</f>
        <v/>
      </c>
      <c r="W30" s="17">
        <f>($W29+Cash_Flow!$J30)-(Cash_Flow!$B30+Cash_Flow!$C30)</f>
        <v/>
      </c>
    </row>
    <row r="31">
      <c r="A31" s="9" t="n">
        <v>3</v>
      </c>
      <c r="B31" s="9" t="n">
        <v>29</v>
      </c>
      <c r="C31" s="10" t="n">
        <v>500000</v>
      </c>
      <c r="D31" s="10" t="n">
        <v>0</v>
      </c>
      <c r="E31" s="10" t="n">
        <v>250000</v>
      </c>
      <c r="F31" s="8" t="n">
        <v>42</v>
      </c>
      <c r="G31" s="8" t="n">
        <v>42</v>
      </c>
      <c r="H31" s="10" t="n">
        <v>2520000</v>
      </c>
      <c r="I31" s="10" t="n">
        <v>2520000</v>
      </c>
      <c r="J31" s="16" t="n">
        <v>265523.87</v>
      </c>
      <c r="K31" s="16" t="n">
        <v>0</v>
      </c>
      <c r="L31" s="16" t="n">
        <v>16890000</v>
      </c>
      <c r="M31" s="17">
        <f>$M30+Cash_Flow!$E31</f>
        <v/>
      </c>
      <c r="N31" s="17">
        <f>$N30+Income_Statement!$M31</f>
        <v/>
      </c>
      <c r="O31" s="17">
        <f>IF(Cash_Flow!$F31&lt;=0,0,$O30+(Cash_Flow!$F31+Cash_Flow!$G31))</f>
        <v/>
      </c>
      <c r="P31" s="17">
        <f>Income_Statement!$P31</f>
        <v/>
      </c>
      <c r="Q31" s="17">
        <f>$Q30+Income_Statement!$P31</f>
        <v/>
      </c>
      <c r="R31" s="17">
        <f>$R30+Income_Statement!$Q31</f>
        <v/>
      </c>
      <c r="S31" s="17">
        <f>Income_Statement!$R31</f>
        <v/>
      </c>
      <c r="T31" s="17">
        <f>Income_Statement!$Q31</f>
        <v/>
      </c>
      <c r="U31" s="17">
        <f>$U30+Cash_Flow!$I31</f>
        <v/>
      </c>
      <c r="V31" s="17">
        <f>Cash_Flow!$N31</f>
        <v/>
      </c>
      <c r="W31" s="17">
        <f>($W30+Cash_Flow!$J31)-(Cash_Flow!$B31+Cash_Flow!$C31)</f>
        <v/>
      </c>
    </row>
    <row r="32">
      <c r="A32" s="9" t="n">
        <v>3</v>
      </c>
      <c r="B32" s="9" t="n">
        <v>30</v>
      </c>
      <c r="C32" s="10" t="n">
        <v>500000</v>
      </c>
      <c r="D32" s="10" t="n">
        <v>0</v>
      </c>
      <c r="E32" s="10" t="n">
        <v>250000</v>
      </c>
      <c r="F32" s="8" t="n">
        <v>42</v>
      </c>
      <c r="G32" s="8" t="n">
        <v>46</v>
      </c>
      <c r="H32" s="10" t="n">
        <v>2520000</v>
      </c>
      <c r="I32" s="10" t="n">
        <v>2760000</v>
      </c>
      <c r="J32" s="16" t="n">
        <v>265523.87</v>
      </c>
      <c r="K32" s="16" t="n">
        <v>240000</v>
      </c>
      <c r="L32" s="16" t="n">
        <v>18150000</v>
      </c>
      <c r="M32" s="17">
        <f>$M31+Cash_Flow!$E32</f>
        <v/>
      </c>
      <c r="N32" s="17">
        <f>$N31+Income_Statement!$M32</f>
        <v/>
      </c>
      <c r="O32" s="17">
        <f>IF(Cash_Flow!$F32&lt;=0,0,$O31+(Cash_Flow!$F32+Cash_Flow!$G32))</f>
        <v/>
      </c>
      <c r="P32" s="17">
        <f>Income_Statement!$P32</f>
        <v/>
      </c>
      <c r="Q32" s="17">
        <f>$Q31+Income_Statement!$P32</f>
        <v/>
      </c>
      <c r="R32" s="17">
        <f>$R31+Income_Statement!$Q32</f>
        <v/>
      </c>
      <c r="S32" s="17">
        <f>Income_Statement!$R32</f>
        <v/>
      </c>
      <c r="T32" s="17">
        <f>Income_Statement!$Q32</f>
        <v/>
      </c>
      <c r="U32" s="17">
        <f>$U31+Cash_Flow!$I32</f>
        <v/>
      </c>
      <c r="V32" s="17">
        <f>Cash_Flow!$N32</f>
        <v/>
      </c>
      <c r="W32" s="17">
        <f>($W31+Cash_Flow!$J32)-(Cash_Flow!$B32+Cash_Flow!$C32)</f>
        <v/>
      </c>
    </row>
    <row r="33">
      <c r="A33" s="9" t="n">
        <v>3</v>
      </c>
      <c r="B33" s="9" t="n">
        <v>31</v>
      </c>
      <c r="C33" s="10" t="n">
        <v>500000</v>
      </c>
      <c r="D33" s="10" t="n">
        <v>0</v>
      </c>
      <c r="E33" s="10" t="n">
        <v>250000</v>
      </c>
      <c r="F33" s="8" t="n">
        <v>46</v>
      </c>
      <c r="G33" s="8" t="n">
        <v>46</v>
      </c>
      <c r="H33" s="10" t="n">
        <v>2760000</v>
      </c>
      <c r="I33" s="10" t="n">
        <v>2760000</v>
      </c>
      <c r="J33" s="16" t="n">
        <v>291010.27</v>
      </c>
      <c r="K33" s="16" t="n">
        <v>0</v>
      </c>
      <c r="L33" s="16" t="n">
        <v>19530000</v>
      </c>
      <c r="M33" s="17">
        <f>$M32+Cash_Flow!$E33</f>
        <v/>
      </c>
      <c r="N33" s="17">
        <f>$N32+Income_Statement!$M33</f>
        <v/>
      </c>
      <c r="O33" s="17">
        <f>IF(Cash_Flow!$F33&lt;=0,0,$O32+(Cash_Flow!$F33+Cash_Flow!$G33))</f>
        <v/>
      </c>
      <c r="P33" s="17">
        <f>Income_Statement!$P33</f>
        <v/>
      </c>
      <c r="Q33" s="17">
        <f>$Q32+Income_Statement!$P33</f>
        <v/>
      </c>
      <c r="R33" s="17">
        <f>$R32+Income_Statement!$Q33</f>
        <v/>
      </c>
      <c r="S33" s="17">
        <f>Income_Statement!$R33</f>
        <v/>
      </c>
      <c r="T33" s="17">
        <f>Income_Statement!$Q33</f>
        <v/>
      </c>
      <c r="U33" s="17">
        <f>$U32+Cash_Flow!$I33</f>
        <v/>
      </c>
      <c r="V33" s="17">
        <f>Cash_Flow!$N33</f>
        <v/>
      </c>
      <c r="W33" s="17">
        <f>($W32+Cash_Flow!$J33)-(Cash_Flow!$B33+Cash_Flow!$C33)</f>
        <v/>
      </c>
    </row>
    <row r="34">
      <c r="A34" s="9" t="n">
        <v>3</v>
      </c>
      <c r="B34" s="9" t="n">
        <v>32</v>
      </c>
      <c r="C34" s="10" t="n">
        <v>500000</v>
      </c>
      <c r="D34" s="10" t="n">
        <v>0</v>
      </c>
      <c r="E34" s="10" t="n">
        <v>250000</v>
      </c>
      <c r="F34" s="8" t="n">
        <v>37</v>
      </c>
      <c r="G34" s="8" t="n">
        <v>50</v>
      </c>
      <c r="H34" s="10" t="n">
        <v>2220000</v>
      </c>
      <c r="I34" s="10" t="n">
        <v>3000000</v>
      </c>
      <c r="J34" s="16" t="n">
        <v>233665.87</v>
      </c>
      <c r="K34" s="16" t="n">
        <v>240000</v>
      </c>
      <c r="L34" s="16" t="n">
        <v>20640000</v>
      </c>
      <c r="M34" s="17">
        <f>$M33+Cash_Flow!$E34</f>
        <v/>
      </c>
      <c r="N34" s="17">
        <f>$N33+Income_Statement!$M34</f>
        <v/>
      </c>
      <c r="O34" s="17">
        <f>IF(Cash_Flow!$F34&lt;=0,0,$O33+(Cash_Flow!$F34+Cash_Flow!$G34))</f>
        <v/>
      </c>
      <c r="P34" s="17">
        <f>Income_Statement!$P34</f>
        <v/>
      </c>
      <c r="Q34" s="17">
        <f>$Q33+Income_Statement!$P34</f>
        <v/>
      </c>
      <c r="R34" s="17">
        <f>$R33+Income_Statement!$Q34</f>
        <v/>
      </c>
      <c r="S34" s="17">
        <f>Income_Statement!$R34</f>
        <v/>
      </c>
      <c r="T34" s="17">
        <f>Income_Statement!$Q34</f>
        <v/>
      </c>
      <c r="U34" s="17">
        <f>$U33+Cash_Flow!$I34</f>
        <v/>
      </c>
      <c r="V34" s="17">
        <f>Cash_Flow!$N34</f>
        <v/>
      </c>
      <c r="W34" s="17">
        <f>($W33+Cash_Flow!$J34)-(Cash_Flow!$B34+Cash_Flow!$C34)</f>
        <v/>
      </c>
    </row>
    <row r="35">
      <c r="A35" s="9" t="n">
        <v>3</v>
      </c>
      <c r="B35" s="9" t="n">
        <v>33</v>
      </c>
      <c r="C35" s="10" t="n">
        <v>500000</v>
      </c>
      <c r="D35" s="10" t="n">
        <v>0</v>
      </c>
      <c r="E35" s="10" t="n">
        <v>250000</v>
      </c>
      <c r="F35" s="8" t="n">
        <v>41</v>
      </c>
      <c r="G35" s="8" t="n">
        <v>50</v>
      </c>
      <c r="H35" s="10" t="n">
        <v>2460000</v>
      </c>
      <c r="I35" s="10" t="n">
        <v>3000000</v>
      </c>
      <c r="J35" s="16" t="n">
        <v>259152.27</v>
      </c>
      <c r="K35" s="16" t="n">
        <v>0</v>
      </c>
      <c r="L35" s="16" t="n">
        <v>21870000</v>
      </c>
      <c r="M35" s="17">
        <f>$M34+Cash_Flow!$E35</f>
        <v/>
      </c>
      <c r="N35" s="17">
        <f>$N34+Income_Statement!$M35</f>
        <v/>
      </c>
      <c r="O35" s="17">
        <f>IF(Cash_Flow!$F35&lt;=0,0,$O34+(Cash_Flow!$F35+Cash_Flow!$G35))</f>
        <v/>
      </c>
      <c r="P35" s="17">
        <f>Income_Statement!$P35</f>
        <v/>
      </c>
      <c r="Q35" s="17">
        <f>$Q34+Income_Statement!$P35</f>
        <v/>
      </c>
      <c r="R35" s="17">
        <f>$R34+Income_Statement!$Q35</f>
        <v/>
      </c>
      <c r="S35" s="17">
        <f>Income_Statement!$R35</f>
        <v/>
      </c>
      <c r="T35" s="17">
        <f>Income_Statement!$Q35</f>
        <v/>
      </c>
      <c r="U35" s="17">
        <f>$U34+Cash_Flow!$I35</f>
        <v/>
      </c>
      <c r="V35" s="17">
        <f>Cash_Flow!$N35</f>
        <v/>
      </c>
      <c r="W35" s="17">
        <f>($W34+Cash_Flow!$J35)-(Cash_Flow!$B35+Cash_Flow!$C35)</f>
        <v/>
      </c>
    </row>
    <row r="36">
      <c r="A36" s="9" t="n">
        <v>3</v>
      </c>
      <c r="B36" s="9" t="n">
        <v>34</v>
      </c>
      <c r="C36" s="10" t="n">
        <v>500000</v>
      </c>
      <c r="D36" s="10" t="n">
        <v>0</v>
      </c>
      <c r="E36" s="10" t="n">
        <v>250000</v>
      </c>
      <c r="F36" s="8" t="n">
        <v>41</v>
      </c>
      <c r="G36" s="8" t="n">
        <v>54</v>
      </c>
      <c r="H36" s="10" t="n">
        <v>2460000</v>
      </c>
      <c r="I36" s="10" t="n">
        <v>3240000</v>
      </c>
      <c r="J36" s="16" t="n">
        <v>259152.27</v>
      </c>
      <c r="K36" s="16" t="n">
        <v>240000</v>
      </c>
      <c r="L36" s="16" t="n">
        <v>23100000</v>
      </c>
      <c r="M36" s="17">
        <f>$M35+Cash_Flow!$E36</f>
        <v/>
      </c>
      <c r="N36" s="17">
        <f>$N35+Income_Statement!$M36</f>
        <v/>
      </c>
      <c r="O36" s="17">
        <f>IF(Cash_Flow!$F36&lt;=0,0,$O35+(Cash_Flow!$F36+Cash_Flow!$G36))</f>
        <v/>
      </c>
      <c r="P36" s="17">
        <f>Income_Statement!$P36</f>
        <v/>
      </c>
      <c r="Q36" s="17">
        <f>$Q35+Income_Statement!$P36</f>
        <v/>
      </c>
      <c r="R36" s="17">
        <f>$R35+Income_Statement!$Q36</f>
        <v/>
      </c>
      <c r="S36" s="17">
        <f>Income_Statement!$R36</f>
        <v/>
      </c>
      <c r="T36" s="17">
        <f>Income_Statement!$Q36</f>
        <v/>
      </c>
      <c r="U36" s="17">
        <f>$U35+Cash_Flow!$I36</f>
        <v/>
      </c>
      <c r="V36" s="17">
        <f>Cash_Flow!$N36</f>
        <v/>
      </c>
      <c r="W36" s="17">
        <f>($W35+Cash_Flow!$J36)-(Cash_Flow!$B36+Cash_Flow!$C36)</f>
        <v/>
      </c>
    </row>
    <row r="37">
      <c r="A37" s="9" t="n">
        <v>3</v>
      </c>
      <c r="B37" s="9" t="n">
        <v>35</v>
      </c>
      <c r="C37" s="10" t="n">
        <v>500000</v>
      </c>
      <c r="D37" s="10" t="n">
        <v>0</v>
      </c>
      <c r="E37" s="10" t="n">
        <v>250000</v>
      </c>
      <c r="F37" s="8" t="n">
        <v>45</v>
      </c>
      <c r="G37" s="8" t="n">
        <v>54</v>
      </c>
      <c r="H37" s="10" t="n">
        <v>2700000</v>
      </c>
      <c r="I37" s="10" t="n">
        <v>3240000</v>
      </c>
      <c r="J37" s="16" t="n">
        <v>284638.67</v>
      </c>
      <c r="K37" s="16" t="n">
        <v>0</v>
      </c>
      <c r="L37" s="16" t="n">
        <v>24450000</v>
      </c>
      <c r="M37" s="17">
        <f>$M36+Cash_Flow!$E37</f>
        <v/>
      </c>
      <c r="N37" s="17">
        <f>$N36+Income_Statement!$M37</f>
        <v/>
      </c>
      <c r="O37" s="17">
        <f>IF(Cash_Flow!$F37&lt;=0,0,$O36+(Cash_Flow!$F37+Cash_Flow!$G37))</f>
        <v/>
      </c>
      <c r="P37" s="17">
        <f>Income_Statement!$P37</f>
        <v/>
      </c>
      <c r="Q37" s="17">
        <f>$Q36+Income_Statement!$P37</f>
        <v/>
      </c>
      <c r="R37" s="17">
        <f>$R36+Income_Statement!$Q37</f>
        <v/>
      </c>
      <c r="S37" s="17">
        <f>Income_Statement!$R37</f>
        <v/>
      </c>
      <c r="T37" s="17">
        <f>Income_Statement!$Q37</f>
        <v/>
      </c>
      <c r="U37" s="17">
        <f>$U36+Cash_Flow!$I37</f>
        <v/>
      </c>
      <c r="V37" s="17">
        <f>Cash_Flow!$N37</f>
        <v/>
      </c>
      <c r="W37" s="17">
        <f>($W36+Cash_Flow!$J37)-(Cash_Flow!$B37+Cash_Flow!$C37)</f>
        <v/>
      </c>
    </row>
    <row r="38">
      <c r="A38" s="9" t="n">
        <v>3</v>
      </c>
      <c r="B38" s="9" t="n">
        <v>36</v>
      </c>
      <c r="C38" s="10" t="n">
        <v>500000</v>
      </c>
      <c r="D38" s="10" t="n">
        <v>0</v>
      </c>
      <c r="E38" s="10" t="n">
        <v>250000</v>
      </c>
      <c r="F38" s="8" t="n">
        <v>45</v>
      </c>
      <c r="G38" s="8" t="n">
        <v>58</v>
      </c>
      <c r="H38" s="10" t="n">
        <v>2700000</v>
      </c>
      <c r="I38" s="10" t="n">
        <v>3480000</v>
      </c>
      <c r="J38" s="16" t="n">
        <v>284638.67</v>
      </c>
      <c r="K38" s="16" t="n">
        <v>240000</v>
      </c>
      <c r="L38" s="16" t="n">
        <v>25800000</v>
      </c>
      <c r="M38" s="17">
        <f>$M37+Cash_Flow!$E38</f>
        <v/>
      </c>
      <c r="N38" s="17">
        <f>$N37+Income_Statement!$M38</f>
        <v/>
      </c>
      <c r="O38" s="17">
        <f>IF(Cash_Flow!$F38&lt;=0,0,$O37+(Cash_Flow!$F38+Cash_Flow!$G38))</f>
        <v/>
      </c>
      <c r="P38" s="17">
        <f>Income_Statement!$P38</f>
        <v/>
      </c>
      <c r="Q38" s="17">
        <f>$Q37+Income_Statement!$P38</f>
        <v/>
      </c>
      <c r="R38" s="17">
        <f>$R37+Income_Statement!$Q38</f>
        <v/>
      </c>
      <c r="S38" s="17">
        <f>Income_Statement!$R38</f>
        <v/>
      </c>
      <c r="T38" s="17">
        <f>Income_Statement!$Q38</f>
        <v/>
      </c>
      <c r="U38" s="17">
        <f>$U37+Cash_Flow!$I38</f>
        <v/>
      </c>
      <c r="V38" s="17">
        <f>Cash_Flow!$N38</f>
        <v/>
      </c>
      <c r="W38" s="17">
        <f>($W37+Cash_Flow!$J38)-(Cash_Flow!$B38+Cash_Flow!$C38)</f>
        <v/>
      </c>
    </row>
    <row r="39">
      <c r="A39" s="9" t="n">
        <v>4</v>
      </c>
      <c r="B39" s="9" t="n">
        <v>37</v>
      </c>
      <c r="C39" s="10" t="n">
        <v>500000</v>
      </c>
      <c r="D39" s="10" t="n">
        <v>0</v>
      </c>
      <c r="E39" s="10" t="n">
        <v>250000</v>
      </c>
      <c r="F39" s="8" t="n">
        <v>45</v>
      </c>
      <c r="G39" s="8" t="n">
        <v>58</v>
      </c>
      <c r="H39" s="10" t="n">
        <v>2700000</v>
      </c>
      <c r="I39" s="10" t="n">
        <v>3480000</v>
      </c>
      <c r="J39" s="16" t="n">
        <v>284638.67</v>
      </c>
      <c r="K39" s="16" t="n">
        <v>0</v>
      </c>
      <c r="L39" s="16" t="n">
        <v>27150000</v>
      </c>
      <c r="M39" s="17">
        <f>$M38+Cash_Flow!$E39</f>
        <v/>
      </c>
      <c r="N39" s="17">
        <f>$N38+Income_Statement!$M39</f>
        <v/>
      </c>
      <c r="O39" s="17">
        <f>IF(Cash_Flow!$F39&lt;=0,0,$O38+(Cash_Flow!$F39+Cash_Flow!$G39))</f>
        <v/>
      </c>
      <c r="P39" s="17">
        <f>Income_Statement!$P39</f>
        <v/>
      </c>
      <c r="Q39" s="17">
        <f>$Q38+Income_Statement!$P39</f>
        <v/>
      </c>
      <c r="R39" s="17">
        <f>$R38+Income_Statement!$Q39</f>
        <v/>
      </c>
      <c r="S39" s="17">
        <f>Income_Statement!$R39</f>
        <v/>
      </c>
      <c r="T39" s="17">
        <f>Income_Statement!$Q39</f>
        <v/>
      </c>
      <c r="U39" s="17">
        <f>$U38+Cash_Flow!$I39</f>
        <v/>
      </c>
      <c r="V39" s="17">
        <f>Cash_Flow!$N39</f>
        <v/>
      </c>
      <c r="W39" s="17">
        <f>($W38+Cash_Flow!$J39)-(Cash_Flow!$B39+Cash_Flow!$C39)</f>
        <v/>
      </c>
    </row>
    <row r="40">
      <c r="A40" s="9" t="n">
        <v>4</v>
      </c>
      <c r="B40" s="9" t="n">
        <v>38</v>
      </c>
      <c r="C40" s="10" t="n">
        <v>500000</v>
      </c>
      <c r="D40" s="10" t="n">
        <v>0</v>
      </c>
      <c r="E40" s="10" t="n">
        <v>250000</v>
      </c>
      <c r="F40" s="8" t="n">
        <v>45</v>
      </c>
      <c r="G40" s="8" t="n">
        <v>62</v>
      </c>
      <c r="H40" s="10" t="n">
        <v>2700000</v>
      </c>
      <c r="I40" s="10" t="n">
        <v>3720000</v>
      </c>
      <c r="J40" s="16" t="n">
        <v>284638.67</v>
      </c>
      <c r="K40" s="16" t="n">
        <v>240000</v>
      </c>
      <c r="L40" s="16" t="n">
        <v>28500000</v>
      </c>
      <c r="M40" s="17">
        <f>$M39+Cash_Flow!$E40</f>
        <v/>
      </c>
      <c r="N40" s="17">
        <f>$N39+Income_Statement!$M40</f>
        <v/>
      </c>
      <c r="O40" s="17">
        <f>IF(Cash_Flow!$F40&lt;=0,0,$O39+(Cash_Flow!$F40+Cash_Flow!$G40))</f>
        <v/>
      </c>
      <c r="P40" s="17">
        <f>Income_Statement!$P40</f>
        <v/>
      </c>
      <c r="Q40" s="17">
        <f>$Q39+Income_Statement!$P40</f>
        <v/>
      </c>
      <c r="R40" s="17">
        <f>$R39+Income_Statement!$Q40</f>
        <v/>
      </c>
      <c r="S40" s="17">
        <f>Income_Statement!$R40</f>
        <v/>
      </c>
      <c r="T40" s="17">
        <f>Income_Statement!$Q40</f>
        <v/>
      </c>
      <c r="U40" s="17">
        <f>$U39+Cash_Flow!$I40</f>
        <v/>
      </c>
      <c r="V40" s="17">
        <f>Cash_Flow!$N40</f>
        <v/>
      </c>
      <c r="W40" s="17">
        <f>($W39+Cash_Flow!$J40)-(Cash_Flow!$B40+Cash_Flow!$C40)</f>
        <v/>
      </c>
    </row>
    <row r="41">
      <c r="A41" s="9" t="n">
        <v>4</v>
      </c>
      <c r="B41" s="9" t="n">
        <v>39</v>
      </c>
      <c r="C41" s="10" t="n">
        <v>500000</v>
      </c>
      <c r="D41" s="10" t="n">
        <v>0</v>
      </c>
      <c r="E41" s="10" t="n">
        <v>250000</v>
      </c>
      <c r="F41" s="8" t="n">
        <v>49</v>
      </c>
      <c r="G41" s="8" t="n">
        <v>62</v>
      </c>
      <c r="H41" s="10" t="n">
        <v>2940000</v>
      </c>
      <c r="I41" s="10" t="n">
        <v>3720000</v>
      </c>
      <c r="J41" s="16" t="n">
        <v>310125.07</v>
      </c>
      <c r="K41" s="16" t="n">
        <v>0</v>
      </c>
      <c r="L41" s="16" t="n">
        <v>29970000</v>
      </c>
      <c r="M41" s="17">
        <f>$M40+Cash_Flow!$E41</f>
        <v/>
      </c>
      <c r="N41" s="17">
        <f>$N40+Income_Statement!$M41</f>
        <v/>
      </c>
      <c r="O41" s="17">
        <f>IF(Cash_Flow!$F41&lt;=0,0,$O40+(Cash_Flow!$F41+Cash_Flow!$G41))</f>
        <v/>
      </c>
      <c r="P41" s="17">
        <f>Income_Statement!$P41</f>
        <v/>
      </c>
      <c r="Q41" s="17">
        <f>$Q40+Income_Statement!$P41</f>
        <v/>
      </c>
      <c r="R41" s="17">
        <f>$R40+Income_Statement!$Q41</f>
        <v/>
      </c>
      <c r="S41" s="17">
        <f>Income_Statement!$R41</f>
        <v/>
      </c>
      <c r="T41" s="17">
        <f>Income_Statement!$Q41</f>
        <v/>
      </c>
      <c r="U41" s="17">
        <f>$U40+Cash_Flow!$I41</f>
        <v/>
      </c>
      <c r="V41" s="17">
        <f>Cash_Flow!$N41</f>
        <v/>
      </c>
      <c r="W41" s="17">
        <f>($W40+Cash_Flow!$J41)-(Cash_Flow!$B41+Cash_Flow!$C41)</f>
        <v/>
      </c>
    </row>
    <row r="42">
      <c r="A42" s="9" t="n">
        <v>4</v>
      </c>
      <c r="B42" s="9" t="n">
        <v>40</v>
      </c>
      <c r="C42" s="10" t="n">
        <v>500000</v>
      </c>
      <c r="D42" s="10" t="n">
        <v>0</v>
      </c>
      <c r="E42" s="10" t="n">
        <v>250000</v>
      </c>
      <c r="F42" s="8" t="n">
        <v>45</v>
      </c>
      <c r="G42" s="8" t="n">
        <v>67</v>
      </c>
      <c r="H42" s="10" t="n">
        <v>2700000</v>
      </c>
      <c r="I42" s="10" t="n">
        <v>4020000</v>
      </c>
      <c r="J42" s="16" t="n">
        <v>284638.67</v>
      </c>
      <c r="K42" s="16" t="n">
        <v>300000</v>
      </c>
      <c r="L42" s="16" t="n">
        <v>31320000</v>
      </c>
      <c r="M42" s="17">
        <f>$M41+Cash_Flow!$E42</f>
        <v/>
      </c>
      <c r="N42" s="17">
        <f>$N41+Income_Statement!$M42</f>
        <v/>
      </c>
      <c r="O42" s="17">
        <f>IF(Cash_Flow!$F42&lt;=0,0,$O41+(Cash_Flow!$F42+Cash_Flow!$G42))</f>
        <v/>
      </c>
      <c r="P42" s="17">
        <f>Income_Statement!$P42</f>
        <v/>
      </c>
      <c r="Q42" s="17">
        <f>$Q41+Income_Statement!$P42</f>
        <v/>
      </c>
      <c r="R42" s="17">
        <f>$R41+Income_Statement!$Q42</f>
        <v/>
      </c>
      <c r="S42" s="17">
        <f>Income_Statement!$R42</f>
        <v/>
      </c>
      <c r="T42" s="17">
        <f>Income_Statement!$Q42</f>
        <v/>
      </c>
      <c r="U42" s="17">
        <f>$U41+Cash_Flow!$I42</f>
        <v/>
      </c>
      <c r="V42" s="17">
        <f>Cash_Flow!$N42</f>
        <v/>
      </c>
      <c r="W42" s="17">
        <f>($W41+Cash_Flow!$J42)-(Cash_Flow!$B42+Cash_Flow!$C42)</f>
        <v/>
      </c>
    </row>
    <row r="43">
      <c r="A43" s="9" t="n">
        <v>4</v>
      </c>
      <c r="B43" s="9" t="n">
        <v>41</v>
      </c>
      <c r="C43" s="10" t="n">
        <v>500000</v>
      </c>
      <c r="D43" s="10" t="n">
        <v>0</v>
      </c>
      <c r="E43" s="10" t="n">
        <v>250000</v>
      </c>
      <c r="F43" s="8" t="n">
        <v>49</v>
      </c>
      <c r="G43" s="8" t="n">
        <v>67</v>
      </c>
      <c r="H43" s="10" t="n">
        <v>2940000</v>
      </c>
      <c r="I43" s="10" t="n">
        <v>4020000</v>
      </c>
      <c r="J43" s="16" t="n">
        <v>310125.07</v>
      </c>
      <c r="K43" s="16" t="n">
        <v>0</v>
      </c>
      <c r="L43" s="16" t="n">
        <v>32790000</v>
      </c>
      <c r="M43" s="17">
        <f>$M42+Cash_Flow!$E43</f>
        <v/>
      </c>
      <c r="N43" s="17">
        <f>$N42+Income_Statement!$M43</f>
        <v/>
      </c>
      <c r="O43" s="17">
        <f>IF(Cash_Flow!$F43&lt;=0,0,$O42+(Cash_Flow!$F43+Cash_Flow!$G43))</f>
        <v/>
      </c>
      <c r="P43" s="17">
        <f>Income_Statement!$P43</f>
        <v/>
      </c>
      <c r="Q43" s="17">
        <f>$Q42+Income_Statement!$P43</f>
        <v/>
      </c>
      <c r="R43" s="17">
        <f>$R42+Income_Statement!$Q43</f>
        <v/>
      </c>
      <c r="S43" s="17">
        <f>Income_Statement!$R43</f>
        <v/>
      </c>
      <c r="T43" s="17">
        <f>Income_Statement!$Q43</f>
        <v/>
      </c>
      <c r="U43" s="17">
        <f>$U42+Cash_Flow!$I43</f>
        <v/>
      </c>
      <c r="V43" s="17">
        <f>Cash_Flow!$N43</f>
        <v/>
      </c>
      <c r="W43" s="17">
        <f>($W42+Cash_Flow!$J43)-(Cash_Flow!$B43+Cash_Flow!$C43)</f>
        <v/>
      </c>
    </row>
    <row r="44">
      <c r="A44" s="9" t="n">
        <v>4</v>
      </c>
      <c r="B44" s="9" t="n">
        <v>42</v>
      </c>
      <c r="C44" s="10" t="n">
        <v>500000</v>
      </c>
      <c r="D44" s="10" t="n">
        <v>0</v>
      </c>
      <c r="E44" s="10" t="n">
        <v>250000</v>
      </c>
      <c r="F44" s="8" t="n">
        <v>49</v>
      </c>
      <c r="G44" s="8" t="n">
        <v>72</v>
      </c>
      <c r="H44" s="10" t="n">
        <v>2940000</v>
      </c>
      <c r="I44" s="10" t="n">
        <v>4320000</v>
      </c>
      <c r="J44" s="16" t="n">
        <v>310125.07</v>
      </c>
      <c r="K44" s="16" t="n">
        <v>300000</v>
      </c>
      <c r="L44" s="16" t="n">
        <v>34260000</v>
      </c>
      <c r="M44" s="17">
        <f>$M43+Cash_Flow!$E44</f>
        <v/>
      </c>
      <c r="N44" s="17">
        <f>$N43+Income_Statement!$M44</f>
        <v/>
      </c>
      <c r="O44" s="17">
        <f>IF(Cash_Flow!$F44&lt;=0,0,$O43+(Cash_Flow!$F44+Cash_Flow!$G44))</f>
        <v/>
      </c>
      <c r="P44" s="17">
        <f>Income_Statement!$P44</f>
        <v/>
      </c>
      <c r="Q44" s="17">
        <f>$Q43+Income_Statement!$P44</f>
        <v/>
      </c>
      <c r="R44" s="17">
        <f>$R43+Income_Statement!$Q44</f>
        <v/>
      </c>
      <c r="S44" s="17">
        <f>Income_Statement!$R44</f>
        <v/>
      </c>
      <c r="T44" s="17">
        <f>Income_Statement!$Q44</f>
        <v/>
      </c>
      <c r="U44" s="17">
        <f>$U43+Cash_Flow!$I44</f>
        <v/>
      </c>
      <c r="V44" s="17">
        <f>Cash_Flow!$N44</f>
        <v/>
      </c>
      <c r="W44" s="17">
        <f>($W43+Cash_Flow!$J44)-(Cash_Flow!$B44+Cash_Flow!$C44)</f>
        <v/>
      </c>
    </row>
    <row r="45">
      <c r="A45" s="9" t="n">
        <v>4</v>
      </c>
      <c r="B45" s="9" t="n">
        <v>43</v>
      </c>
      <c r="C45" s="10" t="n">
        <v>500000</v>
      </c>
      <c r="D45" s="10" t="n">
        <v>0</v>
      </c>
      <c r="E45" s="10" t="n">
        <v>250000</v>
      </c>
      <c r="F45" s="8" t="n">
        <v>50</v>
      </c>
      <c r="G45" s="8" t="n">
        <v>72</v>
      </c>
      <c r="H45" s="10" t="n">
        <v>3000000</v>
      </c>
      <c r="I45" s="10" t="n">
        <v>4320000</v>
      </c>
      <c r="J45" s="16" t="n">
        <v>316496.67</v>
      </c>
      <c r="K45" s="16" t="n">
        <v>0</v>
      </c>
      <c r="L45" s="16" t="n">
        <v>35760000</v>
      </c>
      <c r="M45" s="17">
        <f>$M44+Cash_Flow!$E45</f>
        <v/>
      </c>
      <c r="N45" s="17">
        <f>$N44+Income_Statement!$M45</f>
        <v/>
      </c>
      <c r="O45" s="17">
        <f>IF(Cash_Flow!$F45&lt;=0,0,$O44+(Cash_Flow!$F45+Cash_Flow!$G45))</f>
        <v/>
      </c>
      <c r="P45" s="17">
        <f>Income_Statement!$P45</f>
        <v/>
      </c>
      <c r="Q45" s="17">
        <f>$Q44+Income_Statement!$P45</f>
        <v/>
      </c>
      <c r="R45" s="17">
        <f>$R44+Income_Statement!$Q45</f>
        <v/>
      </c>
      <c r="S45" s="17">
        <f>Income_Statement!$R45</f>
        <v/>
      </c>
      <c r="T45" s="17">
        <f>Income_Statement!$Q45</f>
        <v/>
      </c>
      <c r="U45" s="17">
        <f>$U44+Cash_Flow!$I45</f>
        <v/>
      </c>
      <c r="V45" s="17">
        <f>Cash_Flow!$N45</f>
        <v/>
      </c>
      <c r="W45" s="17">
        <f>($W44+Cash_Flow!$J45)-(Cash_Flow!$B45+Cash_Flow!$C45)</f>
        <v/>
      </c>
    </row>
    <row r="46">
      <c r="A46" s="9" t="n">
        <v>4</v>
      </c>
      <c r="B46" s="9" t="n">
        <v>44</v>
      </c>
      <c r="C46" s="10" t="n">
        <v>500000</v>
      </c>
      <c r="D46" s="10" t="n">
        <v>0</v>
      </c>
      <c r="E46" s="10" t="n">
        <v>250000</v>
      </c>
      <c r="F46" s="8" t="n">
        <v>50</v>
      </c>
      <c r="G46" s="8" t="n">
        <v>77</v>
      </c>
      <c r="H46" s="10" t="n">
        <v>3000000</v>
      </c>
      <c r="I46" s="10" t="n">
        <v>4620000</v>
      </c>
      <c r="J46" s="16" t="n">
        <v>316496.67</v>
      </c>
      <c r="K46" s="16" t="n">
        <v>300000</v>
      </c>
      <c r="L46" s="16" t="n">
        <v>37260000</v>
      </c>
      <c r="M46" s="17">
        <f>$M45+Cash_Flow!$E46</f>
        <v/>
      </c>
      <c r="N46" s="17">
        <f>$N45+Income_Statement!$M46</f>
        <v/>
      </c>
      <c r="O46" s="17">
        <f>IF(Cash_Flow!$F46&lt;=0,0,$O45+(Cash_Flow!$F46+Cash_Flow!$G46))</f>
        <v/>
      </c>
      <c r="P46" s="17">
        <f>Income_Statement!$P46</f>
        <v/>
      </c>
      <c r="Q46" s="17">
        <f>$Q45+Income_Statement!$P46</f>
        <v/>
      </c>
      <c r="R46" s="17">
        <f>$R45+Income_Statement!$Q46</f>
        <v/>
      </c>
      <c r="S46" s="17">
        <f>Income_Statement!$R46</f>
        <v/>
      </c>
      <c r="T46" s="17">
        <f>Income_Statement!$Q46</f>
        <v/>
      </c>
      <c r="U46" s="17">
        <f>$U45+Cash_Flow!$I46</f>
        <v/>
      </c>
      <c r="V46" s="17">
        <f>Cash_Flow!$N46</f>
        <v/>
      </c>
      <c r="W46" s="17">
        <f>($W45+Cash_Flow!$J46)-(Cash_Flow!$B46+Cash_Flow!$C46)</f>
        <v/>
      </c>
    </row>
    <row r="47">
      <c r="A47" s="9" t="n">
        <v>4</v>
      </c>
      <c r="B47" s="9" t="n">
        <v>45</v>
      </c>
      <c r="C47" s="10" t="n">
        <v>500000</v>
      </c>
      <c r="D47" s="10" t="n">
        <v>0</v>
      </c>
      <c r="E47" s="10" t="n">
        <v>250000</v>
      </c>
      <c r="F47" s="8" t="n">
        <v>51</v>
      </c>
      <c r="G47" s="8" t="n">
        <v>77</v>
      </c>
      <c r="H47" s="10" t="n">
        <v>3060000</v>
      </c>
      <c r="I47" s="10" t="n">
        <v>4620000</v>
      </c>
      <c r="J47" s="16" t="n">
        <v>322868.27</v>
      </c>
      <c r="K47" s="16" t="n">
        <v>0</v>
      </c>
      <c r="L47" s="16" t="n">
        <v>38790000</v>
      </c>
      <c r="M47" s="17">
        <f>$M46+Cash_Flow!$E47</f>
        <v/>
      </c>
      <c r="N47" s="17">
        <f>$N46+Income_Statement!$M47</f>
        <v/>
      </c>
      <c r="O47" s="17">
        <f>IF(Cash_Flow!$F47&lt;=0,0,$O46+(Cash_Flow!$F47+Cash_Flow!$G47))</f>
        <v/>
      </c>
      <c r="P47" s="17">
        <f>Income_Statement!$P47</f>
        <v/>
      </c>
      <c r="Q47" s="17">
        <f>$Q46+Income_Statement!$P47</f>
        <v/>
      </c>
      <c r="R47" s="17">
        <f>$R46+Income_Statement!$Q47</f>
        <v/>
      </c>
      <c r="S47" s="17">
        <f>Income_Statement!$R47</f>
        <v/>
      </c>
      <c r="T47" s="17">
        <f>Income_Statement!$Q47</f>
        <v/>
      </c>
      <c r="U47" s="17">
        <f>$U46+Cash_Flow!$I47</f>
        <v/>
      </c>
      <c r="V47" s="17">
        <f>Cash_Flow!$N47</f>
        <v/>
      </c>
      <c r="W47" s="17">
        <f>($W46+Cash_Flow!$J47)-(Cash_Flow!$B47+Cash_Flow!$C47)</f>
        <v/>
      </c>
    </row>
    <row r="48">
      <c r="A48" s="9" t="n">
        <v>4</v>
      </c>
      <c r="B48" s="9" t="n">
        <v>46</v>
      </c>
      <c r="C48" s="10" t="n">
        <v>500000</v>
      </c>
      <c r="D48" s="10" t="n">
        <v>0</v>
      </c>
      <c r="E48" s="10" t="n">
        <v>250000</v>
      </c>
      <c r="F48" s="8" t="n">
        <v>51</v>
      </c>
      <c r="G48" s="8" t="n">
        <v>81</v>
      </c>
      <c r="H48" s="10" t="n">
        <v>3060000</v>
      </c>
      <c r="I48" s="10" t="n">
        <v>4860000</v>
      </c>
      <c r="J48" s="16" t="n">
        <v>322868.27</v>
      </c>
      <c r="K48" s="16" t="n">
        <v>240000</v>
      </c>
      <c r="L48" s="16" t="n">
        <v>40320000</v>
      </c>
      <c r="M48" s="17">
        <f>$M47+Cash_Flow!$E48</f>
        <v/>
      </c>
      <c r="N48" s="17">
        <f>$N47+Income_Statement!$M48</f>
        <v/>
      </c>
      <c r="O48" s="17">
        <f>IF(Cash_Flow!$F48&lt;=0,0,$O47+(Cash_Flow!$F48+Cash_Flow!$G48))</f>
        <v/>
      </c>
      <c r="P48" s="17">
        <f>Income_Statement!$P48</f>
        <v/>
      </c>
      <c r="Q48" s="17">
        <f>$Q47+Income_Statement!$P48</f>
        <v/>
      </c>
      <c r="R48" s="17">
        <f>$R47+Income_Statement!$Q48</f>
        <v/>
      </c>
      <c r="S48" s="17">
        <f>Income_Statement!$R48</f>
        <v/>
      </c>
      <c r="T48" s="17">
        <f>Income_Statement!$Q48</f>
        <v/>
      </c>
      <c r="U48" s="17">
        <f>$U47+Cash_Flow!$I48</f>
        <v/>
      </c>
      <c r="V48" s="17">
        <f>Cash_Flow!$N48</f>
        <v/>
      </c>
      <c r="W48" s="17">
        <f>($W47+Cash_Flow!$J48)-(Cash_Flow!$B48+Cash_Flow!$C48)</f>
        <v/>
      </c>
    </row>
    <row r="49">
      <c r="A49" s="9" t="n">
        <v>4</v>
      </c>
      <c r="B49" s="9" t="n">
        <v>47</v>
      </c>
      <c r="C49" s="10" t="n">
        <v>500000</v>
      </c>
      <c r="D49" s="10" t="n">
        <v>0</v>
      </c>
      <c r="E49" s="10" t="n">
        <v>250000</v>
      </c>
      <c r="F49" s="8" t="n">
        <v>56</v>
      </c>
      <c r="G49" s="8" t="n">
        <v>81</v>
      </c>
      <c r="H49" s="10" t="n">
        <v>3360000</v>
      </c>
      <c r="I49" s="10" t="n">
        <v>4860000</v>
      </c>
      <c r="J49" s="16" t="n">
        <v>354726.27</v>
      </c>
      <c r="K49" s="16" t="n">
        <v>0</v>
      </c>
      <c r="L49" s="16" t="n">
        <v>42000000</v>
      </c>
      <c r="M49" s="17">
        <f>$M48+Cash_Flow!$E49</f>
        <v/>
      </c>
      <c r="N49" s="17">
        <f>$N48+Income_Statement!$M49</f>
        <v/>
      </c>
      <c r="O49" s="17">
        <f>IF(Cash_Flow!$F49&lt;=0,0,$O48+(Cash_Flow!$F49+Cash_Flow!$G49))</f>
        <v/>
      </c>
      <c r="P49" s="17">
        <f>Income_Statement!$P49</f>
        <v/>
      </c>
      <c r="Q49" s="17">
        <f>$Q48+Income_Statement!$P49</f>
        <v/>
      </c>
      <c r="R49" s="17">
        <f>$R48+Income_Statement!$Q49</f>
        <v/>
      </c>
      <c r="S49" s="17">
        <f>Income_Statement!$R49</f>
        <v/>
      </c>
      <c r="T49" s="17">
        <f>Income_Statement!$Q49</f>
        <v/>
      </c>
      <c r="U49" s="17">
        <f>$U48+Cash_Flow!$I49</f>
        <v/>
      </c>
      <c r="V49" s="17">
        <f>Cash_Flow!$N49</f>
        <v/>
      </c>
      <c r="W49" s="17">
        <f>($W48+Cash_Flow!$J49)-(Cash_Flow!$B49+Cash_Flow!$C49)</f>
        <v/>
      </c>
    </row>
    <row r="50">
      <c r="A50" s="9" t="n">
        <v>4</v>
      </c>
      <c r="B50" s="9" t="n">
        <v>48</v>
      </c>
      <c r="C50" s="10" t="n">
        <v>500000</v>
      </c>
      <c r="D50" s="10" t="n">
        <v>0</v>
      </c>
      <c r="E50" s="10" t="n">
        <v>250000</v>
      </c>
      <c r="F50" s="8" t="n">
        <v>52</v>
      </c>
      <c r="G50" s="8" t="n">
        <v>87</v>
      </c>
      <c r="H50" s="10" t="n">
        <v>3120000</v>
      </c>
      <c r="I50" s="10" t="n">
        <v>5220000</v>
      </c>
      <c r="J50" s="16" t="n">
        <v>329239.87</v>
      </c>
      <c r="K50" s="16" t="n">
        <v>360000</v>
      </c>
      <c r="L50" s="16" t="n">
        <v>43560000</v>
      </c>
      <c r="M50" s="17">
        <f>$M49+Cash_Flow!$E50</f>
        <v/>
      </c>
      <c r="N50" s="17">
        <f>$N49+Income_Statement!$M50</f>
        <v/>
      </c>
      <c r="O50" s="17">
        <f>IF(Cash_Flow!$F50&lt;=0,0,$O49+(Cash_Flow!$F50+Cash_Flow!$G50))</f>
        <v/>
      </c>
      <c r="P50" s="17">
        <f>Income_Statement!$P50</f>
        <v/>
      </c>
      <c r="Q50" s="17">
        <f>$Q49+Income_Statement!$P50</f>
        <v/>
      </c>
      <c r="R50" s="17">
        <f>$R49+Income_Statement!$Q50</f>
        <v/>
      </c>
      <c r="S50" s="17">
        <f>Income_Statement!$R50</f>
        <v/>
      </c>
      <c r="T50" s="17">
        <f>Income_Statement!$Q50</f>
        <v/>
      </c>
      <c r="U50" s="17">
        <f>$U49+Cash_Flow!$I50</f>
        <v/>
      </c>
      <c r="V50" s="17">
        <f>Cash_Flow!$N50</f>
        <v/>
      </c>
      <c r="W50" s="17">
        <f>($W49+Cash_Flow!$J50)-(Cash_Flow!$B50+Cash_Flow!$C50)</f>
        <v/>
      </c>
    </row>
    <row r="51">
      <c r="A51" s="9" t="n">
        <v>5</v>
      </c>
      <c r="B51" s="9" t="n">
        <v>49</v>
      </c>
      <c r="C51" s="10" t="n">
        <v>500000</v>
      </c>
      <c r="D51" s="10" t="n">
        <v>0</v>
      </c>
      <c r="E51" s="10" t="n">
        <v>250000</v>
      </c>
      <c r="F51" s="8" t="n">
        <v>56</v>
      </c>
      <c r="G51" s="8" t="n">
        <v>87</v>
      </c>
      <c r="H51" s="10" t="n">
        <v>3360000</v>
      </c>
      <c r="I51" s="10" t="n">
        <v>5220000</v>
      </c>
      <c r="J51" s="16" t="n">
        <v>354726.27</v>
      </c>
      <c r="K51" s="16" t="n">
        <v>0</v>
      </c>
      <c r="L51" s="16" t="n">
        <v>45240000</v>
      </c>
      <c r="M51" s="17">
        <f>$M50+Cash_Flow!$E51</f>
        <v/>
      </c>
      <c r="N51" s="17">
        <f>$N50+Income_Statement!$M51</f>
        <v/>
      </c>
      <c r="O51" s="17">
        <f>IF(Cash_Flow!$F51&lt;=0,0,$O50+(Cash_Flow!$F51+Cash_Flow!$G51))</f>
        <v/>
      </c>
      <c r="P51" s="17">
        <f>Income_Statement!$P51</f>
        <v/>
      </c>
      <c r="Q51" s="17">
        <f>$Q50+Income_Statement!$P51</f>
        <v/>
      </c>
      <c r="R51" s="17">
        <f>$R50+Income_Statement!$Q51</f>
        <v/>
      </c>
      <c r="S51" s="17">
        <f>Income_Statement!$R51</f>
        <v/>
      </c>
      <c r="T51" s="17">
        <f>Income_Statement!$Q51</f>
        <v/>
      </c>
      <c r="U51" s="17">
        <f>$U50+Cash_Flow!$I51</f>
        <v/>
      </c>
      <c r="V51" s="17">
        <f>Cash_Flow!$N51</f>
        <v/>
      </c>
      <c r="W51" s="17">
        <f>($W50+Cash_Flow!$J51)-(Cash_Flow!$B51+Cash_Flow!$C51)</f>
        <v/>
      </c>
    </row>
    <row r="52">
      <c r="A52" s="9" t="n">
        <v>5</v>
      </c>
      <c r="B52" s="9" t="n">
        <v>50</v>
      </c>
      <c r="C52" s="10" t="n">
        <v>500000</v>
      </c>
      <c r="D52" s="10" t="n">
        <v>0</v>
      </c>
      <c r="E52" s="10" t="n">
        <v>250000</v>
      </c>
      <c r="F52" s="8" t="n">
        <v>52</v>
      </c>
      <c r="G52" s="8" t="n">
        <v>92</v>
      </c>
      <c r="H52" s="10" t="n">
        <v>3120000</v>
      </c>
      <c r="I52" s="10" t="n">
        <v>5520000</v>
      </c>
      <c r="J52" s="16" t="n">
        <v>329239.87</v>
      </c>
      <c r="K52" s="16" t="n">
        <v>300000</v>
      </c>
      <c r="L52" s="16" t="n">
        <v>46800000</v>
      </c>
      <c r="M52" s="17">
        <f>$M51+Cash_Flow!$E52</f>
        <v/>
      </c>
      <c r="N52" s="17">
        <f>$N51+Income_Statement!$M52</f>
        <v/>
      </c>
      <c r="O52" s="17">
        <f>IF(Cash_Flow!$F52&lt;=0,0,$O51+(Cash_Flow!$F52+Cash_Flow!$G52))</f>
        <v/>
      </c>
      <c r="P52" s="17">
        <f>Income_Statement!$P52</f>
        <v/>
      </c>
      <c r="Q52" s="17">
        <f>$Q51+Income_Statement!$P52</f>
        <v/>
      </c>
      <c r="R52" s="17">
        <f>$R51+Income_Statement!$Q52</f>
        <v/>
      </c>
      <c r="S52" s="17">
        <f>Income_Statement!$R52</f>
        <v/>
      </c>
      <c r="T52" s="17">
        <f>Income_Statement!$Q52</f>
        <v/>
      </c>
      <c r="U52" s="17">
        <f>$U51+Cash_Flow!$I52</f>
        <v/>
      </c>
      <c r="V52" s="17">
        <f>Cash_Flow!$N52</f>
        <v/>
      </c>
      <c r="W52" s="17">
        <f>($W51+Cash_Flow!$J52)-(Cash_Flow!$B52+Cash_Flow!$C52)</f>
        <v/>
      </c>
    </row>
    <row r="53">
      <c r="A53" s="9" t="n">
        <v>5</v>
      </c>
      <c r="B53" s="9" t="n">
        <v>51</v>
      </c>
      <c r="C53" s="10" t="n">
        <v>500000</v>
      </c>
      <c r="D53" s="10" t="n">
        <v>0</v>
      </c>
      <c r="E53" s="10" t="n">
        <v>250000</v>
      </c>
      <c r="F53" s="8" t="n">
        <v>58</v>
      </c>
      <c r="G53" s="8" t="n">
        <v>92</v>
      </c>
      <c r="H53" s="10" t="n">
        <v>3480000</v>
      </c>
      <c r="I53" s="10" t="n">
        <v>5520000</v>
      </c>
      <c r="J53" s="16" t="n">
        <v>367469.47</v>
      </c>
      <c r="K53" s="16" t="n">
        <v>0</v>
      </c>
      <c r="L53" s="16" t="n">
        <v>48540000</v>
      </c>
      <c r="M53" s="17">
        <f>$M52+Cash_Flow!$E53</f>
        <v/>
      </c>
      <c r="N53" s="17">
        <f>$N52+Income_Statement!$M53</f>
        <v/>
      </c>
      <c r="O53" s="17">
        <f>IF(Cash_Flow!$F53&lt;=0,0,$O52+(Cash_Flow!$F53+Cash_Flow!$G53))</f>
        <v/>
      </c>
      <c r="P53" s="17">
        <f>Income_Statement!$P53</f>
        <v/>
      </c>
      <c r="Q53" s="17">
        <f>$Q52+Income_Statement!$P53</f>
        <v/>
      </c>
      <c r="R53" s="17">
        <f>$R52+Income_Statement!$Q53</f>
        <v/>
      </c>
      <c r="S53" s="17">
        <f>Income_Statement!$R53</f>
        <v/>
      </c>
      <c r="T53" s="17">
        <f>Income_Statement!$Q53</f>
        <v/>
      </c>
      <c r="U53" s="17">
        <f>$U52+Cash_Flow!$I53</f>
        <v/>
      </c>
      <c r="V53" s="17">
        <f>Cash_Flow!$N53</f>
        <v/>
      </c>
      <c r="W53" s="17">
        <f>($W52+Cash_Flow!$J53)-(Cash_Flow!$B53+Cash_Flow!$C53)</f>
        <v/>
      </c>
    </row>
    <row r="54">
      <c r="A54" s="9" t="n">
        <v>5</v>
      </c>
      <c r="B54" s="9" t="n">
        <v>52</v>
      </c>
      <c r="C54" s="10" t="n">
        <v>500000</v>
      </c>
      <c r="D54" s="10" t="n">
        <v>0</v>
      </c>
      <c r="E54" s="10" t="n">
        <v>250000</v>
      </c>
      <c r="F54" s="8" t="n">
        <v>58</v>
      </c>
      <c r="G54" s="8" t="n">
        <v>97</v>
      </c>
      <c r="H54" s="10" t="n">
        <v>3480000</v>
      </c>
      <c r="I54" s="10" t="n">
        <v>5820000</v>
      </c>
      <c r="J54" s="16" t="n">
        <v>367469.47</v>
      </c>
      <c r="K54" s="16" t="n">
        <v>300000</v>
      </c>
      <c r="L54" s="16" t="n">
        <v>50280000</v>
      </c>
      <c r="M54" s="17">
        <f>$M53+Cash_Flow!$E54</f>
        <v/>
      </c>
      <c r="N54" s="17">
        <f>$N53+Income_Statement!$M54</f>
        <v/>
      </c>
      <c r="O54" s="17">
        <f>IF(Cash_Flow!$F54&lt;=0,0,$O53+(Cash_Flow!$F54+Cash_Flow!$G54))</f>
        <v/>
      </c>
      <c r="P54" s="17">
        <f>Income_Statement!$P54</f>
        <v/>
      </c>
      <c r="Q54" s="17">
        <f>$Q53+Income_Statement!$P54</f>
        <v/>
      </c>
      <c r="R54" s="17">
        <f>$R53+Income_Statement!$Q54</f>
        <v/>
      </c>
      <c r="S54" s="17">
        <f>Income_Statement!$R54</f>
        <v/>
      </c>
      <c r="T54" s="17">
        <f>Income_Statement!$Q54</f>
        <v/>
      </c>
      <c r="U54" s="17">
        <f>$U53+Cash_Flow!$I54</f>
        <v/>
      </c>
      <c r="V54" s="17">
        <f>Cash_Flow!$N54</f>
        <v/>
      </c>
      <c r="W54" s="17">
        <f>($W53+Cash_Flow!$J54)-(Cash_Flow!$B54+Cash_Flow!$C54)</f>
        <v/>
      </c>
    </row>
    <row r="55">
      <c r="A55" s="9" t="n">
        <v>5</v>
      </c>
      <c r="B55" s="9" t="n">
        <v>53</v>
      </c>
      <c r="C55" s="10" t="n">
        <v>500000</v>
      </c>
      <c r="D55" s="10" t="n">
        <v>0</v>
      </c>
      <c r="E55" s="10" t="n">
        <v>250000</v>
      </c>
      <c r="F55" s="8" t="n">
        <v>58</v>
      </c>
      <c r="G55" s="8" t="n">
        <v>97</v>
      </c>
      <c r="H55" s="10" t="n">
        <v>3480000</v>
      </c>
      <c r="I55" s="10" t="n">
        <v>5820000</v>
      </c>
      <c r="J55" s="16" t="n">
        <v>367469.47</v>
      </c>
      <c r="K55" s="16" t="n">
        <v>0</v>
      </c>
      <c r="L55" s="16" t="n">
        <v>52020000</v>
      </c>
      <c r="M55" s="17">
        <f>$M54+Cash_Flow!$E55</f>
        <v/>
      </c>
      <c r="N55" s="17">
        <f>$N54+Income_Statement!$M55</f>
        <v/>
      </c>
      <c r="O55" s="17">
        <f>IF(Cash_Flow!$F55&lt;=0,0,$O54+(Cash_Flow!$F55+Cash_Flow!$G55))</f>
        <v/>
      </c>
      <c r="P55" s="17">
        <f>Income_Statement!$P55</f>
        <v/>
      </c>
      <c r="Q55" s="17">
        <f>$Q54+Income_Statement!$P55</f>
        <v/>
      </c>
      <c r="R55" s="17">
        <f>$R54+Income_Statement!$Q55</f>
        <v/>
      </c>
      <c r="S55" s="17">
        <f>Income_Statement!$R55</f>
        <v/>
      </c>
      <c r="T55" s="17">
        <f>Income_Statement!$Q55</f>
        <v/>
      </c>
      <c r="U55" s="17">
        <f>$U54+Cash_Flow!$I55</f>
        <v/>
      </c>
      <c r="V55" s="17">
        <f>Cash_Flow!$N55</f>
        <v/>
      </c>
      <c r="W55" s="17">
        <f>($W54+Cash_Flow!$J55)-(Cash_Flow!$B55+Cash_Flow!$C55)</f>
        <v/>
      </c>
    </row>
    <row r="56">
      <c r="A56" s="9" t="n">
        <v>5</v>
      </c>
      <c r="B56" s="9" t="n">
        <v>54</v>
      </c>
      <c r="C56" s="10" t="n">
        <v>500000</v>
      </c>
      <c r="D56" s="10" t="n">
        <v>0</v>
      </c>
      <c r="E56" s="10" t="n">
        <v>250000</v>
      </c>
      <c r="F56" s="8" t="n">
        <v>58</v>
      </c>
      <c r="G56" s="8" t="n">
        <v>103</v>
      </c>
      <c r="H56" s="10" t="n">
        <v>3480000</v>
      </c>
      <c r="I56" s="10" t="n">
        <v>6180000</v>
      </c>
      <c r="J56" s="16" t="n">
        <v>367469.47</v>
      </c>
      <c r="K56" s="16" t="n">
        <v>360000</v>
      </c>
      <c r="L56" s="16" t="n">
        <v>53760000</v>
      </c>
      <c r="M56" s="17">
        <f>$M55+Cash_Flow!$E56</f>
        <v/>
      </c>
      <c r="N56" s="17">
        <f>$N55+Income_Statement!$M56</f>
        <v/>
      </c>
      <c r="O56" s="17">
        <f>IF(Cash_Flow!$F56&lt;=0,0,$O55+(Cash_Flow!$F56+Cash_Flow!$G56))</f>
        <v/>
      </c>
      <c r="P56" s="17">
        <f>Income_Statement!$P56</f>
        <v/>
      </c>
      <c r="Q56" s="17">
        <f>$Q55+Income_Statement!$P56</f>
        <v/>
      </c>
      <c r="R56" s="17">
        <f>$R55+Income_Statement!$Q56</f>
        <v/>
      </c>
      <c r="S56" s="17">
        <f>Income_Statement!$R56</f>
        <v/>
      </c>
      <c r="T56" s="17">
        <f>Income_Statement!$Q56</f>
        <v/>
      </c>
      <c r="U56" s="17">
        <f>$U55+Cash_Flow!$I56</f>
        <v/>
      </c>
      <c r="V56" s="17">
        <f>Cash_Flow!$N56</f>
        <v/>
      </c>
      <c r="W56" s="17">
        <f>($W55+Cash_Flow!$J56)-(Cash_Flow!$B56+Cash_Flow!$C56)</f>
        <v/>
      </c>
    </row>
    <row r="57">
      <c r="A57" s="9" t="n">
        <v>5</v>
      </c>
      <c r="B57" s="9" t="n">
        <v>55</v>
      </c>
      <c r="C57" s="10" t="n">
        <v>500000</v>
      </c>
      <c r="D57" s="10" t="n">
        <v>0</v>
      </c>
      <c r="E57" s="10" t="n">
        <v>250000</v>
      </c>
      <c r="F57" s="8" t="n">
        <v>59</v>
      </c>
      <c r="G57" s="8" t="n">
        <v>103</v>
      </c>
      <c r="H57" s="10" t="n">
        <v>3540000</v>
      </c>
      <c r="I57" s="10" t="n">
        <v>6180000</v>
      </c>
      <c r="J57" s="16" t="n">
        <v>373841.07</v>
      </c>
      <c r="K57" s="16" t="n">
        <v>0</v>
      </c>
      <c r="L57" s="16" t="n">
        <v>55530000</v>
      </c>
      <c r="M57" s="17">
        <f>$M56+Cash_Flow!$E57</f>
        <v/>
      </c>
      <c r="N57" s="17">
        <f>$N56+Income_Statement!$M57</f>
        <v/>
      </c>
      <c r="O57" s="17">
        <f>IF(Cash_Flow!$F57&lt;=0,0,$O56+(Cash_Flow!$F57+Cash_Flow!$G57))</f>
        <v/>
      </c>
      <c r="P57" s="17">
        <f>Income_Statement!$P57</f>
        <v/>
      </c>
      <c r="Q57" s="17">
        <f>$Q56+Income_Statement!$P57</f>
        <v/>
      </c>
      <c r="R57" s="17">
        <f>$R56+Income_Statement!$Q57</f>
        <v/>
      </c>
      <c r="S57" s="17">
        <f>Income_Statement!$R57</f>
        <v/>
      </c>
      <c r="T57" s="17">
        <f>Income_Statement!$Q57</f>
        <v/>
      </c>
      <c r="U57" s="17">
        <f>$U56+Cash_Flow!$I57</f>
        <v/>
      </c>
      <c r="V57" s="17">
        <f>Cash_Flow!$N57</f>
        <v/>
      </c>
      <c r="W57" s="17">
        <f>($W56+Cash_Flow!$J57)-(Cash_Flow!$B57+Cash_Flow!$C57)</f>
        <v/>
      </c>
    </row>
    <row r="58">
      <c r="A58" s="9" t="n">
        <v>5</v>
      </c>
      <c r="B58" s="9" t="n">
        <v>56</v>
      </c>
      <c r="C58" s="10" t="n">
        <v>500000</v>
      </c>
      <c r="D58" s="10" t="n">
        <v>0</v>
      </c>
      <c r="E58" s="10" t="n">
        <v>250000</v>
      </c>
      <c r="F58" s="8" t="n">
        <v>59</v>
      </c>
      <c r="G58" s="8" t="n">
        <v>109</v>
      </c>
      <c r="H58" s="10" t="n">
        <v>3540000</v>
      </c>
      <c r="I58" s="10" t="n">
        <v>6540000</v>
      </c>
      <c r="J58" s="16" t="n">
        <v>373841.07</v>
      </c>
      <c r="K58" s="16" t="n">
        <v>360000</v>
      </c>
      <c r="L58" s="16" t="n">
        <v>57300000</v>
      </c>
      <c r="M58" s="17">
        <f>$M57+Cash_Flow!$E58</f>
        <v/>
      </c>
      <c r="N58" s="17">
        <f>$N57+Income_Statement!$M58</f>
        <v/>
      </c>
      <c r="O58" s="17">
        <f>IF(Cash_Flow!$F58&lt;=0,0,$O57+(Cash_Flow!$F58+Cash_Flow!$G58))</f>
        <v/>
      </c>
      <c r="P58" s="17">
        <f>Income_Statement!$P58</f>
        <v/>
      </c>
      <c r="Q58" s="17">
        <f>$Q57+Income_Statement!$P58</f>
        <v/>
      </c>
      <c r="R58" s="17">
        <f>$R57+Income_Statement!$Q58</f>
        <v/>
      </c>
      <c r="S58" s="17">
        <f>Income_Statement!$R58</f>
        <v/>
      </c>
      <c r="T58" s="17">
        <f>Income_Statement!$Q58</f>
        <v/>
      </c>
      <c r="U58" s="17">
        <f>$U57+Cash_Flow!$I58</f>
        <v/>
      </c>
      <c r="V58" s="17">
        <f>Cash_Flow!$N58</f>
        <v/>
      </c>
      <c r="W58" s="17">
        <f>($W57+Cash_Flow!$J58)-(Cash_Flow!$B58+Cash_Flow!$C58)</f>
        <v/>
      </c>
    </row>
    <row r="59">
      <c r="A59" s="9" t="n">
        <v>5</v>
      </c>
      <c r="B59" s="9" t="n">
        <v>57</v>
      </c>
      <c r="C59" s="10" t="n">
        <v>500000</v>
      </c>
      <c r="D59" s="10" t="n">
        <v>0</v>
      </c>
      <c r="E59" s="10" t="n">
        <v>250000</v>
      </c>
      <c r="F59" s="8" t="n">
        <v>61</v>
      </c>
      <c r="G59" s="8" t="n">
        <v>109</v>
      </c>
      <c r="H59" s="10" t="n">
        <v>3660000</v>
      </c>
      <c r="I59" s="10" t="n">
        <v>6540000</v>
      </c>
      <c r="J59" s="16" t="n">
        <v>386584.27</v>
      </c>
      <c r="K59" s="16" t="n">
        <v>0</v>
      </c>
      <c r="L59" s="16" t="n">
        <v>59130000</v>
      </c>
      <c r="M59" s="17">
        <f>$M58+Cash_Flow!$E59</f>
        <v/>
      </c>
      <c r="N59" s="17">
        <f>$N58+Income_Statement!$M59</f>
        <v/>
      </c>
      <c r="O59" s="17">
        <f>IF(Cash_Flow!$F59&lt;=0,0,$O58+(Cash_Flow!$F59+Cash_Flow!$G59))</f>
        <v/>
      </c>
      <c r="P59" s="17">
        <f>Income_Statement!$P59</f>
        <v/>
      </c>
      <c r="Q59" s="17">
        <f>$Q58+Income_Statement!$P59</f>
        <v/>
      </c>
      <c r="R59" s="17">
        <f>$R58+Income_Statement!$Q59</f>
        <v/>
      </c>
      <c r="S59" s="17">
        <f>Income_Statement!$R59</f>
        <v/>
      </c>
      <c r="T59" s="17">
        <f>Income_Statement!$Q59</f>
        <v/>
      </c>
      <c r="U59" s="17">
        <f>$U58+Cash_Flow!$I59</f>
        <v/>
      </c>
      <c r="V59" s="17">
        <f>Cash_Flow!$N59</f>
        <v/>
      </c>
      <c r="W59" s="17">
        <f>($W58+Cash_Flow!$J59)-(Cash_Flow!$B59+Cash_Flow!$C59)</f>
        <v/>
      </c>
    </row>
    <row r="60">
      <c r="A60" s="9" t="n">
        <v>5</v>
      </c>
      <c r="B60" s="9" t="n">
        <v>58</v>
      </c>
      <c r="C60" s="10" t="n">
        <v>500000</v>
      </c>
      <c r="D60" s="10" t="n">
        <v>0</v>
      </c>
      <c r="E60" s="10" t="n">
        <v>250000</v>
      </c>
      <c r="F60" s="8" t="n">
        <v>61</v>
      </c>
      <c r="G60" s="8" t="n">
        <v>114</v>
      </c>
      <c r="H60" s="10" t="n">
        <v>3660000</v>
      </c>
      <c r="I60" s="10" t="n">
        <v>6840000</v>
      </c>
      <c r="J60" s="16" t="n">
        <v>386584.27</v>
      </c>
      <c r="K60" s="16" t="n">
        <v>300000</v>
      </c>
      <c r="L60" s="16" t="n">
        <v>60960000</v>
      </c>
      <c r="M60" s="17">
        <f>$M59+Cash_Flow!$E60</f>
        <v/>
      </c>
      <c r="N60" s="17">
        <f>$N59+Income_Statement!$M60</f>
        <v/>
      </c>
      <c r="O60" s="17">
        <f>IF(Cash_Flow!$F60&lt;=0,0,$O59+(Cash_Flow!$F60+Cash_Flow!$G60))</f>
        <v/>
      </c>
      <c r="P60" s="17">
        <f>Income_Statement!$P60</f>
        <v/>
      </c>
      <c r="Q60" s="17">
        <f>$Q59+Income_Statement!$P60</f>
        <v/>
      </c>
      <c r="R60" s="17">
        <f>$R59+Income_Statement!$Q60</f>
        <v/>
      </c>
      <c r="S60" s="17">
        <f>Income_Statement!$R60</f>
        <v/>
      </c>
      <c r="T60" s="17">
        <f>Income_Statement!$Q60</f>
        <v/>
      </c>
      <c r="U60" s="17">
        <f>$U59+Cash_Flow!$I60</f>
        <v/>
      </c>
      <c r="V60" s="17">
        <f>Cash_Flow!$N60</f>
        <v/>
      </c>
      <c r="W60" s="17">
        <f>($W59+Cash_Flow!$J60)-(Cash_Flow!$B60+Cash_Flow!$C60)</f>
        <v/>
      </c>
    </row>
    <row r="61">
      <c r="A61" s="9" t="n">
        <v>5</v>
      </c>
      <c r="B61" s="9" t="n">
        <v>59</v>
      </c>
      <c r="C61" s="10" t="n">
        <v>500000</v>
      </c>
      <c r="D61" s="10" t="n">
        <v>0</v>
      </c>
      <c r="E61" s="10" t="n">
        <v>250000</v>
      </c>
      <c r="F61" s="8" t="n">
        <v>63</v>
      </c>
      <c r="G61" s="8" t="n">
        <v>114</v>
      </c>
      <c r="H61" s="10" t="n">
        <v>3780000</v>
      </c>
      <c r="I61" s="10" t="n">
        <v>6840000</v>
      </c>
      <c r="J61" s="16" t="n">
        <v>399327.47</v>
      </c>
      <c r="K61" s="16" t="n">
        <v>0</v>
      </c>
      <c r="L61" s="16" t="n">
        <v>62850000</v>
      </c>
      <c r="M61" s="17">
        <f>$M60+Cash_Flow!$E61</f>
        <v/>
      </c>
      <c r="N61" s="17">
        <f>$N60+Income_Statement!$M61</f>
        <v/>
      </c>
      <c r="O61" s="17">
        <f>IF(Cash_Flow!$F61&lt;=0,0,$O60+(Cash_Flow!$F61+Cash_Flow!$G61))</f>
        <v/>
      </c>
      <c r="P61" s="17">
        <f>Income_Statement!$P61</f>
        <v/>
      </c>
      <c r="Q61" s="17">
        <f>$Q60+Income_Statement!$P61</f>
        <v/>
      </c>
      <c r="R61" s="17">
        <f>$R60+Income_Statement!$Q61</f>
        <v/>
      </c>
      <c r="S61" s="17">
        <f>Income_Statement!$R61</f>
        <v/>
      </c>
      <c r="T61" s="17">
        <f>Income_Statement!$Q61</f>
        <v/>
      </c>
      <c r="U61" s="17">
        <f>$U60+Cash_Flow!$I61</f>
        <v/>
      </c>
      <c r="V61" s="17">
        <f>Cash_Flow!$N61</f>
        <v/>
      </c>
      <c r="W61" s="17">
        <f>($W60+Cash_Flow!$J61)-(Cash_Flow!$B61+Cash_Flow!$C61)</f>
        <v/>
      </c>
    </row>
    <row r="62">
      <c r="A62" s="9" t="n">
        <v>5</v>
      </c>
      <c r="B62" s="9" t="n">
        <v>60</v>
      </c>
      <c r="C62" s="10" t="n">
        <v>500000</v>
      </c>
      <c r="D62" s="10" t="n">
        <v>0</v>
      </c>
      <c r="E62" s="10" t="n">
        <v>250000</v>
      </c>
      <c r="F62" s="8" t="n">
        <v>63</v>
      </c>
      <c r="G62" s="8" t="n">
        <v>120</v>
      </c>
      <c r="H62" s="10" t="n">
        <v>3780000</v>
      </c>
      <c r="I62" s="10" t="n">
        <v>7200000</v>
      </c>
      <c r="J62" s="16" t="n">
        <v>399327.47</v>
      </c>
      <c r="K62" s="16" t="n">
        <v>360000</v>
      </c>
      <c r="L62" s="16" t="n">
        <v>64740000</v>
      </c>
      <c r="M62" s="17">
        <f>$M61+Cash_Flow!$E62</f>
        <v/>
      </c>
      <c r="N62" s="17">
        <f>$N61+Income_Statement!$M62</f>
        <v/>
      </c>
      <c r="O62" s="17">
        <f>IF(Cash_Flow!$F62&lt;=0,0,$O61+(Cash_Flow!$F62+Cash_Flow!$G62))</f>
        <v/>
      </c>
      <c r="P62" s="17">
        <f>Income_Statement!$P62</f>
        <v/>
      </c>
      <c r="Q62" s="17">
        <f>$Q61+Income_Statement!$P62</f>
        <v/>
      </c>
      <c r="R62" s="17">
        <f>$R61+Income_Statement!$Q62</f>
        <v/>
      </c>
      <c r="S62" s="17">
        <f>Income_Statement!$R62</f>
        <v/>
      </c>
      <c r="T62" s="17">
        <f>Income_Statement!$Q62</f>
        <v/>
      </c>
      <c r="U62" s="17">
        <f>$U61+Cash_Flow!$I62</f>
        <v/>
      </c>
      <c r="V62" s="17">
        <f>Cash_Flow!$N62</f>
        <v/>
      </c>
      <c r="W62" s="17">
        <f>($W61+Cash_Flow!$J62)-(Cash_Flow!$B62+Cash_Flow!$C62)</f>
        <v/>
      </c>
    </row>
  </sheetData>
  <mergeCells count="1">
    <mergeCell ref="B1:H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0"/>
  <sheetViews>
    <sheetView zoomScale="160" zoomScaleNormal="160" workbookViewId="0">
      <pane ySplit="4" topLeftCell="A5" activePane="bottomLeft" state="frozen"/>
      <selection pane="bottomLeft" activeCell="D9" sqref="D9"/>
    </sheetView>
  </sheetViews>
  <sheetFormatPr baseColWidth="8" defaultColWidth="8.7109375" defaultRowHeight="15" customHeight="1"/>
  <cols>
    <col width="12" customWidth="1" min="1" max="1"/>
    <col width="18" customWidth="1" min="2" max="2"/>
    <col width="14" customWidth="1" min="3" max="5"/>
    <col width="18" customWidth="1" min="6" max="6"/>
  </cols>
  <sheetData>
    <row r="1" ht="18.75" customHeight="1">
      <c r="A1" s="20" t="inlineStr">
        <is>
          <t>Loan Amortisation - linked to Cash_Flow</t>
        </is>
      </c>
    </row>
    <row r="2" ht="28.35" customHeight="1">
      <c r="A2" s="22" t="inlineStr">
        <is>
          <t>Prime-linked amortising bank facility: N$250,000 at 10.00% p.a. over 54 months, with payments starting in operating month 5. Opening balance includes the draw in the first loan month.</t>
        </is>
      </c>
      <c r="B2" s="28" t="n"/>
      <c r="C2" s="28" t="n"/>
      <c r="D2" s="28" t="n"/>
      <c r="E2" s="28" t="n"/>
      <c r="F2" s="29" t="n"/>
    </row>
    <row r="4">
      <c r="A4" s="2" t="inlineStr">
        <is>
          <t>Loan month</t>
        </is>
      </c>
      <c r="B4" s="2" t="inlineStr">
        <is>
          <t>Opening balance</t>
        </is>
      </c>
      <c r="C4" s="2" t="inlineStr">
        <is>
          <t>Interest</t>
        </is>
      </c>
      <c r="D4" s="2" t="inlineStr">
        <is>
          <t>Principal</t>
        </is>
      </c>
      <c r="E4" s="2" t="inlineStr">
        <is>
          <t>Payment</t>
        </is>
      </c>
      <c r="F4" s="2" t="inlineStr">
        <is>
          <t>Closing balance</t>
        </is>
      </c>
    </row>
    <row r="5">
      <c r="A5" s="8" t="n">
        <v>1</v>
      </c>
      <c r="B5" s="10" t="n">
        <v>250000</v>
      </c>
      <c r="C5" s="10" t="n">
        <v>2083.33</v>
      </c>
      <c r="D5" s="10" t="n">
        <v>0</v>
      </c>
      <c r="E5" s="10" t="n">
        <v>2083.33</v>
      </c>
      <c r="F5" s="10" t="n">
        <v>250000</v>
      </c>
    </row>
    <row r="6">
      <c r="A6" s="8" t="n">
        <v>2</v>
      </c>
      <c r="B6" s="10" t="n">
        <v>250000</v>
      </c>
      <c r="C6" s="10" t="n">
        <v>2083.33</v>
      </c>
      <c r="D6" s="10" t="n">
        <v>0</v>
      </c>
      <c r="E6" s="10" t="n">
        <v>2083.33</v>
      </c>
      <c r="F6" s="10" t="n">
        <v>250000</v>
      </c>
    </row>
    <row r="7">
      <c r="A7" s="8" t="n">
        <v>3</v>
      </c>
      <c r="B7" s="10" t="n">
        <v>250000</v>
      </c>
      <c r="C7" s="10" t="n">
        <v>2083.33</v>
      </c>
      <c r="D7" s="10" t="n">
        <v>0</v>
      </c>
      <c r="E7" s="10" t="n">
        <v>2083.33</v>
      </c>
      <c r="F7" s="10" t="n">
        <v>250000</v>
      </c>
    </row>
    <row r="8">
      <c r="A8" s="8" t="n">
        <v>4</v>
      </c>
      <c r="B8" s="10" t="n">
        <v>250000</v>
      </c>
      <c r="C8" s="10" t="n">
        <v>2083.33</v>
      </c>
      <c r="D8" s="10" t="n">
        <v>0</v>
      </c>
      <c r="E8" s="10" t="n">
        <v>2083.33</v>
      </c>
      <c r="F8" s="10" t="n">
        <v>250000</v>
      </c>
    </row>
    <row r="9">
      <c r="A9" s="8" t="n">
        <v>5</v>
      </c>
      <c r="B9" s="10" t="n">
        <v>250000</v>
      </c>
      <c r="C9" s="10" t="n">
        <v>2083.33</v>
      </c>
      <c r="D9" s="10" t="n">
        <v>0</v>
      </c>
      <c r="E9" s="10" t="n">
        <v>2083.33</v>
      </c>
      <c r="F9" s="10" t="n">
        <v>250000</v>
      </c>
    </row>
    <row r="10">
      <c r="A10" s="8" t="n">
        <v>6</v>
      </c>
      <c r="B10" s="10" t="n">
        <v>250000</v>
      </c>
      <c r="C10" s="10" t="n">
        <v>2083.33</v>
      </c>
      <c r="D10" s="10" t="n">
        <v>0</v>
      </c>
      <c r="E10" s="10" t="n">
        <v>2083.33</v>
      </c>
      <c r="F10" s="10" t="n">
        <v>250000</v>
      </c>
    </row>
    <row r="11">
      <c r="A11" s="8" t="n">
        <v>7</v>
      </c>
      <c r="B11" s="10" t="n">
        <v>250000</v>
      </c>
      <c r="C11" s="10" t="n">
        <v>2083.33</v>
      </c>
      <c r="D11" s="10" t="n">
        <v>0</v>
      </c>
      <c r="E11" s="10" t="n">
        <v>2083.33</v>
      </c>
      <c r="F11" s="10" t="n">
        <v>250000</v>
      </c>
    </row>
    <row r="12">
      <c r="A12" s="8" t="n">
        <v>8</v>
      </c>
      <c r="B12" s="10" t="n">
        <v>250000</v>
      </c>
      <c r="C12" s="10" t="n">
        <v>2083.33</v>
      </c>
      <c r="D12" s="10" t="n">
        <v>0</v>
      </c>
      <c r="E12" s="10" t="n">
        <v>2083.33</v>
      </c>
      <c r="F12" s="10" t="n">
        <v>250000</v>
      </c>
    </row>
    <row r="13">
      <c r="A13" s="8" t="n">
        <v>9</v>
      </c>
      <c r="B13" s="10" t="n">
        <v>250000</v>
      </c>
      <c r="C13" s="10" t="n">
        <v>2083.33</v>
      </c>
      <c r="D13" s="10" t="n">
        <v>0</v>
      </c>
      <c r="E13" s="10" t="n">
        <v>2083.33</v>
      </c>
      <c r="F13" s="10" t="n">
        <v>250000</v>
      </c>
    </row>
    <row r="14">
      <c r="A14" s="8" t="n">
        <v>10</v>
      </c>
      <c r="B14" s="10" t="n">
        <v>250000</v>
      </c>
      <c r="C14" s="10" t="n">
        <v>2083.33</v>
      </c>
      <c r="D14" s="10" t="n">
        <v>0</v>
      </c>
      <c r="E14" s="10" t="n">
        <v>2083.33</v>
      </c>
      <c r="F14" s="10" t="n">
        <v>250000</v>
      </c>
    </row>
    <row r="15">
      <c r="A15" s="8" t="n">
        <v>11</v>
      </c>
      <c r="B15" s="10" t="n">
        <v>250000</v>
      </c>
      <c r="C15" s="10" t="n">
        <v>2083.33</v>
      </c>
      <c r="D15" s="10" t="n">
        <v>0</v>
      </c>
      <c r="E15" s="10" t="n">
        <v>2083.33</v>
      </c>
      <c r="F15" s="10" t="n">
        <v>250000</v>
      </c>
    </row>
    <row r="16">
      <c r="A16" s="8" t="n">
        <v>12</v>
      </c>
      <c r="B16" s="10" t="n">
        <v>250000</v>
      </c>
      <c r="C16" s="10" t="n">
        <v>2083.33</v>
      </c>
      <c r="D16" s="10" t="n">
        <v>0</v>
      </c>
      <c r="E16" s="10" t="n">
        <v>2083.33</v>
      </c>
      <c r="F16" s="10" t="n">
        <v>250000</v>
      </c>
    </row>
    <row r="17">
      <c r="A17" s="8" t="n">
        <v>13</v>
      </c>
      <c r="B17" s="10" t="n">
        <v>250000</v>
      </c>
      <c r="C17" s="10" t="n">
        <v>2083.33</v>
      </c>
      <c r="D17" s="10" t="n">
        <v>0</v>
      </c>
      <c r="E17" s="10" t="n">
        <v>2083.33</v>
      </c>
      <c r="F17" s="10" t="n">
        <v>250000</v>
      </c>
    </row>
    <row r="18">
      <c r="A18" s="8" t="n">
        <v>14</v>
      </c>
      <c r="B18" s="10" t="n">
        <v>250000</v>
      </c>
      <c r="C18" s="10" t="n">
        <v>2083.33</v>
      </c>
      <c r="D18" s="10" t="n">
        <v>0</v>
      </c>
      <c r="E18" s="10" t="n">
        <v>2083.33</v>
      </c>
      <c r="F18" s="10" t="n">
        <v>250000</v>
      </c>
    </row>
    <row r="19">
      <c r="A19" s="8" t="n">
        <v>15</v>
      </c>
      <c r="B19" s="10" t="n">
        <v>250000</v>
      </c>
      <c r="C19" s="10" t="n">
        <v>2083.33</v>
      </c>
      <c r="D19" s="10" t="n">
        <v>0</v>
      </c>
      <c r="E19" s="10" t="n">
        <v>2083.33</v>
      </c>
      <c r="F19" s="10" t="n">
        <v>250000</v>
      </c>
    </row>
    <row r="20">
      <c r="A20" s="8" t="n">
        <v>16</v>
      </c>
      <c r="B20" s="10" t="n">
        <v>250000</v>
      </c>
      <c r="C20" s="10" t="n">
        <v>2083.33</v>
      </c>
      <c r="D20" s="10" t="n">
        <v>0</v>
      </c>
      <c r="E20" s="10" t="n">
        <v>2083.33</v>
      </c>
      <c r="F20" s="10" t="n">
        <v>250000</v>
      </c>
    </row>
    <row r="21">
      <c r="A21" s="8" t="n">
        <v>17</v>
      </c>
      <c r="B21" s="10" t="n">
        <v>250000</v>
      </c>
      <c r="C21" s="10" t="n">
        <v>2083.33</v>
      </c>
      <c r="D21" s="10" t="n">
        <v>0</v>
      </c>
      <c r="E21" s="10" t="n">
        <v>2083.33</v>
      </c>
      <c r="F21" s="10" t="n">
        <v>250000</v>
      </c>
    </row>
    <row r="22">
      <c r="A22" s="8" t="n">
        <v>18</v>
      </c>
      <c r="B22" s="10" t="n">
        <v>250000</v>
      </c>
      <c r="C22" s="10" t="n">
        <v>2083.33</v>
      </c>
      <c r="D22" s="10" t="n">
        <v>0</v>
      </c>
      <c r="E22" s="10" t="n">
        <v>2083.33</v>
      </c>
      <c r="F22" s="10" t="n">
        <v>250000</v>
      </c>
    </row>
    <row r="23">
      <c r="A23" s="8" t="n">
        <v>19</v>
      </c>
      <c r="B23" s="10" t="n">
        <v>250000</v>
      </c>
      <c r="C23" s="10" t="n">
        <v>2083.33</v>
      </c>
      <c r="D23" s="10" t="n">
        <v>0</v>
      </c>
      <c r="E23" s="10" t="n">
        <v>2083.33</v>
      </c>
      <c r="F23" s="10" t="n">
        <v>250000</v>
      </c>
    </row>
    <row r="24">
      <c r="A24" s="8" t="n">
        <v>20</v>
      </c>
      <c r="B24" s="10" t="n">
        <v>250000</v>
      </c>
      <c r="C24" s="10" t="n">
        <v>2083.33</v>
      </c>
      <c r="D24" s="10" t="n">
        <v>0</v>
      </c>
      <c r="E24" s="10" t="n">
        <v>2083.33</v>
      </c>
      <c r="F24" s="10" t="n">
        <v>250000</v>
      </c>
    </row>
    <row r="25">
      <c r="A25" s="8" t="n">
        <v>21</v>
      </c>
      <c r="B25" s="10" t="n">
        <v>250000</v>
      </c>
      <c r="C25" s="10" t="n">
        <v>2083.33</v>
      </c>
      <c r="D25" s="10" t="n">
        <v>0</v>
      </c>
      <c r="E25" s="10" t="n">
        <v>2083.33</v>
      </c>
      <c r="F25" s="10" t="n">
        <v>250000</v>
      </c>
    </row>
    <row r="26">
      <c r="A26" s="8" t="n">
        <v>22</v>
      </c>
      <c r="B26" s="10" t="n">
        <v>250000</v>
      </c>
      <c r="C26" s="10" t="n">
        <v>2083.33</v>
      </c>
      <c r="D26" s="10" t="n">
        <v>0</v>
      </c>
      <c r="E26" s="10" t="n">
        <v>2083.33</v>
      </c>
      <c r="F26" s="10" t="n">
        <v>250000</v>
      </c>
    </row>
    <row r="27">
      <c r="A27" s="8" t="n">
        <v>23</v>
      </c>
      <c r="B27" s="10" t="n">
        <v>250000</v>
      </c>
      <c r="C27" s="10" t="n">
        <v>2083.33</v>
      </c>
      <c r="D27" s="10" t="n">
        <v>0</v>
      </c>
      <c r="E27" s="10" t="n">
        <v>2083.33</v>
      </c>
      <c r="F27" s="10" t="n">
        <v>250000</v>
      </c>
    </row>
    <row r="28">
      <c r="A28" s="8" t="n">
        <v>24</v>
      </c>
      <c r="B28" s="10" t="n">
        <v>250000</v>
      </c>
      <c r="C28" s="10" t="n">
        <v>2083.33</v>
      </c>
      <c r="D28" s="10" t="n">
        <v>0</v>
      </c>
      <c r="E28" s="10" t="n">
        <v>2083.33</v>
      </c>
      <c r="F28" s="10" t="n">
        <v>250000</v>
      </c>
    </row>
    <row r="29">
      <c r="A29" s="8" t="n">
        <v>25</v>
      </c>
      <c r="B29" s="10" t="n">
        <v>250000</v>
      </c>
      <c r="C29" s="10" t="n">
        <v>2083.33</v>
      </c>
      <c r="D29" s="10" t="n">
        <v>0</v>
      </c>
      <c r="E29" s="10" t="n">
        <v>2083.33</v>
      </c>
      <c r="F29" s="10" t="n">
        <v>250000</v>
      </c>
    </row>
    <row r="30">
      <c r="A30" s="8" t="n">
        <v>26</v>
      </c>
      <c r="B30" s="10" t="n">
        <v>250000</v>
      </c>
      <c r="C30" s="10" t="n">
        <v>2083.33</v>
      </c>
      <c r="D30" s="10" t="n">
        <v>0</v>
      </c>
      <c r="E30" s="10" t="n">
        <v>2083.33</v>
      </c>
      <c r="F30" s="10" t="n">
        <v>250000</v>
      </c>
    </row>
    <row r="31">
      <c r="A31" s="8" t="n">
        <v>27</v>
      </c>
      <c r="B31" s="10" t="n">
        <v>250000</v>
      </c>
      <c r="C31" s="10" t="n">
        <v>2083.33</v>
      </c>
      <c r="D31" s="10" t="n">
        <v>0</v>
      </c>
      <c r="E31" s="10" t="n">
        <v>2083.33</v>
      </c>
      <c r="F31" s="10" t="n">
        <v>250000</v>
      </c>
    </row>
    <row r="32">
      <c r="A32" s="8" t="n">
        <v>28</v>
      </c>
      <c r="B32" s="10" t="n">
        <v>250000</v>
      </c>
      <c r="C32" s="10" t="n">
        <v>2083.33</v>
      </c>
      <c r="D32" s="10" t="n">
        <v>0</v>
      </c>
      <c r="E32" s="10" t="n">
        <v>2083.33</v>
      </c>
      <c r="F32" s="10" t="n">
        <v>250000</v>
      </c>
    </row>
    <row r="33">
      <c r="A33" s="8" t="n">
        <v>29</v>
      </c>
      <c r="B33" s="10" t="n">
        <v>250000</v>
      </c>
      <c r="C33" s="10" t="n">
        <v>2083.33</v>
      </c>
      <c r="D33" s="10" t="n">
        <v>0</v>
      </c>
      <c r="E33" s="10" t="n">
        <v>2083.33</v>
      </c>
      <c r="F33" s="10" t="n">
        <v>250000</v>
      </c>
    </row>
    <row r="34">
      <c r="A34" s="8" t="n">
        <v>30</v>
      </c>
      <c r="B34" s="10" t="n">
        <v>250000</v>
      </c>
      <c r="C34" s="10" t="n">
        <v>2083.33</v>
      </c>
      <c r="D34" s="10" t="n">
        <v>0</v>
      </c>
      <c r="E34" s="10" t="n">
        <v>2083.33</v>
      </c>
      <c r="F34" s="10" t="n">
        <v>250000</v>
      </c>
    </row>
    <row r="35">
      <c r="A35" s="8" t="n">
        <v>31</v>
      </c>
      <c r="B35" s="10" t="n">
        <v>250000</v>
      </c>
      <c r="C35" s="10" t="n">
        <v>2083.33</v>
      </c>
      <c r="D35" s="10" t="n">
        <v>0</v>
      </c>
      <c r="E35" s="10" t="n">
        <v>2083.33</v>
      </c>
      <c r="F35" s="10" t="n">
        <v>250000</v>
      </c>
    </row>
    <row r="36">
      <c r="A36" s="8" t="n">
        <v>32</v>
      </c>
      <c r="B36" s="10" t="n">
        <v>250000</v>
      </c>
      <c r="C36" s="10" t="n">
        <v>2083.33</v>
      </c>
      <c r="D36" s="10" t="n">
        <v>0</v>
      </c>
      <c r="E36" s="10" t="n">
        <v>2083.33</v>
      </c>
      <c r="F36" s="10" t="n">
        <v>250000</v>
      </c>
    </row>
    <row r="37">
      <c r="A37" s="8" t="n">
        <v>33</v>
      </c>
      <c r="B37" s="10" t="n">
        <v>250000</v>
      </c>
      <c r="C37" s="10" t="n">
        <v>2083.33</v>
      </c>
      <c r="D37" s="10" t="n">
        <v>0</v>
      </c>
      <c r="E37" s="10" t="n">
        <v>2083.33</v>
      </c>
      <c r="F37" s="10" t="n">
        <v>250000</v>
      </c>
    </row>
    <row r="38">
      <c r="A38" s="8" t="n">
        <v>34</v>
      </c>
      <c r="B38" s="10" t="n">
        <v>250000</v>
      </c>
      <c r="C38" s="10" t="n">
        <v>2083.33</v>
      </c>
      <c r="D38" s="10" t="n">
        <v>0</v>
      </c>
      <c r="E38" s="10" t="n">
        <v>2083.33</v>
      </c>
      <c r="F38" s="10" t="n">
        <v>250000</v>
      </c>
    </row>
    <row r="39">
      <c r="A39" s="8" t="n">
        <v>35</v>
      </c>
      <c r="B39" s="10" t="n">
        <v>250000</v>
      </c>
      <c r="C39" s="10" t="n">
        <v>2083.33</v>
      </c>
      <c r="D39" s="10" t="n">
        <v>0</v>
      </c>
      <c r="E39" s="10" t="n">
        <v>2083.33</v>
      </c>
      <c r="F39" s="10" t="n">
        <v>250000</v>
      </c>
    </row>
    <row r="40">
      <c r="A40" s="8" t="n">
        <v>36</v>
      </c>
      <c r="B40" s="10" t="n">
        <v>250000</v>
      </c>
      <c r="C40" s="10" t="n">
        <v>2083.33</v>
      </c>
      <c r="D40" s="10" t="n">
        <v>0</v>
      </c>
      <c r="E40" s="10" t="n">
        <v>2083.33</v>
      </c>
      <c r="F40" s="10" t="n">
        <v>250000</v>
      </c>
    </row>
    <row r="41">
      <c r="A41" s="8" t="n">
        <v>37</v>
      </c>
      <c r="B41" s="10" t="n">
        <v>250000</v>
      </c>
      <c r="C41" s="10" t="n">
        <v>2083.33</v>
      </c>
      <c r="D41" s="10" t="n">
        <v>0</v>
      </c>
      <c r="E41" s="10" t="n">
        <v>2083.33</v>
      </c>
      <c r="F41" s="10" t="n">
        <v>250000</v>
      </c>
    </row>
    <row r="42">
      <c r="A42" s="8" t="n">
        <v>38</v>
      </c>
      <c r="B42" s="10" t="n">
        <v>250000</v>
      </c>
      <c r="C42" s="10" t="n">
        <v>2083.33</v>
      </c>
      <c r="D42" s="10" t="n">
        <v>0</v>
      </c>
      <c r="E42" s="10" t="n">
        <v>2083.33</v>
      </c>
      <c r="F42" s="10" t="n">
        <v>250000</v>
      </c>
    </row>
    <row r="43">
      <c r="A43" s="8" t="n">
        <v>39</v>
      </c>
      <c r="B43" s="10" t="n">
        <v>250000</v>
      </c>
      <c r="C43" s="10" t="n">
        <v>2083.33</v>
      </c>
      <c r="D43" s="10" t="n">
        <v>0</v>
      </c>
      <c r="E43" s="10" t="n">
        <v>2083.33</v>
      </c>
      <c r="F43" s="10" t="n">
        <v>250000</v>
      </c>
    </row>
    <row r="44">
      <c r="A44" s="8" t="n">
        <v>40</v>
      </c>
      <c r="B44" s="10" t="n">
        <v>250000</v>
      </c>
      <c r="C44" s="10" t="n">
        <v>2083.33</v>
      </c>
      <c r="D44" s="10" t="n">
        <v>0</v>
      </c>
      <c r="E44" s="10" t="n">
        <v>2083.33</v>
      </c>
      <c r="F44" s="10" t="n">
        <v>250000</v>
      </c>
    </row>
    <row r="45">
      <c r="A45" s="8" t="n">
        <v>41</v>
      </c>
      <c r="B45" s="10" t="n">
        <v>250000</v>
      </c>
      <c r="C45" s="10" t="n">
        <v>2083.33</v>
      </c>
      <c r="D45" s="10" t="n">
        <v>0</v>
      </c>
      <c r="E45" s="10" t="n">
        <v>2083.33</v>
      </c>
      <c r="F45" s="10" t="n">
        <v>250000</v>
      </c>
    </row>
    <row r="46">
      <c r="A46" s="8" t="n">
        <v>42</v>
      </c>
      <c r="B46" s="10" t="n">
        <v>250000</v>
      </c>
      <c r="C46" s="10" t="n">
        <v>2083.33</v>
      </c>
      <c r="D46" s="10" t="n">
        <v>0</v>
      </c>
      <c r="E46" s="10" t="n">
        <v>2083.33</v>
      </c>
      <c r="F46" s="10" t="n">
        <v>250000</v>
      </c>
    </row>
    <row r="47">
      <c r="A47" s="8" t="n">
        <v>43</v>
      </c>
      <c r="B47" s="10" t="n">
        <v>250000</v>
      </c>
      <c r="C47" s="10" t="n">
        <v>2083.33</v>
      </c>
      <c r="D47" s="10" t="n">
        <v>0</v>
      </c>
      <c r="E47" s="10" t="n">
        <v>2083.33</v>
      </c>
      <c r="F47" s="10" t="n">
        <v>250000</v>
      </c>
    </row>
    <row r="48">
      <c r="A48" s="8" t="n">
        <v>44</v>
      </c>
      <c r="B48" s="10" t="n">
        <v>250000</v>
      </c>
      <c r="C48" s="10" t="n">
        <v>2083.33</v>
      </c>
      <c r="D48" s="10" t="n">
        <v>0</v>
      </c>
      <c r="E48" s="10" t="n">
        <v>2083.33</v>
      </c>
      <c r="F48" s="10" t="n">
        <v>250000</v>
      </c>
    </row>
    <row r="49">
      <c r="A49" s="8" t="n">
        <v>45</v>
      </c>
      <c r="B49" s="10" t="n">
        <v>250000</v>
      </c>
      <c r="C49" s="10" t="n">
        <v>2083.33</v>
      </c>
      <c r="D49" s="10" t="n">
        <v>0</v>
      </c>
      <c r="E49" s="10" t="n">
        <v>2083.33</v>
      </c>
      <c r="F49" s="10" t="n">
        <v>250000</v>
      </c>
    </row>
    <row r="50">
      <c r="A50" s="8" t="n">
        <v>46</v>
      </c>
      <c r="B50" s="10" t="n">
        <v>250000</v>
      </c>
      <c r="C50" s="10" t="n">
        <v>2083.33</v>
      </c>
      <c r="D50" s="10" t="n">
        <v>0</v>
      </c>
      <c r="E50" s="10" t="n">
        <v>2083.33</v>
      </c>
      <c r="F50" s="10" t="n">
        <v>250000</v>
      </c>
    </row>
    <row r="51">
      <c r="A51" s="8" t="n">
        <v>47</v>
      </c>
      <c r="B51" s="10" t="n">
        <v>250000</v>
      </c>
      <c r="C51" s="10" t="n">
        <v>2083.33</v>
      </c>
      <c r="D51" s="10" t="n">
        <v>0</v>
      </c>
      <c r="E51" s="10" t="n">
        <v>2083.33</v>
      </c>
      <c r="F51" s="10" t="n">
        <v>250000</v>
      </c>
    </row>
    <row r="52">
      <c r="A52" s="8" t="n">
        <v>48</v>
      </c>
      <c r="B52" s="10" t="n">
        <v>250000</v>
      </c>
      <c r="C52" s="10" t="n">
        <v>2083.33</v>
      </c>
      <c r="D52" s="10" t="n">
        <v>0</v>
      </c>
      <c r="E52" s="10" t="n">
        <v>2083.33</v>
      </c>
      <c r="F52" s="10" t="n">
        <v>250000</v>
      </c>
    </row>
    <row r="53">
      <c r="A53" s="8" t="n">
        <v>49</v>
      </c>
      <c r="B53" s="10" t="n">
        <v>250000</v>
      </c>
      <c r="C53" s="10" t="n">
        <v>2083.33</v>
      </c>
      <c r="D53" s="10" t="n">
        <v>0</v>
      </c>
      <c r="E53" s="10" t="n">
        <v>2083.33</v>
      </c>
      <c r="F53" s="10" t="n">
        <v>250000</v>
      </c>
    </row>
    <row r="54">
      <c r="A54" s="8" t="n">
        <v>50</v>
      </c>
      <c r="B54" s="10" t="n">
        <v>250000</v>
      </c>
      <c r="C54" s="10" t="n">
        <v>2083.33</v>
      </c>
      <c r="D54" s="10" t="n">
        <v>0</v>
      </c>
      <c r="E54" s="10" t="n">
        <v>2083.33</v>
      </c>
      <c r="F54" s="10" t="n">
        <v>250000</v>
      </c>
    </row>
    <row r="55">
      <c r="A55" s="8" t="n">
        <v>51</v>
      </c>
      <c r="B55" s="10" t="n">
        <v>250000</v>
      </c>
      <c r="C55" s="10" t="n">
        <v>2083.33</v>
      </c>
      <c r="D55" s="10" t="n">
        <v>0</v>
      </c>
      <c r="E55" s="10" t="n">
        <v>2083.33</v>
      </c>
      <c r="F55" s="10" t="n">
        <v>250000</v>
      </c>
    </row>
    <row r="56">
      <c r="A56" s="8" t="n">
        <v>52</v>
      </c>
      <c r="B56" s="10" t="n">
        <v>250000</v>
      </c>
      <c r="C56" s="10" t="n">
        <v>2083.33</v>
      </c>
      <c r="D56" s="10" t="n">
        <v>0</v>
      </c>
      <c r="E56" s="10" t="n">
        <v>2083.33</v>
      </c>
      <c r="F56" s="10" t="n">
        <v>250000</v>
      </c>
    </row>
    <row r="57">
      <c r="A57" s="8" t="n">
        <v>53</v>
      </c>
      <c r="B57" s="10" t="n">
        <v>250000</v>
      </c>
      <c r="C57" s="10" t="n">
        <v>2083.33</v>
      </c>
      <c r="D57" s="10" t="n">
        <v>0</v>
      </c>
      <c r="E57" s="10" t="n">
        <v>2083.33</v>
      </c>
      <c r="F57" s="10" t="n">
        <v>250000</v>
      </c>
    </row>
    <row r="58">
      <c r="A58" s="8" t="n">
        <v>54</v>
      </c>
      <c r="B58" s="10" t="n">
        <v>250000</v>
      </c>
      <c r="C58" s="10" t="n">
        <v>2083.33</v>
      </c>
      <c r="D58" s="10" t="n">
        <v>0</v>
      </c>
      <c r="E58" s="10" t="n">
        <v>2083.33</v>
      </c>
      <c r="F58" s="10" t="n">
        <v>250000</v>
      </c>
    </row>
    <row r="59">
      <c r="A59" t="n">
        <v>55</v>
      </c>
      <c r="B59" t="n">
        <v>250000</v>
      </c>
      <c r="C59" t="n">
        <v>2083.33</v>
      </c>
      <c r="D59" t="n">
        <v>0</v>
      </c>
      <c r="E59" t="n">
        <v>2083.33</v>
      </c>
      <c r="F59" t="n">
        <v>250000</v>
      </c>
    </row>
    <row r="60">
      <c r="A60" t="n">
        <v>56</v>
      </c>
      <c r="B60" t="n">
        <v>250000</v>
      </c>
      <c r="C60" t="n">
        <v>2083.33</v>
      </c>
      <c r="D60" t="n">
        <v>0</v>
      </c>
      <c r="E60" t="n">
        <v>2083.33</v>
      </c>
      <c r="F60" t="n">
        <v>250000</v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2026-05-03T10:01:44Z</dcterms:created>
  <dcterms:modified xsi:type="dcterms:W3CDTF">2026-05-03T10:01:44Z</dcterms:modified>
  <cp:lastModifiedBy>Sebbi Kankondi</cp:lastModifiedBy>
</cp:coreProperties>
</file>