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bbi Kankondi\Documents\Admin\business_guides\molenzicht_r2o_business_plan\"/>
    </mc:Choice>
  </mc:AlternateContent>
  <xr:revisionPtr revIDLastSave="0" documentId="13_ncr:1_{7893FFEE-8D99-4188-9310-A3BCCD15E5DE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3" l="1"/>
  <c r="C6" i="3"/>
  <c r="C4" i="3"/>
  <c r="B7" i="3"/>
  <c r="C7" i="3" s="1"/>
  <c r="C3" i="3"/>
  <c r="C2" i="3"/>
  <c r="B9" i="3" l="1"/>
  <c r="C9" i="3" s="1"/>
  <c r="B8" i="3"/>
  <c r="C8" i="3" s="1"/>
  <c r="G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Sebbi Kankondi</author>
  </authors>
  <commentList>
    <comment ref="A1" authorId="0" shapeId="0" xr:uid="{50576E55-D1EF-4A65-9C82-0EEB84CBCDA8}">
      <text>
        <r>
          <rPr>
            <b/>
            <sz val="11"/>
            <color indexed="81"/>
            <rFont val="Tahoma"/>
            <charset val="1"/>
          </rPr>
          <t>Sebbi Kankondi:</t>
        </r>
        <r>
          <rPr>
            <sz val="11"/>
            <color indexed="81"/>
            <rFont val="Tahoma"/>
            <charset val="1"/>
          </rPr>
          <t xml:space="preserve">
Cash flow includes prime-linked amortising bank debt, owner/investor repayments and profit distributions, and reinvestment purchases when available cash can fund at least the minimum batch size.</t>
        </r>
      </text>
    </comment>
  </commentList>
</comments>
</file>

<file path=xl/sharedStrings.xml><?xml version="1.0" encoding="utf-8"?>
<sst xmlns="http://schemas.openxmlformats.org/spreadsheetml/2006/main" count="25" uniqueCount="25">
  <si>
    <t>Cost Item</t>
  </si>
  <si>
    <t>Notes</t>
  </si>
  <si>
    <t>USD_NAD exchange</t>
  </si>
  <si>
    <t xml:space="preserve">Import duty </t>
  </si>
  <si>
    <t>25% of CIF (FOB+freight+insurance)</t>
  </si>
  <si>
    <t>VAT</t>
  </si>
  <si>
    <t>16.5% of CIF</t>
  </si>
  <si>
    <t>Includes roadworthy, registration and number plates</t>
  </si>
  <si>
    <t xml:space="preserve">EBS </t>
  </si>
  <si>
    <t>BAF</t>
  </si>
  <si>
    <t xml:space="preserve">Exporter THC </t>
  </si>
  <si>
    <t>Marine insurance</t>
  </si>
  <si>
    <t>Insurance ~2–3% of car value. Includes exporter fee</t>
  </si>
  <si>
    <t xml:space="preserve">Registration </t>
  </si>
  <si>
    <t xml:space="preserve">Port handling </t>
  </si>
  <si>
    <t xml:space="preserve">Freight </t>
  </si>
  <si>
    <t>Car FOB</t>
  </si>
  <si>
    <t>Approx N$ per Car</t>
  </si>
  <si>
    <t>Approx US$ per Car</t>
  </si>
  <si>
    <t>Bunker Adjustment Factor - surcharge for fluctuating fuel prices. Japan to Walvis Bay. Price per car for 4 cars at a cost of US $556 per 40ft container (flat rate)</t>
  </si>
  <si>
    <t>Emergency Bunker Surcharge for extreme fuel price related variability - Price per car for 4 cars at a cost of US $400 per 40ft container</t>
  </si>
  <si>
    <t>Terminal Handling Charge (includes documentation &amp; seal fees) - Price per car for 4 cars at a cost of US $342 per 40ft container</t>
  </si>
  <si>
    <t>Includes port storage (Increase by number of days in storage), clearing agent fees. This is a local service</t>
  </si>
  <si>
    <t xml:space="preserve">FOB - Free On Board (price of vehicle up to port). Price depends on mileage/condition; auctions price may fluctuate. </t>
  </si>
  <si>
    <t>Japan to Walvis Bay. Price per car for 4 cars in one US $4 500, 40ft container (flat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</si>
</sst>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N$&quot;#,##0_);[Red]&quot;(N$&quot;#,##0\);\-_);_(@_)"/>
    <numFmt numFmtId="165" formatCode="#,##0_);[Red]\(#,##0\);\-_);_(@_)"/>
    <numFmt numFmtId="166" formatCode="&quot;US $&quot;#,##0_);[Red]&quot;(N$&quot;#,##0\);\-_);_(@_)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indexed="81"/>
      <name val="Tahoma"/>
      <charset val="1"/>
    </font>
    <font>
      <sz val="11"/>
      <color indexed="81"/>
      <name val="Tahoma"/>
      <charset val="1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showGridLines="0" tabSelected="1" topLeftCell="B1" zoomScale="145" zoomScaleNormal="145" workbookViewId="0">
      <selection activeCell="D4" sqref="D4"/>
    </sheetView>
  </sheetViews>
  <sheetFormatPr defaultColWidth="8.7109375" defaultRowHeight="15" customHeight="1" x14ac:dyDescent="0.25"/>
  <cols>
    <col min="1" max="1" width="19.28515625" customWidth="1"/>
    <col min="2" max="3" width="22" customWidth="1"/>
    <col min="4" max="4" width="28.7109375" customWidth="1"/>
    <col min="5" max="5" width="11" customWidth="1"/>
    <col min="7" max="7" width="9.85546875" bestFit="1" customWidth="1"/>
  </cols>
  <sheetData>
    <row r="1" spans="1:7" ht="31.5" customHeight="1" x14ac:dyDescent="0.25">
      <c r="A1" s="1" t="s">
        <v>0</v>
      </c>
      <c r="B1" s="1" t="s">
        <v>18</v>
      </c>
      <c r="C1" s="2" t="s">
        <v>17</v>
      </c>
      <c r="D1" s="2" t="s">
        <v>1</v>
      </c>
      <c r="E1" s="6" t="s">
        <v>2</v>
      </c>
    </row>
    <row r="2" spans="1:7" ht="81" customHeight="1" x14ac:dyDescent="0.25">
      <c r="A2" s="3" t="s">
        <v>16</v>
      </c>
      <c r="B2" s="4">
        <v>1200</v>
      </c>
      <c r="C2" s="5">
        <f>$B$2*$E$2</f>
        <v>20400</v>
      </c>
      <c r="D2" s="5" t="s">
        <v>23</v>
      </c>
      <c r="E2">
        <v>17</v>
      </c>
      <c r="G2" s="7">
        <f>SUM(C2:C3)+SUM(C7:C11)</f>
        <v>60043.17</v>
      </c>
    </row>
    <row r="3" spans="1:7" ht="45" x14ac:dyDescent="0.25">
      <c r="A3" s="3" t="s">
        <v>15</v>
      </c>
      <c r="B3" s="4">
        <v>1125</v>
      </c>
      <c r="C3" s="5">
        <f>$B$3*$E$2</f>
        <v>19125</v>
      </c>
      <c r="D3" s="5" t="s">
        <v>24</v>
      </c>
    </row>
    <row r="4" spans="1:7" ht="90" x14ac:dyDescent="0.25">
      <c r="A4" s="3" t="s">
        <v>9</v>
      </c>
      <c r="B4" s="4">
        <v>139</v>
      </c>
      <c r="C4" s="5">
        <f>$B$4*$E$2</f>
        <v>2363</v>
      </c>
      <c r="D4" s="5" t="s">
        <v>19</v>
      </c>
    </row>
    <row r="5" spans="1:7" ht="75" x14ac:dyDescent="0.25">
      <c r="A5" s="3" t="s">
        <v>8</v>
      </c>
      <c r="B5" s="4">
        <v>100</v>
      </c>
      <c r="C5" s="5">
        <f>$B$5*$E$2</f>
        <v>1700</v>
      </c>
      <c r="D5" s="5" t="s">
        <v>20</v>
      </c>
    </row>
    <row r="6" spans="1:7" ht="75" x14ac:dyDescent="0.25">
      <c r="A6" s="3" t="s">
        <v>10</v>
      </c>
      <c r="B6" s="4">
        <v>86</v>
      </c>
      <c r="C6" s="5">
        <f>$B$6*$E$2</f>
        <v>1462</v>
      </c>
      <c r="D6" s="5" t="s">
        <v>21</v>
      </c>
    </row>
    <row r="7" spans="1:7" ht="30" x14ac:dyDescent="0.25">
      <c r="A7" s="3" t="s">
        <v>11</v>
      </c>
      <c r="B7" s="4">
        <f>$B$2*(3/100)</f>
        <v>36</v>
      </c>
      <c r="C7" s="5">
        <f>$B$7*$E$2</f>
        <v>612</v>
      </c>
      <c r="D7" s="5" t="s">
        <v>12</v>
      </c>
    </row>
    <row r="8" spans="1:7" ht="30" x14ac:dyDescent="0.25">
      <c r="A8" s="3" t="s">
        <v>3</v>
      </c>
      <c r="B8" s="4">
        <f>($B$2+$B$3+$B$7)*(25/100)</f>
        <v>590.25</v>
      </c>
      <c r="C8" s="5">
        <f>$B$8*$E$2</f>
        <v>10034.25</v>
      </c>
      <c r="D8" s="5" t="s">
        <v>4</v>
      </c>
    </row>
    <row r="9" spans="1:7" x14ac:dyDescent="0.25">
      <c r="A9" s="3" t="s">
        <v>5</v>
      </c>
      <c r="B9" s="4">
        <f>($B$2+$B$3+$B$7)*(16/100)</f>
        <v>377.76</v>
      </c>
      <c r="C9" s="5">
        <f>$B$9*$E$2</f>
        <v>6421.92</v>
      </c>
      <c r="D9" s="5" t="s">
        <v>6</v>
      </c>
    </row>
    <row r="10" spans="1:7" ht="60" x14ac:dyDescent="0.25">
      <c r="A10" s="3" t="s">
        <v>14</v>
      </c>
      <c r="B10" s="4">
        <v>0</v>
      </c>
      <c r="C10" s="5">
        <v>2000</v>
      </c>
      <c r="D10" s="5" t="s">
        <v>22</v>
      </c>
    </row>
    <row r="11" spans="1:7" ht="45" x14ac:dyDescent="0.25">
      <c r="A11" s="3" t="s">
        <v>13</v>
      </c>
      <c r="B11" s="4">
        <v>0</v>
      </c>
      <c r="C11" s="5">
        <v>1450</v>
      </c>
      <c r="D11" s="5" t="s">
        <v>7</v>
      </c>
    </row>
    <row r="12" spans="1:7" ht="15" customHeight="1" x14ac:dyDescent="0.25">
      <c r="C12" s="7"/>
    </row>
  </sheetData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Sebbi Kankondi</cp:lastModifiedBy>
  <dcterms:modified xsi:type="dcterms:W3CDTF">2026-04-16T07:12:21Z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2026-02-28T18:23:08Z</dcterms:created>
  <dc:creator>openpyxl</dc:creator>
  <dc:description/>
  <dc:language>en-US</dc:language>
  <cp:lastModifiedBy>Sebbi Kankondi</cp:lastModifiedBy>
  <dcterms:modified xsi:type="dcterms:W3CDTF">2026-03-06T18:08:36Z</dcterms:modified>
  <cp:revision>0</cp:revision>
  <dc:subject/>
  <dc:title/>
</cp:coreProperties>
</file>